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5" activeTab="8"/>
  </bookViews>
  <sheets>
    <sheet name="FEATURE_ENGINEERING" sheetId="1" r:id="rId1"/>
    <sheet name="Lookup_Table" sheetId="2" r:id="rId2"/>
    <sheet name="KPI " sheetId="3" r:id="rId3"/>
    <sheet name="Functions " sheetId="4" r:id="rId4"/>
    <sheet name="conditions" sheetId="5" r:id="rId5"/>
    <sheet name="Date_Analysis" sheetId="11" r:id="rId6"/>
    <sheet name="Pivot Table analysis" sheetId="13" r:id="rId7"/>
    <sheet name="Charts" sheetId="15" r:id="rId8"/>
    <sheet name="Walmart Sales Dashboard" sheetId="16" r:id="rId9"/>
    <sheet name="Question &amp; answer" sheetId="17" r:id="rId10"/>
  </sheets>
  <definedNames>
    <definedName name="Slicer_Payment_Mode">#N/A</definedName>
    <definedName name="Slicer_Region">#N/A</definedName>
    <definedName name="Slicer_Category">#N/A</definedName>
    <definedName name="Slicer_Customer_Type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<sst xmlns="http://schemas.openxmlformats.org/spreadsheetml/2006/main" count="9241" uniqueCount="1188">
  <si>
    <t>Order_ID</t>
  </si>
  <si>
    <t>Order_Date</t>
  </si>
  <si>
    <t>Customer_Type</t>
  </si>
  <si>
    <t>Category</t>
  </si>
  <si>
    <t>Product</t>
  </si>
  <si>
    <t>City</t>
  </si>
  <si>
    <t>State</t>
  </si>
  <si>
    <t>Region</t>
  </si>
  <si>
    <t>Payment_Mode</t>
  </si>
  <si>
    <t>Quantity</t>
  </si>
  <si>
    <t>Unit_Price</t>
  </si>
  <si>
    <t>Discount</t>
  </si>
  <si>
    <t>Sales</t>
  </si>
  <si>
    <t>Cost</t>
  </si>
  <si>
    <t>Profit</t>
  </si>
  <si>
    <t>Rating</t>
  </si>
  <si>
    <t>Month</t>
  </si>
  <si>
    <t>Year</t>
  </si>
  <si>
    <t>Profit_Status</t>
  </si>
  <si>
    <t>Sales_Profit</t>
  </si>
  <si>
    <t>Rating_Status</t>
  </si>
  <si>
    <t>Discount_Status</t>
  </si>
  <si>
    <t>Target Margin</t>
  </si>
  <si>
    <t>Profit_margin</t>
  </si>
  <si>
    <t>Category_manager</t>
  </si>
  <si>
    <t>Margin_Status</t>
  </si>
  <si>
    <t>WMT10564</t>
  </si>
  <si>
    <t>Member</t>
  </si>
  <si>
    <t>Clothing</t>
  </si>
  <si>
    <t>Sneakers</t>
  </si>
  <si>
    <t>Los Angeles</t>
  </si>
  <si>
    <t>CA</t>
  </si>
  <si>
    <t>West</t>
  </si>
  <si>
    <t>Debit Card</t>
  </si>
  <si>
    <t>December</t>
  </si>
  <si>
    <t>WMT10707</t>
  </si>
  <si>
    <t>New</t>
  </si>
  <si>
    <t>Home &amp; Kitchen</t>
  </si>
  <si>
    <t>Microwave</t>
  </si>
  <si>
    <t>New York</t>
  </si>
  <si>
    <t>NY</t>
  </si>
  <si>
    <t>East</t>
  </si>
  <si>
    <t>May</t>
  </si>
  <si>
    <t>WMT10809</t>
  </si>
  <si>
    <t>Electronics</t>
  </si>
  <si>
    <t>Laptop</t>
  </si>
  <si>
    <t>UPI</t>
  </si>
  <si>
    <t>August</t>
  </si>
  <si>
    <t>WMT10620</t>
  </si>
  <si>
    <t>Jacket</t>
  </si>
  <si>
    <t>Seattle</t>
  </si>
  <si>
    <t>WA</t>
  </si>
  <si>
    <t>Cash</t>
  </si>
  <si>
    <t>September</t>
  </si>
  <si>
    <t>WMT10285</t>
  </si>
  <si>
    <t>Regular</t>
  </si>
  <si>
    <t>July</t>
  </si>
  <si>
    <t>WMT10704</t>
  </si>
  <si>
    <t>June</t>
  </si>
  <si>
    <t>WMT10424</t>
  </si>
  <si>
    <t>Furniture</t>
  </si>
  <si>
    <t>Sofa</t>
  </si>
  <si>
    <t>Phoenix</t>
  </si>
  <si>
    <t>AZ</t>
  </si>
  <si>
    <t>January</t>
  </si>
  <si>
    <t>WMT10652</t>
  </si>
  <si>
    <t>Desk</t>
  </si>
  <si>
    <t>Chicago</t>
  </si>
  <si>
    <t>IL</t>
  </si>
  <si>
    <t>Central</t>
  </si>
  <si>
    <t>WMT10491</t>
  </si>
  <si>
    <t>November</t>
  </si>
  <si>
    <t>WMT10911</t>
  </si>
  <si>
    <t>T-Shirt</t>
  </si>
  <si>
    <t>WMT10828</t>
  </si>
  <si>
    <t>Dallas</t>
  </si>
  <si>
    <t>TX</t>
  </si>
  <si>
    <t>South</t>
  </si>
  <si>
    <t>WMT10465</t>
  </si>
  <si>
    <t>WMT10136</t>
  </si>
  <si>
    <t>Grocery</t>
  </si>
  <si>
    <t>Rice</t>
  </si>
  <si>
    <t>Atlanta</t>
  </si>
  <si>
    <t>GA</t>
  </si>
  <si>
    <t>April</t>
  </si>
  <si>
    <t>WMT10742</t>
  </si>
  <si>
    <t>Blender</t>
  </si>
  <si>
    <t>October</t>
  </si>
  <si>
    <t>WMT10404</t>
  </si>
  <si>
    <t>WMT10020</t>
  </si>
  <si>
    <t>Jeans</t>
  </si>
  <si>
    <t>WMT10496</t>
  </si>
  <si>
    <t>WMT10974</t>
  </si>
  <si>
    <t>Vacuum Cleaner</t>
  </si>
  <si>
    <t>March</t>
  </si>
  <si>
    <t>WMT10334</t>
  </si>
  <si>
    <t>Credit Card</t>
  </si>
  <si>
    <t>WMT10727</t>
  </si>
  <si>
    <t>Miami</t>
  </si>
  <si>
    <t>FL</t>
  </si>
  <si>
    <t>WMT10516</t>
  </si>
  <si>
    <t>Cereal</t>
  </si>
  <si>
    <t>WMT10419</t>
  </si>
  <si>
    <t>WMT10786</t>
  </si>
  <si>
    <t>Headphones</t>
  </si>
  <si>
    <t>February</t>
  </si>
  <si>
    <t>WMT10380</t>
  </si>
  <si>
    <t>WMT10261</t>
  </si>
  <si>
    <t>WMT10596</t>
  </si>
  <si>
    <t>Cookware Set</t>
  </si>
  <si>
    <t>WMT10131</t>
  </si>
  <si>
    <t>Houston</t>
  </si>
  <si>
    <t>WMT10211</t>
  </si>
  <si>
    <t>WMT10068</t>
  </si>
  <si>
    <t>WMT10824</t>
  </si>
  <si>
    <t>Coffee</t>
  </si>
  <si>
    <t>Denver</t>
  </si>
  <si>
    <t>CO</t>
  </si>
  <si>
    <t>WMT10071</t>
  </si>
  <si>
    <t>WMT10428</t>
  </si>
  <si>
    <t>WMT10397</t>
  </si>
  <si>
    <t>WMT10043</t>
  </si>
  <si>
    <t>WMT10337</t>
  </si>
  <si>
    <t>WMT10308</t>
  </si>
  <si>
    <t>WMT10099</t>
  </si>
  <si>
    <t>WMT10614</t>
  </si>
  <si>
    <t>WMT10329</t>
  </si>
  <si>
    <t>Bookshelf</t>
  </si>
  <si>
    <t>WMT10249</t>
  </si>
  <si>
    <t>WMT10466</t>
  </si>
  <si>
    <t>WMT10659</t>
  </si>
  <si>
    <t>WMT10238</t>
  </si>
  <si>
    <t>WMT10893</t>
  </si>
  <si>
    <t>WMT10935</t>
  </si>
  <si>
    <t>WMT10449</t>
  </si>
  <si>
    <t>WMT10169</t>
  </si>
  <si>
    <t>WMT10441</t>
  </si>
  <si>
    <t>Tablet</t>
  </si>
  <si>
    <t>WMT10458</t>
  </si>
  <si>
    <t>WMT10926</t>
  </si>
  <si>
    <t>WMT10981</t>
  </si>
  <si>
    <t>WMT10327</t>
  </si>
  <si>
    <t>WMT10789</t>
  </si>
  <si>
    <t>Smartphone</t>
  </si>
  <si>
    <t>WMT10905</t>
  </si>
  <si>
    <t>WMT10803</t>
  </si>
  <si>
    <t>WMT10091</t>
  </si>
  <si>
    <t>WMT10029</t>
  </si>
  <si>
    <t>WMT10313</t>
  </si>
  <si>
    <t>WMT10837</t>
  </si>
  <si>
    <t>Office Chair</t>
  </si>
  <si>
    <t>WMT10253</t>
  </si>
  <si>
    <t>WMT10153</t>
  </si>
  <si>
    <t>WMT10307</t>
  </si>
  <si>
    <t>WMT10830</t>
  </si>
  <si>
    <t>WMT10618</t>
  </si>
  <si>
    <t>WMT10001</t>
  </si>
  <si>
    <t>WMT10161</t>
  </si>
  <si>
    <t>WMT10103</t>
  </si>
  <si>
    <t>WMT10896</t>
  </si>
  <si>
    <t>WMT10200</t>
  </si>
  <si>
    <t>WMT10826</t>
  </si>
  <si>
    <t>WMT10294</t>
  </si>
  <si>
    <t>WMT10675</t>
  </si>
  <si>
    <t>WMT10220</t>
  </si>
  <si>
    <t>WMT10687</t>
  </si>
  <si>
    <t>WMT10845</t>
  </si>
  <si>
    <t>WMT10360</t>
  </si>
  <si>
    <t>WMT10571</t>
  </si>
  <si>
    <t>WMT10414</t>
  </si>
  <si>
    <t>WMT10328</t>
  </si>
  <si>
    <t>WMT10106</t>
  </si>
  <si>
    <t>WMT10168</t>
  </si>
  <si>
    <t>WMT10026</t>
  </si>
  <si>
    <t>WMT10224</t>
  </si>
  <si>
    <t>WMT10229</t>
  </si>
  <si>
    <t>WMT10927</t>
  </si>
  <si>
    <t>WMT10350</t>
  </si>
  <si>
    <t>WMT10712</t>
  </si>
  <si>
    <t>WMT10362</t>
  </si>
  <si>
    <t>WMT10833</t>
  </si>
  <si>
    <t>WMT10721</t>
  </si>
  <si>
    <t>WMT10737</t>
  </si>
  <si>
    <t>WMT10478</t>
  </si>
  <si>
    <t>WMT10167</t>
  </si>
  <si>
    <t>WMT10887</t>
  </si>
  <si>
    <t>WMT10544</t>
  </si>
  <si>
    <t>WMT10004</t>
  </si>
  <si>
    <t>WMT10333</t>
  </si>
  <si>
    <t>WMT10506</t>
  </si>
  <si>
    <t>WMT10702</t>
  </si>
  <si>
    <t>Cooking Oil</t>
  </si>
  <si>
    <t>WMT10674</t>
  </si>
  <si>
    <t>WMT10982</t>
  </si>
  <si>
    <t>WMT10867</t>
  </si>
  <si>
    <t>WMT10262</t>
  </si>
  <si>
    <t>WMT10208</t>
  </si>
  <si>
    <t>WMT10735</t>
  </si>
  <si>
    <t>WMT10412</t>
  </si>
  <si>
    <t>WMT10992</t>
  </si>
  <si>
    <t>WMT10280</t>
  </si>
  <si>
    <t>WMT10781</t>
  </si>
  <si>
    <t>WMT10057</t>
  </si>
  <si>
    <t>WMT10866</t>
  </si>
  <si>
    <t>WMT10217</t>
  </si>
  <si>
    <t>WMT10800</t>
  </si>
  <si>
    <t>WMT10232</t>
  </si>
  <si>
    <t>WMT10891</t>
  </si>
  <si>
    <t>WMT10159</t>
  </si>
  <si>
    <t>WMT10942</t>
  </si>
  <si>
    <t>WMT10468</t>
  </si>
  <si>
    <t>WMT10384</t>
  </si>
  <si>
    <t>WMT10587</t>
  </si>
  <si>
    <t>WMT10563</t>
  </si>
  <si>
    <t>WMT10777</t>
  </si>
  <si>
    <t>WMT10581</t>
  </si>
  <si>
    <t>WMT10948</t>
  </si>
  <si>
    <t>WMT10346</t>
  </si>
  <si>
    <t>WMT10050</t>
  </si>
  <si>
    <t>WMT10245</t>
  </si>
  <si>
    <t>WMT10124</t>
  </si>
  <si>
    <t>WMT10356</t>
  </si>
  <si>
    <t>WMT10440</t>
  </si>
  <si>
    <t>WMT10603</t>
  </si>
  <si>
    <t>WMT10729</t>
  </si>
  <si>
    <t>WMT10275</t>
  </si>
  <si>
    <t>WMT10335</t>
  </si>
  <si>
    <t>WMT10934</t>
  </si>
  <si>
    <t>WMT10916</t>
  </si>
  <si>
    <t>WMT10359</t>
  </si>
  <si>
    <t>WMT10017</t>
  </si>
  <si>
    <t>WMT10606</t>
  </si>
  <si>
    <t>WMT10472</t>
  </si>
  <si>
    <t>WMT10075</t>
  </si>
  <si>
    <t>WMT10093</t>
  </si>
  <si>
    <t>WMT10398</t>
  </si>
  <si>
    <t>WMT10818</t>
  </si>
  <si>
    <t>WMT10643</t>
  </si>
  <si>
    <t>WMT10700</t>
  </si>
  <si>
    <t>WMT10979</t>
  </si>
  <si>
    <t>WMT10798</t>
  </si>
  <si>
    <t>WMT10619</t>
  </si>
  <si>
    <t>WMT10575</t>
  </si>
  <si>
    <t>WMT10144</t>
  </si>
  <si>
    <t>WMT10205</t>
  </si>
  <si>
    <t>WMT10092</t>
  </si>
  <si>
    <t>WMT10415</t>
  </si>
  <si>
    <t>WMT10610</t>
  </si>
  <si>
    <t>WMT10955</t>
  </si>
  <si>
    <t>WMT10111</t>
  </si>
  <si>
    <t>WMT10657</t>
  </si>
  <si>
    <t>WMT10086</t>
  </si>
  <si>
    <t>WMT10522</t>
  </si>
  <si>
    <t>WMT10264</t>
  </si>
  <si>
    <t>WMT10994</t>
  </si>
  <si>
    <t>WMT10953</t>
  </si>
  <si>
    <t>WMT10677</t>
  </si>
  <si>
    <t>WMT10624</t>
  </si>
  <si>
    <t>WMT10349</t>
  </si>
  <si>
    <t>WMT10063</t>
  </si>
  <si>
    <t>WMT10579</t>
  </si>
  <si>
    <t>WMT10130</t>
  </si>
  <si>
    <t>WMT10303</t>
  </si>
  <si>
    <t>WMT10358</t>
  </si>
  <si>
    <t>WMT10762</t>
  </si>
  <si>
    <t>WMT10049</t>
  </si>
  <si>
    <t>WMT10668</t>
  </si>
  <si>
    <t>WMT10501</t>
  </si>
  <si>
    <t>WMT10842</t>
  </si>
  <si>
    <t>WMT10598</t>
  </si>
  <si>
    <t>WMT10005</t>
  </si>
  <si>
    <t>WMT10120</t>
  </si>
  <si>
    <t>WMT10373</t>
  </si>
  <si>
    <t>WMT10225</t>
  </si>
  <si>
    <t>WMT10886</t>
  </si>
  <si>
    <t>WMT10165</t>
  </si>
  <si>
    <t>WMT10016</t>
  </si>
  <si>
    <t>WMT10318</t>
  </si>
  <si>
    <t>WMT10132</t>
  </si>
  <si>
    <t>WMT10961</t>
  </si>
  <si>
    <t>WMT10417</t>
  </si>
  <si>
    <t>WMT10645</t>
  </si>
  <si>
    <t>WMT10627</t>
  </si>
  <si>
    <t>WMT10149</t>
  </si>
  <si>
    <t>WMT10291</t>
  </si>
  <si>
    <t>WMT10655</t>
  </si>
  <si>
    <t>WMT10172</t>
  </si>
  <si>
    <t>WMT10771</t>
  </si>
  <si>
    <t>WMT10251</t>
  </si>
  <si>
    <t>WMT10087</t>
  </si>
  <si>
    <t>WMT10292</t>
  </si>
  <si>
    <t>WMT10286</t>
  </si>
  <si>
    <t>WMT10259</t>
  </si>
  <si>
    <t>WMT10779</t>
  </si>
  <si>
    <t>WMT10794</t>
  </si>
  <si>
    <t>WMT10112</t>
  </si>
  <si>
    <t>WMT10046</t>
  </si>
  <si>
    <t>WMT10306</t>
  </si>
  <si>
    <t>WMT10190</t>
  </si>
  <si>
    <t>WMT10054</t>
  </si>
  <si>
    <t>WMT10816</t>
  </si>
  <si>
    <t>WMT10464</t>
  </si>
  <si>
    <t>WMT10387</t>
  </si>
  <si>
    <t>WMT10255</t>
  </si>
  <si>
    <t>WMT10764</t>
  </si>
  <si>
    <t>WMT10059</t>
  </si>
  <si>
    <t>WMT10763</t>
  </si>
  <si>
    <t>WMT10810</t>
  </si>
  <si>
    <t>WMT10738</t>
  </si>
  <si>
    <t>WMT10282</t>
  </si>
  <si>
    <t>WMT10785</t>
  </si>
  <si>
    <t>WMT10085</t>
  </si>
  <si>
    <t>WMT10864</t>
  </si>
  <si>
    <t>WMT10832</t>
  </si>
  <si>
    <t>WMT10128</t>
  </si>
  <si>
    <t>WMT10795</t>
  </si>
  <si>
    <t>WMT10682</t>
  </si>
  <si>
    <t>WMT10726</t>
  </si>
  <si>
    <t>WMT10856</t>
  </si>
  <si>
    <t>WMT10244</t>
  </si>
  <si>
    <t>WMT10188</t>
  </si>
  <si>
    <t>WMT10436</t>
  </si>
  <si>
    <t>WMT10851</t>
  </si>
  <si>
    <t>WMT10669</t>
  </si>
  <si>
    <t>WMT10696</t>
  </si>
  <si>
    <t>WMT10269</t>
  </si>
  <si>
    <t>WMT10155</t>
  </si>
  <si>
    <t>WMT10632</t>
  </si>
  <si>
    <t>WMT10932</t>
  </si>
  <si>
    <t>WMT10903</t>
  </si>
  <si>
    <t>WMT10701</t>
  </si>
  <si>
    <t>WMT10399</t>
  </si>
  <si>
    <t>WMT10672</t>
  </si>
  <si>
    <t>WMT10367</t>
  </si>
  <si>
    <t>WMT10219</t>
  </si>
  <si>
    <t>WMT10254</t>
  </si>
  <si>
    <t>WMT10915</t>
  </si>
  <si>
    <t>WMT10878</t>
  </si>
  <si>
    <t>WMT10765</t>
  </si>
  <si>
    <t>WMT10326</t>
  </si>
  <si>
    <t>WMT10686</t>
  </si>
  <si>
    <t>WMT10528</t>
  </si>
  <si>
    <t>WMT10872</t>
  </si>
  <si>
    <t>WMT10273</t>
  </si>
  <si>
    <t>WMT10880</t>
  </si>
  <si>
    <t>WMT10554</t>
  </si>
  <si>
    <t>WMT10457</t>
  </si>
  <si>
    <t>WMT10688</t>
  </si>
  <si>
    <t>WMT10469</t>
  </si>
  <si>
    <t>WMT10658</t>
  </si>
  <si>
    <t>WMT10432</t>
  </si>
  <si>
    <t>WMT10067</t>
  </si>
  <si>
    <t>WMT10644</t>
  </si>
  <si>
    <t>WMT10272</t>
  </si>
  <si>
    <t>WMT10037</t>
  </si>
  <si>
    <t>WMT10960</t>
  </si>
  <si>
    <t>WMT10451</t>
  </si>
  <si>
    <t>WMT10776</t>
  </si>
  <si>
    <t>WMT10227</t>
  </si>
  <si>
    <t>WMT10946</t>
  </si>
  <si>
    <t>WMT10732</t>
  </si>
  <si>
    <t>WMT10510</t>
  </si>
  <si>
    <t>WMT10530</t>
  </si>
  <si>
    <t>WMT10806</t>
  </si>
  <si>
    <t>WMT10201</t>
  </si>
  <si>
    <t>WMT10754</t>
  </si>
  <si>
    <t>WMT10860</t>
  </si>
  <si>
    <t>WMT10493</t>
  </si>
  <si>
    <t>WMT10507</t>
  </si>
  <si>
    <t>WMT10594</t>
  </si>
  <si>
    <t>WMT10804</t>
  </si>
  <si>
    <t>WMT10066</t>
  </si>
  <si>
    <t>WMT10171</t>
  </si>
  <si>
    <t>WMT10694</t>
  </si>
  <si>
    <t>WMT10479</t>
  </si>
  <si>
    <t>WMT10051</t>
  </si>
  <si>
    <t>WMT10689</t>
  </si>
  <si>
    <t>WMT10241</t>
  </si>
  <si>
    <t>WMT10714</t>
  </si>
  <si>
    <t>WMT10371</t>
  </si>
  <si>
    <t>WMT10515</t>
  </si>
  <si>
    <t>WMT10766</t>
  </si>
  <si>
    <t>WMT10247</t>
  </si>
  <si>
    <t>WMT10608</t>
  </si>
  <si>
    <t>WMT10355</t>
  </si>
  <si>
    <t>WMT10709</t>
  </si>
  <si>
    <t>WMT10585</t>
  </si>
  <si>
    <t>WMT10743</t>
  </si>
  <si>
    <t>WMT10105</t>
  </si>
  <si>
    <t>WMT10139</t>
  </si>
  <si>
    <t>WMT10538</t>
  </si>
  <si>
    <t>WMT10847</t>
  </si>
  <si>
    <t>WMT10670</t>
  </si>
  <si>
    <t>WMT10148</t>
  </si>
  <si>
    <t>WMT10537</t>
  </si>
  <si>
    <t>WMT10858</t>
  </si>
  <si>
    <t>WMT10661</t>
  </si>
  <si>
    <t>WMT10347</t>
  </si>
  <si>
    <t>WMT10077</t>
  </si>
  <si>
    <t>WMT10873</t>
  </si>
  <si>
    <t>WMT10426</t>
  </si>
  <si>
    <t>WMT10447</t>
  </si>
  <si>
    <t>WMT10195</t>
  </si>
  <si>
    <t>WMT10985</t>
  </si>
  <si>
    <t>WMT10902</t>
  </si>
  <si>
    <t>WMT10557</t>
  </si>
  <si>
    <t>WMT10576</t>
  </si>
  <si>
    <t>WMT10734</t>
  </si>
  <si>
    <t>WMT10499</t>
  </si>
  <si>
    <t>WMT10036</t>
  </si>
  <si>
    <t>WMT10193</t>
  </si>
  <si>
    <t>WMT10987</t>
  </si>
  <si>
    <t>WMT10151</t>
  </si>
  <si>
    <t>WMT10552</t>
  </si>
  <si>
    <t>WMT10811</t>
  </si>
  <si>
    <t>WMT10012</t>
  </si>
  <si>
    <t>WMT10775</t>
  </si>
  <si>
    <t>WMT10768</t>
  </si>
  <si>
    <t>WMT10072</t>
  </si>
  <si>
    <t>WMT10381</t>
  </si>
  <si>
    <t>WMT10637</t>
  </si>
  <si>
    <t>WMT10408</t>
  </si>
  <si>
    <t>WMT10549</t>
  </si>
  <si>
    <t>WMT10038</t>
  </si>
  <si>
    <t>WMT10186</t>
  </si>
  <si>
    <t>WMT10844</t>
  </si>
  <si>
    <t>WMT10480</t>
  </si>
  <si>
    <t>WMT10663</t>
  </si>
  <si>
    <t>WMT10271</t>
  </si>
  <si>
    <t>WMT10972</t>
  </si>
  <si>
    <t>WMT10246</t>
  </si>
  <si>
    <t>WMT10716</t>
  </si>
  <si>
    <t>WMT10874</t>
  </si>
  <si>
    <t>WMT10746</t>
  </si>
  <si>
    <t>WMT10181</t>
  </si>
  <si>
    <t>WMT10392</t>
  </si>
  <si>
    <t>WMT10108</t>
  </si>
  <si>
    <t>WMT10770</t>
  </si>
  <si>
    <t>WMT10196</t>
  </si>
  <si>
    <t>WMT10258</t>
  </si>
  <si>
    <t>WMT10033</t>
  </si>
  <si>
    <t>WMT10027</t>
  </si>
  <si>
    <t>WMT10791</t>
  </si>
  <si>
    <t>WMT10954</t>
  </si>
  <si>
    <t>WMT10577</t>
  </si>
  <si>
    <t>WMT10869</t>
  </si>
  <si>
    <t>WMT10212</t>
  </si>
  <si>
    <t>WMT10345</t>
  </si>
  <si>
    <t>WMT10634</t>
  </si>
  <si>
    <t>WMT10324</t>
  </si>
  <si>
    <t>WMT10623</t>
  </si>
  <si>
    <t>WMT10565</t>
  </si>
  <si>
    <t>WMT10617</t>
  </si>
  <si>
    <t>WMT10388</t>
  </si>
  <si>
    <t>WMT10945</t>
  </si>
  <si>
    <t>WMT10298</t>
  </si>
  <si>
    <t>WMT10482</t>
  </si>
  <si>
    <t>WMT10562</t>
  </si>
  <si>
    <t>WMT10133</t>
  </si>
  <si>
    <t>WMT10849</t>
  </si>
  <si>
    <t>WMT10740</t>
  </si>
  <si>
    <t>WMT10080</t>
  </si>
  <si>
    <t>WMT10174</t>
  </si>
  <si>
    <t>WMT10854</t>
  </si>
  <si>
    <t>WMT10597</t>
  </si>
  <si>
    <t>WMT10518</t>
  </si>
  <si>
    <t>WMT10802</t>
  </si>
  <si>
    <t>WMT10295</t>
  </si>
  <si>
    <t>WMT10204</t>
  </si>
  <si>
    <t>WMT10758</t>
  </si>
  <si>
    <t>WMT10651</t>
  </si>
  <si>
    <t>WMT10487</t>
  </si>
  <si>
    <t>WMT10142</t>
  </si>
  <si>
    <t>WMT10141</t>
  </si>
  <si>
    <t>WMT10635</t>
  </si>
  <si>
    <t>WMT10898</t>
  </si>
  <si>
    <t>WMT10268</t>
  </si>
  <si>
    <t>WMT10685</t>
  </si>
  <si>
    <t>WMT10711</t>
  </si>
  <si>
    <t>WMT10104</t>
  </si>
  <si>
    <t>WMT10476</t>
  </si>
  <si>
    <t>WMT10784</t>
  </si>
  <si>
    <t>WMT10185</t>
  </si>
  <si>
    <t>WMT10438</t>
  </si>
  <si>
    <t>WMT10511</t>
  </si>
  <si>
    <t>WMT10228</t>
  </si>
  <si>
    <t>WMT10389</t>
  </si>
  <si>
    <t>WMT10602</t>
  </si>
  <si>
    <t>WMT10949</t>
  </si>
  <si>
    <t>WMT10928</t>
  </si>
  <si>
    <t>WMT10053</t>
  </si>
  <si>
    <t>WMT10032</t>
  </si>
  <si>
    <t>WMT10730</t>
  </si>
  <si>
    <t>WMT10325</t>
  </si>
  <si>
    <t>WMT10780</t>
  </si>
  <si>
    <t>WMT10492</t>
  </si>
  <si>
    <t>WMT10937</t>
  </si>
  <si>
    <t>WMT10631</t>
  </si>
  <si>
    <t>WMT10299</t>
  </si>
  <si>
    <t>WMT10555</t>
  </si>
  <si>
    <t>WMT10613</t>
  </si>
  <si>
    <t>WMT10187</t>
  </si>
  <si>
    <t>WMT10815</t>
  </si>
  <si>
    <t>WMT10829</t>
  </si>
  <si>
    <t>WMT10364</t>
  </si>
  <si>
    <t>WMT10129</t>
  </si>
  <si>
    <t>WMT10991</t>
  </si>
  <si>
    <t>WMT10899</t>
  </si>
  <si>
    <t>WMT10636</t>
  </si>
  <si>
    <t>WMT10083</t>
  </si>
  <si>
    <t>WMT10395</t>
  </si>
  <si>
    <t>WMT10462</t>
  </si>
  <si>
    <t>WMT10342</t>
  </si>
  <si>
    <t>WMT10984</t>
  </si>
  <si>
    <t>WMT10524</t>
  </si>
  <si>
    <t>WMT10609</t>
  </si>
  <si>
    <t>WMT10838</t>
  </si>
  <si>
    <t>WMT10680</t>
  </si>
  <si>
    <t>WMT10304</t>
  </si>
  <si>
    <t>WMT10065</t>
  </si>
  <si>
    <t>WMT10471</t>
  </si>
  <si>
    <t>WMT10147</t>
  </si>
  <si>
    <t>WMT10817</t>
  </si>
  <si>
    <t>WMT10502</t>
  </si>
  <si>
    <t>WMT10559</t>
  </si>
  <si>
    <t>WMT10090</t>
  </si>
  <si>
    <t>WMT10983</t>
  </si>
  <si>
    <t>WMT10693</t>
  </si>
  <si>
    <t>WMT10231</t>
  </si>
  <si>
    <t>WMT10448</t>
  </si>
  <si>
    <t>WMT10115</t>
  </si>
  <si>
    <t>WMT10430</t>
  </si>
  <si>
    <t>WMT10352</t>
  </si>
  <si>
    <t>WMT10069</t>
  </si>
  <si>
    <t>WMT10790</t>
  </si>
  <si>
    <t>WMT10667</t>
  </si>
  <si>
    <t>WMT10782</t>
  </si>
  <si>
    <t>WMT10160</t>
  </si>
  <si>
    <t>WMT10839</t>
  </si>
  <si>
    <t>WMT10485</t>
  </si>
  <si>
    <t>WMT10420</t>
  </si>
  <si>
    <t>WMT10697</t>
  </si>
  <si>
    <t>WMT10170</t>
  </si>
  <si>
    <t>WMT10442</t>
  </si>
  <si>
    <t>WMT10311</t>
  </si>
  <si>
    <t>WMT10265</t>
  </si>
  <si>
    <t>WMT10888</t>
  </si>
  <si>
    <t>WMT10783</t>
  </si>
  <si>
    <t>WMT10223</t>
  </si>
  <si>
    <t>WMT10924</t>
  </si>
  <si>
    <t>WMT10755</t>
  </si>
  <si>
    <t>WMT10733</t>
  </si>
  <si>
    <t>WMT10582</t>
  </si>
  <si>
    <t>WMT10453</t>
  </si>
  <si>
    <t>WMT10322</t>
  </si>
  <si>
    <t>WMT10666</t>
  </si>
  <si>
    <t>WMT10630</t>
  </si>
  <si>
    <t>WMT10301</t>
  </si>
  <si>
    <t>WMT10123</t>
  </si>
  <si>
    <t>WMT10394</t>
  </si>
  <si>
    <t>WMT11000</t>
  </si>
  <si>
    <t>WMT10879</t>
  </si>
  <si>
    <t>WMT10183</t>
  </si>
  <si>
    <t>WMT10297</t>
  </si>
  <si>
    <t>WMT10288</t>
  </si>
  <si>
    <t>WMT10772</t>
  </si>
  <si>
    <t>WMT10673</t>
  </si>
  <si>
    <t>WMT10642</t>
  </si>
  <si>
    <t>WMT10047</t>
  </si>
  <si>
    <t>WMT10176</t>
  </si>
  <si>
    <t>WMT10584</t>
  </si>
  <si>
    <t>WMT10592</t>
  </si>
  <si>
    <t>WMT10461</t>
  </si>
  <si>
    <t>WMT10963</t>
  </si>
  <si>
    <t>WMT10956</t>
  </si>
  <si>
    <t>WMT10134</t>
  </si>
  <si>
    <t>WMT10475</t>
  </si>
  <si>
    <t>WMT10402</t>
  </si>
  <si>
    <t>WMT10003</t>
  </si>
  <si>
    <t>WMT10163</t>
  </si>
  <si>
    <t>WMT10739</t>
  </si>
  <si>
    <t>WMT10452</t>
  </si>
  <si>
    <t>WMT10894</t>
  </si>
  <si>
    <t>WMT10406</t>
  </si>
  <si>
    <t>WMT10158</t>
  </si>
  <si>
    <t>WMT10243</t>
  </si>
  <si>
    <t>WMT10300</t>
  </si>
  <si>
    <t>WMT10523</t>
  </si>
  <si>
    <t>WMT10377</t>
  </si>
  <si>
    <t>WMT10192</t>
  </si>
  <si>
    <t>WMT10162</t>
  </si>
  <si>
    <t>WMT10018</t>
  </si>
  <si>
    <t>WMT10279</t>
  </si>
  <si>
    <t>WMT10792</t>
  </si>
  <si>
    <t>WMT10431</t>
  </si>
  <si>
    <t>WMT10234</t>
  </si>
  <si>
    <t>WMT10473</t>
  </si>
  <si>
    <t>WMT10569</t>
  </si>
  <si>
    <t>WMT10767</t>
  </si>
  <si>
    <t>WMT10284</t>
  </si>
  <si>
    <t>WMT10044</t>
  </si>
  <si>
    <t>WMT10060</t>
  </si>
  <si>
    <t>WMT10344</t>
  </si>
  <si>
    <t>WMT10078</t>
  </si>
  <si>
    <t>WMT10456</t>
  </si>
  <si>
    <t>WMT10096</t>
  </si>
  <si>
    <t>WMT10533</t>
  </si>
  <si>
    <t>WMT10662</t>
  </si>
  <si>
    <t>WMT10952</t>
  </si>
  <si>
    <t>WMT10853</t>
  </si>
  <si>
    <t>WMT10266</t>
  </si>
  <si>
    <t>WMT10240</t>
  </si>
  <si>
    <t>WMT10540</t>
  </si>
  <si>
    <t>WMT10276</t>
  </si>
  <si>
    <t>WMT10990</t>
  </si>
  <si>
    <t>WMT10319</t>
  </si>
  <si>
    <t>WMT10944</t>
  </si>
  <si>
    <t>WMT10889</t>
  </si>
  <si>
    <t>WMT10455</t>
  </si>
  <si>
    <t>WMT10470</t>
  </si>
  <si>
    <t>WMT10933</t>
  </si>
  <si>
    <t>WMT10749</t>
  </si>
  <si>
    <t>WMT10664</t>
  </si>
  <si>
    <t>WMT10146</t>
  </si>
  <si>
    <t>WMT10724</t>
  </si>
  <si>
    <t>WMT10822</t>
  </si>
  <si>
    <t>WMT10061</t>
  </si>
  <si>
    <t>WMT10588</t>
  </si>
  <si>
    <t>WMT10520</t>
  </si>
  <si>
    <t>WMT10143</t>
  </si>
  <si>
    <t>WMT10368</t>
  </si>
  <si>
    <t>WMT10257</t>
  </si>
  <si>
    <t>WMT10427</t>
  </si>
  <si>
    <t>WMT10340</t>
  </si>
  <si>
    <t>WMT10736</t>
  </si>
  <si>
    <t>WMT10950</t>
  </si>
  <si>
    <t>WMT10591</t>
  </si>
  <si>
    <t>WMT10751</t>
  </si>
  <si>
    <t>WMT10728</t>
  </si>
  <si>
    <t>WMT10560</t>
  </si>
  <si>
    <t>WMT10084</t>
  </si>
  <si>
    <t>WMT10348</t>
  </si>
  <si>
    <t>WMT10191</t>
  </si>
  <si>
    <t>WMT10180</t>
  </si>
  <si>
    <t>WMT10922</t>
  </si>
  <si>
    <t>WMT10489</t>
  </si>
  <si>
    <t>WMT10410</t>
  </si>
  <si>
    <t>WMT10383</t>
  </si>
  <si>
    <t>WMT10095</t>
  </si>
  <si>
    <t>WMT10901</t>
  </si>
  <si>
    <t>WMT10041</t>
  </si>
  <si>
    <t>WMT10827</t>
  </si>
  <si>
    <t>WMT10862</t>
  </si>
  <si>
    <t>WMT10836</t>
  </si>
  <si>
    <t>WMT10519</t>
  </si>
  <si>
    <t>WMT10498</t>
  </si>
  <si>
    <t>WMT10338</t>
  </si>
  <si>
    <t>WMT10008</t>
  </si>
  <si>
    <t>WMT10964</t>
  </si>
  <si>
    <t>WMT10595</t>
  </si>
  <si>
    <t>WMT10695</t>
  </si>
  <si>
    <t>WMT10019</t>
  </si>
  <si>
    <t>WMT10218</t>
  </si>
  <si>
    <t>WMT10532</t>
  </si>
  <si>
    <t>WMT10615</t>
  </si>
  <si>
    <t>WMT10805</t>
  </si>
  <si>
    <t>WMT10940</t>
  </si>
  <si>
    <t>WMT10082</t>
  </si>
  <si>
    <t>WMT10028</t>
  </si>
  <si>
    <t>WMT10931</t>
  </si>
  <si>
    <t>WMT10270</t>
  </si>
  <si>
    <t>WMT10965</t>
  </si>
  <si>
    <t>WMT10233</t>
  </si>
  <si>
    <t>WMT10290</t>
  </si>
  <si>
    <t>WMT10660</t>
  </si>
  <si>
    <t>WMT10221</t>
  </si>
  <si>
    <t>WMT10316</t>
  </si>
  <si>
    <t>WMT10647</t>
  </si>
  <si>
    <t>WMT10566</t>
  </si>
  <si>
    <t>WMT10512</t>
  </si>
  <si>
    <t>WMT10593</t>
  </si>
  <si>
    <t>WMT10035</t>
  </si>
  <si>
    <t>WMT10486</t>
  </si>
  <si>
    <t>WMT10998</t>
  </si>
  <si>
    <t>WMT10070</t>
  </si>
  <si>
    <t>WMT10583</t>
  </si>
  <si>
    <t>WMT10600</t>
  </si>
  <si>
    <t>WMT10722</t>
  </si>
  <si>
    <t>WMT10450</t>
  </si>
  <si>
    <t>WMT10150</t>
  </si>
  <si>
    <t>WMT10690</t>
  </si>
  <si>
    <t>WMT10996</t>
  </si>
  <si>
    <t>WMT10648</t>
  </si>
  <si>
    <t>WMT10871</t>
  </si>
  <si>
    <t>WMT10531</t>
  </si>
  <si>
    <t>WMT10986</t>
  </si>
  <si>
    <t>WMT10376</t>
  </si>
  <si>
    <t>WMT10002</t>
  </si>
  <si>
    <t>WMT10574</t>
  </si>
  <si>
    <t>WMT10137</t>
  </si>
  <si>
    <t>WMT10154</t>
  </si>
  <si>
    <t>WMT10947</t>
  </si>
  <si>
    <t>WMT10317</t>
  </si>
  <si>
    <t>WMT10930</t>
  </si>
  <si>
    <t>WMT10296</t>
  </si>
  <si>
    <t>WMT10025</t>
  </si>
  <si>
    <t>WMT10281</t>
  </si>
  <si>
    <t>WMT10876</t>
  </si>
  <si>
    <t>WMT10114</t>
  </si>
  <si>
    <t>WMT10474</t>
  </si>
  <si>
    <t>WMT10573</t>
  </si>
  <si>
    <t>WMT10629</t>
  </si>
  <si>
    <t>WMT10309</t>
  </si>
  <si>
    <t>WMT10572</t>
  </si>
  <si>
    <t>WMT10534</t>
  </si>
  <si>
    <t>WMT10570</t>
  </si>
  <si>
    <t>WMT10679</t>
  </si>
  <si>
    <t>WMT10820</t>
  </si>
  <si>
    <t>WMT10179</t>
  </si>
  <si>
    <t>WMT10407</t>
  </si>
  <si>
    <t>WMT10513</t>
  </si>
  <si>
    <t>WMT10422</t>
  </si>
  <si>
    <t>WMT10076</t>
  </si>
  <si>
    <t>WMT10064</t>
  </si>
  <si>
    <t>WMT10977</t>
  </si>
  <si>
    <t>WMT10773</t>
  </si>
  <si>
    <t>WMT10203</t>
  </si>
  <si>
    <t>WMT10127</t>
  </si>
  <si>
    <t>WMT10812</t>
  </si>
  <si>
    <t>WMT10378</t>
  </si>
  <si>
    <t>WMT10633</t>
  </si>
  <si>
    <t>WMT10929</t>
  </si>
  <si>
    <t>WMT10443</t>
  </si>
  <si>
    <t>WMT10646</t>
  </si>
  <si>
    <t>WMT10113</t>
  </si>
  <si>
    <t>WMT10976</t>
  </si>
  <si>
    <t>WMT10107</t>
  </si>
  <si>
    <t>WMT10807</t>
  </si>
  <si>
    <t>WMT10589</t>
  </si>
  <si>
    <t>WMT10778</t>
  </si>
  <si>
    <t>WMT10895</t>
  </si>
  <si>
    <t>WMT10885</t>
  </si>
  <si>
    <t>WMT10553</t>
  </si>
  <si>
    <t>WMT10343</t>
  </si>
  <si>
    <t>WMT10601</t>
  </si>
  <si>
    <t>WMT10717</t>
  </si>
  <si>
    <t>WMT10936</t>
  </si>
  <si>
    <t>WMT10189</t>
  </si>
  <si>
    <t>WMT10883</t>
  </si>
  <si>
    <t>WMT10578</t>
  </si>
  <si>
    <t>WMT10750</t>
  </si>
  <si>
    <t>WMT10459</t>
  </si>
  <si>
    <t>WMT10616</t>
  </si>
  <si>
    <t>WMT10745</t>
  </si>
  <si>
    <t>WMT10741</t>
  </si>
  <si>
    <t>WMT10494</t>
  </si>
  <si>
    <t>WMT10237</t>
  </si>
  <si>
    <t>WMT10882</t>
  </si>
  <si>
    <t>WMT10379</t>
  </si>
  <si>
    <t>WMT10363</t>
  </si>
  <si>
    <t>WMT10039</t>
  </si>
  <si>
    <t>WMT10725</t>
  </si>
  <si>
    <t>WMT10713</t>
  </si>
  <si>
    <t>WMT10007</t>
  </si>
  <si>
    <t>WMT10757</t>
  </si>
  <si>
    <t>WMT10045</t>
  </si>
  <si>
    <t>WMT10997</t>
  </si>
  <si>
    <t>WMT10973</t>
  </si>
  <si>
    <t>WMT10912</t>
  </si>
  <si>
    <t>WMT10267</t>
  </si>
  <si>
    <t>WMT10719</t>
  </si>
  <si>
    <t>WMT10796</t>
  </si>
  <si>
    <t>WMT10048</t>
  </si>
  <si>
    <t>WMT10197</t>
  </si>
  <si>
    <t>WMT10536</t>
  </si>
  <si>
    <t>WMT10797</t>
  </si>
  <si>
    <t>WMT10525</t>
  </si>
  <si>
    <t>WMT10094</t>
  </si>
  <si>
    <t>WMT10421</t>
  </si>
  <si>
    <t>WMT10959</t>
  </si>
  <si>
    <t>WMT10857</t>
  </si>
  <si>
    <t>WMT10332</t>
  </si>
  <si>
    <t>WMT10385</t>
  </si>
  <si>
    <t>WMT10852</t>
  </si>
  <si>
    <t>WMT10073</t>
  </si>
  <si>
    <t>WMT10416</t>
  </si>
  <si>
    <t>WMT10962</t>
  </si>
  <si>
    <t>WMT10023</t>
  </si>
  <si>
    <t>WMT10497</t>
  </si>
  <si>
    <t>WMT10539</t>
  </si>
  <si>
    <t>WMT10625</t>
  </si>
  <si>
    <t>WMT10353</t>
  </si>
  <si>
    <t>WMT10140</t>
  </si>
  <si>
    <t>WMT10396</t>
  </si>
  <si>
    <t>WMT10239</t>
  </si>
  <si>
    <t>WMT10875</t>
  </si>
  <si>
    <t>WMT10708</t>
  </si>
  <si>
    <t>WMT10121</t>
  </si>
  <si>
    <t>WMT10547</t>
  </si>
  <si>
    <t>WMT10503</t>
  </si>
  <si>
    <t>WMT10236</t>
  </si>
  <si>
    <t>WMT10774</t>
  </si>
  <si>
    <t>WMT10808</t>
  </si>
  <si>
    <t>WMT10411</t>
  </si>
  <si>
    <t>WMT10263</t>
  </si>
  <si>
    <t>WMT10446</t>
  </si>
  <si>
    <t>WMT10561</t>
  </si>
  <si>
    <t>WMT10454</t>
  </si>
  <si>
    <t>WMT10321</t>
  </si>
  <si>
    <t>WMT10361</t>
  </si>
  <si>
    <t>WMT10145</t>
  </si>
  <si>
    <t>WMT10252</t>
  </si>
  <si>
    <t>WMT10908</t>
  </si>
  <si>
    <t>WMT10752</t>
  </si>
  <si>
    <t>WMT10013</t>
  </si>
  <si>
    <t>WMT10277</t>
  </si>
  <si>
    <t>WMT10865</t>
  </si>
  <si>
    <t>WMT10213</t>
  </si>
  <si>
    <t>WMT10638</t>
  </si>
  <si>
    <t>WMT10568</t>
  </si>
  <si>
    <t>WMT10917</t>
  </si>
  <si>
    <t>WMT10801</t>
  </si>
  <si>
    <t>WMT10369</t>
  </si>
  <si>
    <t>WMT10556</t>
  </si>
  <si>
    <t>WMT10521</t>
  </si>
  <si>
    <t>WMT10925</t>
  </si>
  <si>
    <t>WMT10315</t>
  </si>
  <si>
    <t>WMT10656</t>
  </si>
  <si>
    <t>WMT10119</t>
  </si>
  <si>
    <t>WMT10508</t>
  </si>
  <si>
    <t>WMT10881</t>
  </si>
  <si>
    <t>WMT10863</t>
  </si>
  <si>
    <t>WMT10166</t>
  </si>
  <si>
    <t>WMT10429</t>
  </si>
  <si>
    <t>WMT10723</t>
  </si>
  <si>
    <t>WMT10330</t>
  </si>
  <si>
    <t>WMT10216</t>
  </si>
  <si>
    <t>WMT10278</t>
  </si>
  <si>
    <t>WMT10125</t>
  </si>
  <si>
    <t>WMT10117</t>
  </si>
  <si>
    <t>WMT10100</t>
  </si>
  <si>
    <t>WMT10101</t>
  </si>
  <si>
    <t>WMT10626</t>
  </si>
  <si>
    <t>WMT10821</t>
  </si>
  <si>
    <t>WMT10207</t>
  </si>
  <si>
    <t>WMT10444</t>
  </si>
  <si>
    <t>WMT10289</t>
  </si>
  <si>
    <t>WMT10907</t>
  </si>
  <si>
    <t>WMT10966</t>
  </si>
  <si>
    <t>WMT10015</t>
  </si>
  <si>
    <t>WMT10009</t>
  </si>
  <si>
    <t>WMT10923</t>
  </si>
  <si>
    <t>WMT10056</t>
  </si>
  <si>
    <t>WMT10293</t>
  </si>
  <si>
    <t>WMT10546</t>
  </si>
  <si>
    <t>WMT10567</t>
  </si>
  <si>
    <t>WMT10641</t>
  </si>
  <si>
    <t>WMT10825</t>
  </si>
  <si>
    <t>WMT10919</t>
  </si>
  <si>
    <t>WMT10900</t>
  </si>
  <si>
    <t>WMT10256</t>
  </si>
  <si>
    <t>WMT10514</t>
  </si>
  <si>
    <t>WMT10022</t>
  </si>
  <si>
    <t>WMT10439</t>
  </si>
  <si>
    <t>WMT10435</t>
  </si>
  <si>
    <t>WMT10607</t>
  </si>
  <si>
    <t>WMT10718</t>
  </si>
  <si>
    <t>WMT10545</t>
  </si>
  <si>
    <t>WMT10287</t>
  </si>
  <si>
    <t>WMT10542</t>
  </si>
  <si>
    <t>WMT10031</t>
  </si>
  <si>
    <t>WMT10995</t>
  </si>
  <si>
    <t>WMT10705</t>
  </si>
  <si>
    <t>WMT10846</t>
  </si>
  <si>
    <t>WMT10118</t>
  </si>
  <si>
    <t>WMT10393</t>
  </si>
  <si>
    <t>WMT10941</t>
  </si>
  <si>
    <t>WMT10157</t>
  </si>
  <si>
    <t>WMT10210</t>
  </si>
  <si>
    <t>WMT10021</t>
  </si>
  <si>
    <t>WMT10939</t>
  </si>
  <si>
    <t>WMT10756</t>
  </si>
  <si>
    <t>WMT10010</t>
  </si>
  <si>
    <t>WMT10079</t>
  </si>
  <si>
    <t>WMT10970</t>
  </si>
  <si>
    <t>WMT10467</t>
  </si>
  <si>
    <t>WMT10968</t>
  </si>
  <si>
    <t>WMT10868</t>
  </si>
  <si>
    <t>WMT10529</t>
  </si>
  <si>
    <t>WMT10089</t>
  </si>
  <si>
    <t>WMT10434</t>
  </si>
  <si>
    <t>WMT10975</t>
  </si>
  <si>
    <t>WMT10541</t>
  </si>
  <si>
    <t>WMT10699</t>
  </si>
  <si>
    <t>WMT10649</t>
  </si>
  <si>
    <t>WMT10122</t>
  </si>
  <si>
    <t>WMT10375</t>
  </si>
  <si>
    <t>WMT10222</t>
  </si>
  <si>
    <t>WMT10370</t>
  </si>
  <si>
    <t>WMT10437</t>
  </si>
  <si>
    <t>WMT10477</t>
  </si>
  <si>
    <t>WMT10665</t>
  </si>
  <si>
    <t>WMT10715</t>
  </si>
  <si>
    <t>WMT10110</t>
  </si>
  <si>
    <t>WMT10314</t>
  </si>
  <si>
    <t>WMT10178</t>
  </si>
  <si>
    <t>WMT10184</t>
  </si>
  <si>
    <t>WMT10526</t>
  </si>
  <si>
    <t>WMT10720</t>
  </si>
  <si>
    <t>WMT10710</t>
  </si>
  <si>
    <t>WMT10302</t>
  </si>
  <si>
    <t>WMT10517</t>
  </si>
  <si>
    <t>WMT10490</t>
  </si>
  <si>
    <t>WMT10024</t>
  </si>
  <si>
    <t>WMT10855</t>
  </si>
  <si>
    <t>WMT10320</t>
  </si>
  <si>
    <t>WMT10684</t>
  </si>
  <si>
    <t>WMT10463</t>
  </si>
  <si>
    <t>WMT10653</t>
  </si>
  <si>
    <t>WMT10753</t>
  </si>
  <si>
    <t>WMT10906</t>
  </si>
  <si>
    <t>WMT10850</t>
  </si>
  <si>
    <t>WMT10357</t>
  </si>
  <si>
    <t>WMT10505</t>
  </si>
  <si>
    <t>WMT10242</t>
  </si>
  <si>
    <t>WMT10403</t>
  </si>
  <si>
    <t>WMT10405</t>
  </si>
  <si>
    <t>WMT10859</t>
  </si>
  <si>
    <t>WMT10943</t>
  </si>
  <si>
    <t>WMT10097</t>
  </si>
  <si>
    <t>WMT10731</t>
  </si>
  <si>
    <t>WMT10177</t>
  </si>
  <si>
    <t>WMT10138</t>
  </si>
  <si>
    <t>WMT10152</t>
  </si>
  <si>
    <t>WMT10999</t>
  </si>
  <si>
    <t>WMT10681</t>
  </si>
  <si>
    <t>WMT10323</t>
  </si>
  <si>
    <t>WMT10760</t>
  </si>
  <si>
    <t>WMT10840</t>
  </si>
  <si>
    <t>WMT10391</t>
  </si>
  <si>
    <t>WMT10834</t>
  </si>
  <si>
    <t>WMT10590</t>
  </si>
  <si>
    <t>WMT10055</t>
  </si>
  <si>
    <t>WMT10967</t>
  </si>
  <si>
    <t>WMT10310</t>
  </si>
  <si>
    <t>WMT10551</t>
  </si>
  <si>
    <t>WMT10250</t>
  </si>
  <si>
    <t>WMT10331</t>
  </si>
  <si>
    <t>WMT10305</t>
  </si>
  <si>
    <t>WMT10173</t>
  </si>
  <si>
    <t>WMT10612</t>
  </si>
  <si>
    <t>WMT10409</t>
  </si>
  <si>
    <t>WMT10042</t>
  </si>
  <si>
    <t>WMT10861</t>
  </si>
  <si>
    <t>WMT10548</t>
  </si>
  <si>
    <t>WMT10202</t>
  </si>
  <si>
    <t>WMT10074</t>
  </si>
  <si>
    <t>WMT10248</t>
  </si>
  <si>
    <t>WMT10611</t>
  </si>
  <si>
    <t>WMT10910</t>
  </si>
  <si>
    <t>WMT10230</t>
  </si>
  <si>
    <t>WMT10483</t>
  </si>
  <si>
    <t>WMT10692</t>
  </si>
  <si>
    <t>WMT10351</t>
  </si>
  <si>
    <t>WMT10164</t>
  </si>
  <si>
    <t>WMT10640</t>
  </si>
  <si>
    <t>WMT10957</t>
  </si>
  <si>
    <t>WMT10703</t>
  </si>
  <si>
    <t>WMT10558</t>
  </si>
  <si>
    <t>WMT10913</t>
  </si>
  <si>
    <t>WMT10671</t>
  </si>
  <si>
    <t>WMT10622</t>
  </si>
  <si>
    <t>WMT10312</t>
  </si>
  <si>
    <t>WMT10336</t>
  </si>
  <si>
    <t>WMT10599</t>
  </si>
  <si>
    <t>WMT10914</t>
  </si>
  <si>
    <t>WMT10401</t>
  </si>
  <si>
    <t>WMT10993</t>
  </si>
  <si>
    <t>WMT10260</t>
  </si>
  <si>
    <t>WMT10921</t>
  </si>
  <si>
    <t>WMT10877</t>
  </si>
  <si>
    <t>WMT10535</t>
  </si>
  <si>
    <t>WMT10481</t>
  </si>
  <si>
    <t>WMT10283</t>
  </si>
  <si>
    <t>WMT10835</t>
  </si>
  <si>
    <t>WMT10938</t>
  </si>
  <si>
    <t>WMT10495</t>
  </si>
  <si>
    <t>WMT10386</t>
  </si>
  <si>
    <t>WMT10793</t>
  </si>
  <si>
    <t>WMT10040</t>
  </si>
  <si>
    <t>WMT10199</t>
  </si>
  <si>
    <t>WMT10488</t>
  </si>
  <si>
    <t>WMT10870</t>
  </si>
  <si>
    <t>WMT10843</t>
  </si>
  <si>
    <t>WMT10527</t>
  </si>
  <si>
    <t>WMT10198</t>
  </si>
  <si>
    <t>WMT10639</t>
  </si>
  <si>
    <t>WMT10102</t>
  </si>
  <si>
    <t>WMT10374</t>
  </si>
  <si>
    <t>WMT10484</t>
  </si>
  <si>
    <t>WMT10848</t>
  </si>
  <si>
    <t>WMT10126</t>
  </si>
  <si>
    <t>WMT10604</t>
  </si>
  <si>
    <t>WMT10400</t>
  </si>
  <si>
    <t>WMT10550</t>
  </si>
  <si>
    <t>WMT10182</t>
  </si>
  <si>
    <t>WMT10698</t>
  </si>
  <si>
    <t>WMT10787</t>
  </si>
  <si>
    <t>WMT10761</t>
  </si>
  <si>
    <t>WMT10605</t>
  </si>
  <si>
    <t>WMT10799</t>
  </si>
  <si>
    <t>WMT10823</t>
  </si>
  <si>
    <t>WMT10759</t>
  </si>
  <si>
    <t>WMT10235</t>
  </si>
  <si>
    <t>WMT10433</t>
  </si>
  <si>
    <t>WMT10951</t>
  </si>
  <si>
    <t>WMT10214</t>
  </si>
  <si>
    <t>WMT10423</t>
  </si>
  <si>
    <t>WMT10226</t>
  </si>
  <si>
    <t>WMT10509</t>
  </si>
  <si>
    <t>WMT10504</t>
  </si>
  <si>
    <t>WMT10650</t>
  </si>
  <si>
    <t>WMT10081</t>
  </si>
  <si>
    <t>WMT10920</t>
  </si>
  <si>
    <t>WMT10628</t>
  </si>
  <si>
    <t>WMT10747</t>
  </si>
  <si>
    <t>WMT10969</t>
  </si>
  <si>
    <t>WMT10676</t>
  </si>
  <si>
    <t>WMT10989</t>
  </si>
  <si>
    <t>WMT10390</t>
  </si>
  <si>
    <t>WMT10788</t>
  </si>
  <si>
    <t>WMT10014</t>
  </si>
  <si>
    <t>WMT10274</t>
  </si>
  <si>
    <t>WMT10365</t>
  </si>
  <si>
    <t>WMT10445</t>
  </si>
  <si>
    <t>WMT10813</t>
  </si>
  <si>
    <t>WMT10030</t>
  </si>
  <si>
    <t>WMT10354</t>
  </si>
  <si>
    <t>WMT10052</t>
  </si>
  <si>
    <t>WMT10654</t>
  </si>
  <si>
    <t>WMT10341</t>
  </si>
  <si>
    <t>WMT10988</t>
  </si>
  <si>
    <t>WMT10366</t>
  </si>
  <si>
    <t>WMT10744</t>
  </si>
  <si>
    <t>WMT10206</t>
  </si>
  <si>
    <t>WMT10460</t>
  </si>
  <si>
    <t>WMT10413</t>
  </si>
  <si>
    <t>WMT10135</t>
  </si>
  <si>
    <t>WMT10034</t>
  </si>
  <si>
    <t>WMT10425</t>
  </si>
  <si>
    <t>WMT10088</t>
  </si>
  <si>
    <t>WMT10109</t>
  </si>
  <si>
    <t>WMT10769</t>
  </si>
  <si>
    <t>WMT10580</t>
  </si>
  <si>
    <t>WMT10011</t>
  </si>
  <si>
    <t>WMT10909</t>
  </si>
  <si>
    <t>WMT10678</t>
  </si>
  <si>
    <t>WMT10175</t>
  </si>
  <si>
    <t>WMT10819</t>
  </si>
  <si>
    <t>WMT10980</t>
  </si>
  <si>
    <t>WMT10418</t>
  </si>
  <si>
    <t>WMT10098</t>
  </si>
  <si>
    <t>WMT10814</t>
  </si>
  <si>
    <t>WMT10890</t>
  </si>
  <si>
    <t>WMT10215</t>
  </si>
  <si>
    <t>WMT10884</t>
  </si>
  <si>
    <t>WMT10500</t>
  </si>
  <si>
    <t>WMT10897</t>
  </si>
  <si>
    <t>WMT10748</t>
  </si>
  <si>
    <t>WMT10382</t>
  </si>
  <si>
    <t>WMT10543</t>
  </si>
  <si>
    <t>WMT10621</t>
  </si>
  <si>
    <t>WMT10918</t>
  </si>
  <si>
    <t>WMT10156</t>
  </si>
  <si>
    <t>WMT10058</t>
  </si>
  <si>
    <t>WMT10194</t>
  </si>
  <si>
    <t>WMT10958</t>
  </si>
  <si>
    <t>WMT10892</t>
  </si>
  <si>
    <t>WMT10586</t>
  </si>
  <si>
    <t>WMT10706</t>
  </si>
  <si>
    <t>WMT10339</t>
  </si>
  <si>
    <t>WMT10971</t>
  </si>
  <si>
    <t>WMT10209</t>
  </si>
  <si>
    <t>WMT10978</t>
  </si>
  <si>
    <t>WMT10683</t>
  </si>
  <si>
    <t>WMT10062</t>
  </si>
  <si>
    <t>WMT10831</t>
  </si>
  <si>
    <t>WMT10006</t>
  </si>
  <si>
    <t>WMT10691</t>
  </si>
  <si>
    <t>WMT10841</t>
  </si>
  <si>
    <t>WMT10904</t>
  </si>
  <si>
    <t>WMT10372</t>
  </si>
  <si>
    <t>WMT10116</t>
  </si>
  <si>
    <t>Target_Margin</t>
  </si>
  <si>
    <t>Category_Manager</t>
  </si>
  <si>
    <t>Amit</t>
  </si>
  <si>
    <t>Priya</t>
  </si>
  <si>
    <t>Rahul</t>
  </si>
  <si>
    <t>Sneha</t>
  </si>
  <si>
    <t>Vikram</t>
  </si>
  <si>
    <t>KPI</t>
  </si>
  <si>
    <t>Values</t>
  </si>
  <si>
    <t xml:space="preserve">Total Sales </t>
  </si>
  <si>
    <t xml:space="preserve">Total Profit </t>
  </si>
  <si>
    <t>Total_quantity Sold</t>
  </si>
  <si>
    <t>Avearge Sales</t>
  </si>
  <si>
    <t>Average Profit</t>
  </si>
  <si>
    <t>Highest_Sales Value</t>
  </si>
  <si>
    <t xml:space="preserve">Lowest_Sales Value </t>
  </si>
  <si>
    <t xml:space="preserve">Highest_Profit Value </t>
  </si>
  <si>
    <t xml:space="preserve">Lowest_Profit Value </t>
  </si>
  <si>
    <t xml:space="preserve">Avarage_customer Rating </t>
  </si>
  <si>
    <t xml:space="preserve">Total_no orders </t>
  </si>
  <si>
    <t xml:space="preserve">Number of Products </t>
  </si>
  <si>
    <t>Total electronics sales</t>
  </si>
  <si>
    <t>Total grocery sales</t>
  </si>
  <si>
    <t>Total Profit furniture</t>
  </si>
  <si>
    <t>Total clothing Quaninty sold</t>
  </si>
  <si>
    <t>no of electronics Orders</t>
  </si>
  <si>
    <t>no of member customers</t>
  </si>
  <si>
    <t>averge regular customer sales</t>
  </si>
  <si>
    <t xml:space="preserve">averge profit of new customer </t>
  </si>
  <si>
    <t>total west region sales</t>
  </si>
  <si>
    <t xml:space="preserve">total profit south region </t>
  </si>
  <si>
    <t>total sales of Electronics members</t>
  </si>
  <si>
    <t>total grocery_sales_regular_cust</t>
  </si>
  <si>
    <t>total profit of electronics in west</t>
  </si>
  <si>
    <t>electronics_orders_memberscust</t>
  </si>
  <si>
    <t>average_sales_regular_south</t>
  </si>
  <si>
    <t>total clothing_sales_UPI</t>
  </si>
  <si>
    <t>total_profit_electroics (10%)</t>
  </si>
  <si>
    <t>no_orders_west (rating&gt;4)</t>
  </si>
  <si>
    <t>total sales for each month</t>
  </si>
  <si>
    <t>total profit for each month</t>
  </si>
  <si>
    <t>month with highest sales</t>
  </si>
  <si>
    <t>month with lowest sales</t>
  </si>
  <si>
    <t>month with highest profit</t>
  </si>
  <si>
    <t>Sum of Sales</t>
  </si>
  <si>
    <t>Grand Total</t>
  </si>
  <si>
    <t>Pivot table 1 - Category Analysis</t>
  </si>
  <si>
    <t xml:space="preserve">HIGHEST SALES </t>
  </si>
  <si>
    <t>Sum of Profit</t>
  </si>
  <si>
    <t>Sum of Quantity</t>
  </si>
  <si>
    <t>Which category has the highest Sales?</t>
  </si>
  <si>
    <t>Which category has the highest Profit?</t>
  </si>
  <si>
    <t>Which category has the highest Quantity?</t>
  </si>
  <si>
    <r>
      <rPr>
        <b/>
        <sz val="12"/>
        <color theme="1"/>
        <rFont val="Calibri"/>
        <charset val="134"/>
        <scheme val="minor"/>
      </rPr>
      <t>Pivot Table 2 – Region Analysis</t>
    </r>
    <r>
      <rPr>
        <b/>
        <sz val="11"/>
        <color theme="1"/>
        <rFont val="Calibri"/>
        <charset val="134"/>
        <scheme val="minor"/>
      </rPr>
      <t xml:space="preserve">
</t>
    </r>
  </si>
  <si>
    <t>Which region has the highest Sales?</t>
  </si>
  <si>
    <t>Which region has the highest Profit?</t>
  </si>
  <si>
    <t>Which region has the highest Quantity?</t>
  </si>
  <si>
    <r>
      <rPr>
        <b/>
        <sz val="12"/>
        <color theme="1"/>
        <rFont val="Calibri"/>
        <charset val="134"/>
        <scheme val="minor"/>
      </rPr>
      <t>Pivot Table 3 – Customer Analysis</t>
    </r>
    <r>
      <rPr>
        <sz val="11"/>
        <color theme="1"/>
        <rFont val="Calibri"/>
        <charset val="134"/>
        <scheme val="minor"/>
      </rPr>
      <t xml:space="preserve">
</t>
    </r>
  </si>
  <si>
    <t>Which customer type generates the highest Sales?</t>
  </si>
  <si>
    <t xml:space="preserve"> Which customer type generates the highest Profit?</t>
  </si>
  <si>
    <t>Which customer type purchases the highest Quantity?</t>
  </si>
  <si>
    <r>
      <rPr>
        <b/>
        <sz val="12"/>
        <color theme="1"/>
        <rFont val="Calibri"/>
        <charset val="134"/>
        <scheme val="minor"/>
      </rPr>
      <t>Pivot Table 4 – Payment Analysis</t>
    </r>
    <r>
      <rPr>
        <sz val="11"/>
        <color theme="1"/>
        <rFont val="Calibri"/>
        <charset val="134"/>
        <scheme val="minor"/>
      </rPr>
      <t xml:space="preserve">
</t>
    </r>
  </si>
  <si>
    <t> Which payment method generates the highest Sales?</t>
  </si>
  <si>
    <t>Which payment method generates the highest Profit?</t>
  </si>
  <si>
    <t>Which payment method has the highest number of transactions?</t>
  </si>
  <si>
    <t xml:space="preserve">Which category is performing the best?
</t>
  </si>
  <si>
    <t xml:space="preserve">Which month has the lowest Sales?
</t>
  </si>
  <si>
    <t xml:space="preserve">--&gt; Electronics </t>
  </si>
  <si>
    <t>--&gt; June</t>
  </si>
  <si>
    <t xml:space="preserve">Which category is performing the worst?
</t>
  </si>
  <si>
    <t xml:space="preserve">Which category has the highest Profit Margin?
</t>
  </si>
  <si>
    <t>--&gt; Grocery</t>
  </si>
  <si>
    <t xml:space="preserve">--&gt; Home &amp; Kitechen </t>
  </si>
  <si>
    <t xml:space="preserve">Which region generates the highest revenue?
</t>
  </si>
  <si>
    <t xml:space="preserve">Which categories have not achieved their Target Margin?
</t>
  </si>
  <si>
    <t>--&gt; South</t>
  </si>
  <si>
    <t xml:space="preserve">--&gt; Clothing, Home &amp; Kitchen, Electronics </t>
  </si>
  <si>
    <t xml:space="preserve">Which region generates the highest profit?
</t>
  </si>
  <si>
    <t>What are the top 5 products based on Sales?</t>
  </si>
  <si>
    <t>--&gt;South</t>
  </si>
  <si>
    <t xml:space="preserve">--&gt; Laptop ,Headphones ,Tablet ,Smartphone ,Desk </t>
  </si>
  <si>
    <t xml:space="preserve"> Which customer type contributes the most Sales?
</t>
  </si>
  <si>
    <t xml:space="preserve">What are the top 5 products based on Profit?
</t>
  </si>
  <si>
    <t>--&gt; Regular</t>
  </si>
  <si>
    <t xml:space="preserve">--&gt;Laptop, Tablet, Smartphone, Headphones, Office Chair 
</t>
  </si>
  <si>
    <t xml:space="preserve">Which payment method is most commonly used?
</t>
  </si>
  <si>
    <t xml:space="preserve">Which products have high Sales but low Profit?
</t>
  </si>
  <si>
    <t>--&gt; Cash</t>
  </si>
  <si>
    <t xml:space="preserve">--&gt; Laptop has high sales but with high profit &amp; headphones also has hogh profit but comparatively lesser sales </t>
  </si>
  <si>
    <t xml:space="preserve">Which month has the highest Sales?
</t>
  </si>
  <si>
    <t xml:space="preserve">Which products have low Sales but high Profit?
</t>
  </si>
  <si>
    <t>--&gt; July</t>
  </si>
  <si>
    <t>--&gt; No clear product was identified with low sales and high profit in the available data.</t>
  </si>
  <si>
    <t xml:space="preserve">Based on your analysis, provide 3 recommendations to Walmart management.
</t>
  </si>
  <si>
    <t xml:space="preserve">--&gt;Focus on high-profit products
Improve the profit margin of high-sales but low-profit products by reducing costs
Monitor categories marked “Needs Improvement” and introduce better pricing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</si>
</sst>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yyyy/mm/dd\ hh:mm:ss"/>
  </numFmts>
  <fonts count="2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rgb="FF000000"/>
      <name val="Calibri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Font="1" applyFill="1" applyAlignment="1"/>
    <xf numFmtId="0" fontId="2" fillId="0" borderId="0" xfId="0" applyFont="1" applyFill="1" applyAlignment="1"/>
    <xf numFmtId="0" fontId="5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quotePrefix="1"/>
    <xf numFmtId="0" fontId="0" fillId="0" borderId="0" xfId="0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alignment horizontal="center" vertical="center"/>
    </dxf>
    <dxf>
      <numFmt numFmtId="180" formatCode="yyyy/mm/dd\ hh:mm:ss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7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5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[Walmart_Analysis.xlsx]Charts!PivotTable16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strRef>
              <c:f>Charts!$A$3:$A$8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Home &amp; Kitchen</c:v>
                </c:pt>
              </c:strCache>
            </c:strRef>
          </c:cat>
          <c:val>
            <c:numRef>
              <c:f>Charts!$B$3:$B$8</c:f>
              <c:numCache>
                <c:formatCode>General</c:formatCode>
                <c:ptCount val="5"/>
                <c:pt idx="0">
                  <c:v>70285.14</c:v>
                </c:pt>
                <c:pt idx="1">
                  <c:v>596940.330000001</c:v>
                </c:pt>
                <c:pt idx="2">
                  <c:v>291062.77</c:v>
                </c:pt>
                <c:pt idx="3">
                  <c:v>32880.2</c:v>
                </c:pt>
                <c:pt idx="4">
                  <c:v>182449.21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0228991"/>
        <c:axId val="419068518"/>
      </c:barChart>
      <c:catAx>
        <c:axId val="77022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068518"/>
        <c:crosses val="autoZero"/>
        <c:auto val="1"/>
        <c:lblAlgn val="ctr"/>
        <c:lblOffset val="100"/>
        <c:noMultiLvlLbl val="0"/>
      </c:catAx>
      <c:valAx>
        <c:axId val="4190685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22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041304-d603-48b1-8a57-562a349ec0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[Walmart_Analysis.xlsx]Charts!PivotTable17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Charts!$A$20:$A$24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Charts!$B$20:$B$24</c:f>
              <c:numCache>
                <c:formatCode>General</c:formatCode>
                <c:ptCount val="4"/>
                <c:pt idx="0">
                  <c:v>31136.46</c:v>
                </c:pt>
                <c:pt idx="1">
                  <c:v>39390.72</c:v>
                </c:pt>
                <c:pt idx="2">
                  <c:v>158060.9</c:v>
                </c:pt>
                <c:pt idx="3">
                  <c:v>129205.92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34019241"/>
        <c:axId val="609128657"/>
      </c:barChart>
      <c:catAx>
        <c:axId val="7340192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128657"/>
        <c:crosses val="autoZero"/>
        <c:auto val="1"/>
        <c:lblAlgn val="ctr"/>
        <c:lblOffset val="100"/>
        <c:noMultiLvlLbl val="0"/>
      </c:catAx>
      <c:valAx>
        <c:axId val="6091286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0192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75364f-fb73-4105-ac9f-664a075ac8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[Walmart_Analysis.xlsx]Charts!PivotTable18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strRef>
              <c:f>Charts!$A$37:$A$40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Charts!$B$37:$B$40</c:f>
              <c:numCache>
                <c:formatCode>General</c:formatCode>
                <c:ptCount val="3"/>
                <c:pt idx="0">
                  <c:v>407381.55</c:v>
                </c:pt>
                <c:pt idx="1">
                  <c:v>238874.74</c:v>
                </c:pt>
                <c:pt idx="2">
                  <c:v>527361.360000001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84758058"/>
        <c:axId val="647519764"/>
      </c:barChart>
      <c:catAx>
        <c:axId val="184758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519764"/>
        <c:crosses val="autoZero"/>
        <c:auto val="1"/>
        <c:lblAlgn val="ctr"/>
        <c:lblOffset val="100"/>
        <c:noMultiLvlLbl val="0"/>
      </c:catAx>
      <c:valAx>
        <c:axId val="6475197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7580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eb1e95-04f4-41b1-ae94-eec42e3caa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[Walmart_Analysis.xlsx]Charts!PivotTable19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Charts!$B$53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Charts!$A$54:$A$58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Charts!$B$54:$B$58</c:f>
              <c:numCache>
                <c:formatCode>General</c:formatCode>
                <c:ptCount val="4"/>
                <c:pt idx="0">
                  <c:v>274719.43</c:v>
                </c:pt>
                <c:pt idx="1">
                  <c:v>291569.12</c:v>
                </c:pt>
                <c:pt idx="2">
                  <c:v>296225.21</c:v>
                </c:pt>
                <c:pt idx="3">
                  <c:v>311103.89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e2f39be-e9ef-4748-80d9-6de77c092e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[Walmart_Analysis.xlsx]Charts!PivotTable20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Charts!$B$70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elete val="1"/>
          </c:dLbls>
          <c:cat>
            <c:strRef>
              <c:f>Charts!$A$71:$A$83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Charts!$B$71:$B$83</c:f>
              <c:numCache>
                <c:formatCode>General</c:formatCode>
                <c:ptCount val="12"/>
                <c:pt idx="0">
                  <c:v>106769.23</c:v>
                </c:pt>
                <c:pt idx="1">
                  <c:v>79110.34</c:v>
                </c:pt>
                <c:pt idx="2">
                  <c:v>102691.33</c:v>
                </c:pt>
                <c:pt idx="3">
                  <c:v>108398.39</c:v>
                </c:pt>
                <c:pt idx="4">
                  <c:v>91163.96</c:v>
                </c:pt>
                <c:pt idx="5">
                  <c:v>78788</c:v>
                </c:pt>
                <c:pt idx="6">
                  <c:v>117925.88</c:v>
                </c:pt>
                <c:pt idx="7">
                  <c:v>83285</c:v>
                </c:pt>
                <c:pt idx="8">
                  <c:v>110666.82</c:v>
                </c:pt>
                <c:pt idx="9">
                  <c:v>96577.68</c:v>
                </c:pt>
                <c:pt idx="10">
                  <c:v>87381.16</c:v>
                </c:pt>
                <c:pt idx="11">
                  <c:v>110859.86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7635601"/>
        <c:axId val="954495412"/>
      </c:lineChart>
      <c:catAx>
        <c:axId val="5376356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495412"/>
        <c:crosses val="autoZero"/>
        <c:auto val="1"/>
        <c:lblAlgn val="ctr"/>
        <c:lblOffset val="100"/>
        <c:noMultiLvlLbl val="0"/>
      </c:catAx>
      <c:valAx>
        <c:axId val="9544954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6356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a1a96a-4f96-4952-8e82-e7004c6ebb8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[Walmart_Analysis.xlsx]Charts!PivotTable16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strRef>
              <c:f>Charts!$A$3:$A$8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Home &amp; Kitchen</c:v>
                </c:pt>
              </c:strCache>
            </c:strRef>
          </c:cat>
          <c:val>
            <c:numRef>
              <c:f>Charts!$B$3:$B$8</c:f>
              <c:numCache>
                <c:formatCode>General</c:formatCode>
                <c:ptCount val="5"/>
                <c:pt idx="0">
                  <c:v>70285.14</c:v>
                </c:pt>
                <c:pt idx="1">
                  <c:v>596940.330000001</c:v>
                </c:pt>
                <c:pt idx="2">
                  <c:v>291062.77</c:v>
                </c:pt>
                <c:pt idx="3">
                  <c:v>32880.2</c:v>
                </c:pt>
                <c:pt idx="4">
                  <c:v>182449.21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0228991"/>
        <c:axId val="419068518"/>
      </c:barChart>
      <c:catAx>
        <c:axId val="77022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068518"/>
        <c:crosses val="autoZero"/>
        <c:auto val="1"/>
        <c:lblAlgn val="ctr"/>
        <c:lblOffset val="100"/>
        <c:noMultiLvlLbl val="0"/>
      </c:catAx>
      <c:valAx>
        <c:axId val="4190685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22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041304-d603-48b1-8a57-562a349ec0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[Walmart_Analysis.xlsx]Charts!PivotTable17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Charts!$A$20:$A$24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Charts!$B$20:$B$24</c:f>
              <c:numCache>
                <c:formatCode>General</c:formatCode>
                <c:ptCount val="4"/>
                <c:pt idx="0">
                  <c:v>31136.46</c:v>
                </c:pt>
                <c:pt idx="1">
                  <c:v>39390.72</c:v>
                </c:pt>
                <c:pt idx="2">
                  <c:v>158060.9</c:v>
                </c:pt>
                <c:pt idx="3">
                  <c:v>129205.92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34019241"/>
        <c:axId val="609128657"/>
      </c:barChart>
      <c:catAx>
        <c:axId val="7340192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128657"/>
        <c:crosses val="autoZero"/>
        <c:auto val="1"/>
        <c:lblAlgn val="ctr"/>
        <c:lblOffset val="100"/>
        <c:noMultiLvlLbl val="0"/>
      </c:catAx>
      <c:valAx>
        <c:axId val="6091286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0192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75364f-fb73-4105-ac9f-664a075ac8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[Walmart_Analysis.xlsx]Charts!PivotTable18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strRef>
              <c:f>Charts!$A$37:$A$40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Charts!$B$37:$B$40</c:f>
              <c:numCache>
                <c:formatCode>General</c:formatCode>
                <c:ptCount val="3"/>
                <c:pt idx="0">
                  <c:v>407381.55</c:v>
                </c:pt>
                <c:pt idx="1">
                  <c:v>238874.74</c:v>
                </c:pt>
                <c:pt idx="2">
                  <c:v>527361.360000001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84758058"/>
        <c:axId val="647519764"/>
      </c:barChart>
      <c:catAx>
        <c:axId val="184758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519764"/>
        <c:crosses val="autoZero"/>
        <c:auto val="1"/>
        <c:lblAlgn val="ctr"/>
        <c:lblOffset val="100"/>
        <c:noMultiLvlLbl val="0"/>
      </c:catAx>
      <c:valAx>
        <c:axId val="6475197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7580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eb1e95-04f4-41b1-ae94-eec42e3caa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[Walmart_Analysis.xlsx]Charts!PivotTable19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Charts!$B$53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Charts!$A$54:$A$58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Charts!$B$54:$B$58</c:f>
              <c:numCache>
                <c:formatCode>General</c:formatCode>
                <c:ptCount val="4"/>
                <c:pt idx="0">
                  <c:v>274719.43</c:v>
                </c:pt>
                <c:pt idx="1">
                  <c:v>291569.12</c:v>
                </c:pt>
                <c:pt idx="2">
                  <c:v>296225.21</c:v>
                </c:pt>
                <c:pt idx="3">
                  <c:v>311103.89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e2f39be-e9ef-4748-80d9-6de77c092e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[Walmart_Analysis.xlsx]Charts!PivotTable20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Charts!$B$70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elete val="1"/>
          </c:dLbls>
          <c:cat>
            <c:strRef>
              <c:f>Charts!$A$71:$A$83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Charts!$B$71:$B$83</c:f>
              <c:numCache>
                <c:formatCode>General</c:formatCode>
                <c:ptCount val="12"/>
                <c:pt idx="0">
                  <c:v>106769.23</c:v>
                </c:pt>
                <c:pt idx="1">
                  <c:v>79110.34</c:v>
                </c:pt>
                <c:pt idx="2">
                  <c:v>102691.33</c:v>
                </c:pt>
                <c:pt idx="3">
                  <c:v>108398.39</c:v>
                </c:pt>
                <c:pt idx="4">
                  <c:v>91163.96</c:v>
                </c:pt>
                <c:pt idx="5">
                  <c:v>78788</c:v>
                </c:pt>
                <c:pt idx="6">
                  <c:v>117925.88</c:v>
                </c:pt>
                <c:pt idx="7">
                  <c:v>83285</c:v>
                </c:pt>
                <c:pt idx="8">
                  <c:v>110666.82</c:v>
                </c:pt>
                <c:pt idx="9">
                  <c:v>96577.68</c:v>
                </c:pt>
                <c:pt idx="10">
                  <c:v>87381.16</c:v>
                </c:pt>
                <c:pt idx="11">
                  <c:v>110859.86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7635601"/>
        <c:axId val="954495412"/>
      </c:lineChart>
      <c:catAx>
        <c:axId val="5376356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495412"/>
        <c:crosses val="autoZero"/>
        <c:auto val="1"/>
        <c:lblAlgn val="ctr"/>
        <c:lblOffset val="100"/>
        <c:noMultiLvlLbl val="0"/>
      </c:catAx>
      <c:valAx>
        <c:axId val="9544954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6356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a1a96a-4f96-4952-8e82-e7004c6ebb8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</xdr:colOff>
      <xdr:row>0</xdr:row>
      <xdr:rowOff>192405</xdr:rowOff>
    </xdr:from>
    <xdr:to>
      <xdr:col>9</xdr:col>
      <xdr:colOff>424180</xdr:colOff>
      <xdr:row>14</xdr:row>
      <xdr:rowOff>90805</xdr:rowOff>
    </xdr:to>
    <xdr:graphicFrame>
      <xdr:nvGraphicFramePr>
        <xdr:cNvPr id="2" name="Chart 1"/>
        <xdr:cNvGraphicFramePr/>
      </xdr:nvGraphicFramePr>
      <xdr:xfrm>
        <a:off x="2735580" y="182880"/>
        <a:ext cx="4104640" cy="2468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718820</xdr:colOff>
      <xdr:row>17</xdr:row>
      <xdr:rowOff>130175</xdr:rowOff>
    </xdr:from>
    <xdr:to>
      <xdr:col>9</xdr:col>
      <xdr:colOff>388620</xdr:colOff>
      <xdr:row>31</xdr:row>
      <xdr:rowOff>28575</xdr:rowOff>
    </xdr:to>
    <xdr:graphicFrame>
      <xdr:nvGraphicFramePr>
        <xdr:cNvPr id="3" name="Chart 2" descr="7b0a202020202263686172745265734964223a202234363530303930220a7d0a"/>
        <xdr:cNvGraphicFramePr/>
      </xdr:nvGraphicFramePr>
      <xdr:xfrm>
        <a:off x="2712720" y="3239135"/>
        <a:ext cx="4091940" cy="245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15875</xdr:colOff>
      <xdr:row>34</xdr:row>
      <xdr:rowOff>102870</xdr:rowOff>
    </xdr:from>
    <xdr:to>
      <xdr:col>9</xdr:col>
      <xdr:colOff>422275</xdr:colOff>
      <xdr:row>48</xdr:row>
      <xdr:rowOff>1270</xdr:rowOff>
    </xdr:to>
    <xdr:graphicFrame>
      <xdr:nvGraphicFramePr>
        <xdr:cNvPr id="4" name="Chart 3" descr="7b0a202020202263686172745265734964223a20223230343731383238220a7d0a"/>
        <xdr:cNvGraphicFramePr/>
      </xdr:nvGraphicFramePr>
      <xdr:xfrm>
        <a:off x="2728595" y="6320790"/>
        <a:ext cx="4109720" cy="245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695325</xdr:colOff>
      <xdr:row>51</xdr:row>
      <xdr:rowOff>130810</xdr:rowOff>
    </xdr:from>
    <xdr:to>
      <xdr:col>9</xdr:col>
      <xdr:colOff>365125</xdr:colOff>
      <xdr:row>65</xdr:row>
      <xdr:rowOff>19050</xdr:rowOff>
    </xdr:to>
    <xdr:graphicFrame>
      <xdr:nvGraphicFramePr>
        <xdr:cNvPr id="5" name="Chart 4" descr="7b0a202020202263686172745265734964223a20223230343735393537220a7d0a"/>
        <xdr:cNvGraphicFramePr/>
      </xdr:nvGraphicFramePr>
      <xdr:xfrm>
        <a:off x="2712720" y="9457690"/>
        <a:ext cx="4068445" cy="244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21590</xdr:colOff>
      <xdr:row>69</xdr:row>
      <xdr:rowOff>48895</xdr:rowOff>
    </xdr:from>
    <xdr:to>
      <xdr:col>9</xdr:col>
      <xdr:colOff>422910</xdr:colOff>
      <xdr:row>82</xdr:row>
      <xdr:rowOff>150495</xdr:rowOff>
    </xdr:to>
    <xdr:graphicFrame>
      <xdr:nvGraphicFramePr>
        <xdr:cNvPr id="6" name="Chart 5"/>
        <xdr:cNvGraphicFramePr/>
      </xdr:nvGraphicFramePr>
      <xdr:xfrm>
        <a:off x="2734310" y="12667615"/>
        <a:ext cx="4104640" cy="247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341630</xdr:colOff>
      <xdr:row>5</xdr:row>
      <xdr:rowOff>165735</xdr:rowOff>
    </xdr:from>
    <xdr:to>
      <xdr:col>4</xdr:col>
      <xdr:colOff>317500</xdr:colOff>
      <xdr:row>11</xdr:row>
      <xdr:rowOff>16510</xdr:rowOff>
    </xdr:to>
    <xdr:sp>
      <xdr:nvSpPr>
        <xdr:cNvPr id="3" name="Rounded Rectangle 2"/>
        <xdr:cNvSpPr/>
      </xdr:nvSpPr>
      <xdr:spPr>
        <a:xfrm>
          <a:off x="958850" y="1080135"/>
          <a:ext cx="1827530" cy="948055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5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ctr"/>
          <a:r>
            <a:rPr lang="en-US" sz="2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1173617.65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Sales 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528320</xdr:colOff>
      <xdr:row>6</xdr:row>
      <xdr:rowOff>9525</xdr:rowOff>
    </xdr:from>
    <xdr:to>
      <xdr:col>9</xdr:col>
      <xdr:colOff>108585</xdr:colOff>
      <xdr:row>11</xdr:row>
      <xdr:rowOff>37465</xdr:rowOff>
    </xdr:to>
    <xdr:sp>
      <xdr:nvSpPr>
        <xdr:cNvPr id="4" name="Rounded Rectangle 3"/>
        <xdr:cNvSpPr/>
      </xdr:nvSpPr>
      <xdr:spPr>
        <a:xfrm>
          <a:off x="3614420" y="1106805"/>
          <a:ext cx="2049145" cy="942340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5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ctr"/>
          <a:r>
            <a:rPr lang="en-US" sz="2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357794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Profit </a:t>
          </a:r>
          <a:endParaRPr lang="en-US" sz="1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52705</xdr:colOff>
      <xdr:row>6</xdr:row>
      <xdr:rowOff>22225</xdr:rowOff>
    </xdr:from>
    <xdr:to>
      <xdr:col>13</xdr:col>
      <xdr:colOff>290830</xdr:colOff>
      <xdr:row>11</xdr:row>
      <xdr:rowOff>17780</xdr:rowOff>
    </xdr:to>
    <xdr:sp>
      <xdr:nvSpPr>
        <xdr:cNvPr id="5" name="Rounded Rectangle 4"/>
        <xdr:cNvSpPr/>
      </xdr:nvSpPr>
      <xdr:spPr>
        <a:xfrm>
          <a:off x="6224905" y="1119505"/>
          <a:ext cx="2089785" cy="909955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5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2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1000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Total_no orders</a:t>
          </a:r>
          <a:r>
            <a:rPr lang="en-US" sz="1100"/>
            <a:t> </a:t>
          </a:r>
          <a:endParaRPr lang="en-US" sz="1100"/>
        </a:p>
      </xdr:txBody>
    </xdr:sp>
    <xdr:clientData/>
  </xdr:twoCellAnchor>
  <xdr:twoCellAnchor>
    <xdr:from>
      <xdr:col>14</xdr:col>
      <xdr:colOff>193675</xdr:colOff>
      <xdr:row>6</xdr:row>
      <xdr:rowOff>14605</xdr:rowOff>
    </xdr:from>
    <xdr:to>
      <xdr:col>18</xdr:col>
      <xdr:colOff>0</xdr:colOff>
      <xdr:row>10</xdr:row>
      <xdr:rowOff>175260</xdr:rowOff>
    </xdr:to>
    <xdr:sp>
      <xdr:nvSpPr>
        <xdr:cNvPr id="6" name="Rounded Rectangle 5"/>
        <xdr:cNvSpPr/>
      </xdr:nvSpPr>
      <xdr:spPr>
        <a:xfrm>
          <a:off x="8834755" y="1111885"/>
          <a:ext cx="2275205" cy="892175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5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ctr"/>
          <a:r>
            <a:rPr lang="en-US" sz="2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3952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Total_Quantity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18</xdr:col>
      <xdr:colOff>281940</xdr:colOff>
      <xdr:row>6</xdr:row>
      <xdr:rowOff>20320</xdr:rowOff>
    </xdr:from>
    <xdr:to>
      <xdr:col>22</xdr:col>
      <xdr:colOff>121285</xdr:colOff>
      <xdr:row>11</xdr:row>
      <xdr:rowOff>27305</xdr:rowOff>
    </xdr:to>
    <xdr:sp>
      <xdr:nvSpPr>
        <xdr:cNvPr id="7" name="Rounded Rectangle 6"/>
        <xdr:cNvSpPr/>
      </xdr:nvSpPr>
      <xdr:spPr>
        <a:xfrm>
          <a:off x="11391900" y="1117600"/>
          <a:ext cx="2308225" cy="921385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5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2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3.7081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Avarage Rating</a:t>
          </a:r>
          <a:r>
            <a:rPr lang="en-US" sz="11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23</xdr:col>
      <xdr:colOff>231140</xdr:colOff>
      <xdr:row>6</xdr:row>
      <xdr:rowOff>109220</xdr:rowOff>
    </xdr:from>
    <xdr:to>
      <xdr:col>29</xdr:col>
      <xdr:colOff>403860</xdr:colOff>
      <xdr:row>37</xdr:row>
      <xdr:rowOff>37465</xdr:rowOff>
    </xdr:to>
    <xdr:sp>
      <xdr:nvSpPr>
        <xdr:cNvPr id="34" name="Flowchart: Alternate Process 33"/>
        <xdr:cNvSpPr/>
      </xdr:nvSpPr>
      <xdr:spPr>
        <a:xfrm>
          <a:off x="14427200" y="1206500"/>
          <a:ext cx="3876040" cy="5597525"/>
        </a:xfrm>
        <a:prstGeom prst="flowChartAlternateProcess">
          <a:avLst/>
        </a:prstGeom>
      </xdr:spPr>
      <xdr:style>
        <a:lnRef idx="0">
          <a:srgbClr val="FFFFFF"/>
        </a:lnRef>
        <a:fillRef idx="1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2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Walmart achieved ₹1,173,617.65 in total sales and ₹357,794 profit from 1,000 orders and 3,952 units. The South region had the highest sales at ₹158,060.90, while Electronics was the top-selling category. UPI had the highest payment sales at ₹311,103.89. Overall, the dashboard highlights key sales and customer trends to support better business decisions.</a:t>
          </a:r>
          <a:endParaRPr lang="en-US" sz="22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525780</xdr:colOff>
      <xdr:row>0</xdr:row>
      <xdr:rowOff>109220</xdr:rowOff>
    </xdr:from>
    <xdr:to>
      <xdr:col>15</xdr:col>
      <xdr:colOff>281940</xdr:colOff>
      <xdr:row>4</xdr:row>
      <xdr:rowOff>18415</xdr:rowOff>
    </xdr:to>
    <xdr:sp>
      <xdr:nvSpPr>
        <xdr:cNvPr id="8" name="Rounded Rectangle 7"/>
        <xdr:cNvSpPr/>
      </xdr:nvSpPr>
      <xdr:spPr>
        <a:xfrm>
          <a:off x="6697980" y="109220"/>
          <a:ext cx="2842260" cy="640715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3600" b="1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sym typeface="+mn-ea"/>
            </a:rPr>
            <a:t>Walmart</a:t>
          </a:r>
          <a:endParaRPr lang="en-US" sz="3600" b="1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sym typeface="+mn-ea"/>
          </a:endParaRPr>
        </a:p>
      </xdr:txBody>
    </xdr:sp>
    <xdr:clientData/>
  </xdr:twoCellAnchor>
  <xdr:twoCellAnchor>
    <xdr:from>
      <xdr:col>5</xdr:col>
      <xdr:colOff>607060</xdr:colOff>
      <xdr:row>11</xdr:row>
      <xdr:rowOff>132080</xdr:rowOff>
    </xdr:from>
    <xdr:to>
      <xdr:col>10</xdr:col>
      <xdr:colOff>570865</xdr:colOff>
      <xdr:row>24</xdr:row>
      <xdr:rowOff>141605</xdr:rowOff>
    </xdr:to>
    <xdr:graphicFrame>
      <xdr:nvGraphicFramePr>
        <xdr:cNvPr id="9" name="Chart 8"/>
        <xdr:cNvGraphicFramePr/>
      </xdr:nvGraphicFramePr>
      <xdr:xfrm>
        <a:off x="3693160" y="2143760"/>
        <a:ext cx="3049905" cy="2386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180340</xdr:colOff>
      <xdr:row>11</xdr:row>
      <xdr:rowOff>132080</xdr:rowOff>
    </xdr:from>
    <xdr:to>
      <xdr:col>16</xdr:col>
      <xdr:colOff>429895</xdr:colOff>
      <xdr:row>24</xdr:row>
      <xdr:rowOff>153035</xdr:rowOff>
    </xdr:to>
    <xdr:graphicFrame>
      <xdr:nvGraphicFramePr>
        <xdr:cNvPr id="10" name="Chart 9" descr="7b0a202020202263686172745265734964223a202234363530303930220a7d0a"/>
        <xdr:cNvGraphicFramePr/>
      </xdr:nvGraphicFramePr>
      <xdr:xfrm>
        <a:off x="6969760" y="2143760"/>
        <a:ext cx="3335655" cy="2398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48260</xdr:colOff>
      <xdr:row>11</xdr:row>
      <xdr:rowOff>152400</xdr:rowOff>
    </xdr:from>
    <xdr:to>
      <xdr:col>22</xdr:col>
      <xdr:colOff>563880</xdr:colOff>
      <xdr:row>24</xdr:row>
      <xdr:rowOff>142240</xdr:rowOff>
    </xdr:to>
    <xdr:graphicFrame>
      <xdr:nvGraphicFramePr>
        <xdr:cNvPr id="11" name="Chart 10" descr="7b0a202020202263686172745265734964223a20223230343731383238220a7d0a"/>
        <xdr:cNvGraphicFramePr/>
      </xdr:nvGraphicFramePr>
      <xdr:xfrm>
        <a:off x="10541000" y="2164080"/>
        <a:ext cx="3601720" cy="236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129540</xdr:colOff>
      <xdr:row>11</xdr:row>
      <xdr:rowOff>162560</xdr:rowOff>
    </xdr:from>
    <xdr:to>
      <xdr:col>5</xdr:col>
      <xdr:colOff>415290</xdr:colOff>
      <xdr:row>24</xdr:row>
      <xdr:rowOff>111760</xdr:rowOff>
    </xdr:to>
    <xdr:graphicFrame>
      <xdr:nvGraphicFramePr>
        <xdr:cNvPr id="12" name="Chart 11" descr="7b0a202020202263686172745265734964223a20223230343735393537220a7d0a"/>
        <xdr:cNvGraphicFramePr/>
      </xdr:nvGraphicFramePr>
      <xdr:xfrm>
        <a:off x="129540" y="2174240"/>
        <a:ext cx="3371850" cy="232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495300</xdr:colOff>
      <xdr:row>25</xdr:row>
      <xdr:rowOff>101600</xdr:rowOff>
    </xdr:from>
    <xdr:to>
      <xdr:col>14</xdr:col>
      <xdr:colOff>208280</xdr:colOff>
      <xdr:row>38</xdr:row>
      <xdr:rowOff>41910</xdr:rowOff>
    </xdr:to>
    <xdr:graphicFrame>
      <xdr:nvGraphicFramePr>
        <xdr:cNvPr id="17" name="Chart 16"/>
        <xdr:cNvGraphicFramePr/>
      </xdr:nvGraphicFramePr>
      <xdr:xfrm>
        <a:off x="5433060" y="4673600"/>
        <a:ext cx="3416300" cy="2317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294640</xdr:colOff>
      <xdr:row>26</xdr:row>
      <xdr:rowOff>78740</xdr:rowOff>
    </xdr:from>
    <xdr:to>
      <xdr:col>7</xdr:col>
      <xdr:colOff>66040</xdr:colOff>
      <xdr:row>34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Payment_Mod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3520" y="4833620"/>
              <a:ext cx="1623060" cy="153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87630</xdr:colOff>
      <xdr:row>26</xdr:row>
      <xdr:rowOff>114935</xdr:rowOff>
    </xdr:from>
    <xdr:to>
      <xdr:col>18</xdr:col>
      <xdr:colOff>334010</xdr:colOff>
      <xdr:row>35</xdr:row>
      <xdr:rowOff>99695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3150" y="4869815"/>
              <a:ext cx="1480820" cy="1630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355600</xdr:colOff>
      <xdr:row>26</xdr:row>
      <xdr:rowOff>109855</xdr:rowOff>
    </xdr:from>
    <xdr:to>
      <xdr:col>21</xdr:col>
      <xdr:colOff>540385</xdr:colOff>
      <xdr:row>37</xdr:row>
      <xdr:rowOff>67310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82780" y="4864735"/>
              <a:ext cx="1419225" cy="1969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201930</xdr:colOff>
      <xdr:row>26</xdr:row>
      <xdr:rowOff>108585</xdr:rowOff>
    </xdr:from>
    <xdr:to>
      <xdr:col>3</xdr:col>
      <xdr:colOff>428625</xdr:colOff>
      <xdr:row>33</xdr:row>
      <xdr:rowOff>130810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Customer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150" y="4863465"/>
              <a:ext cx="1461135" cy="1302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6.7943865741" refreshedBy="ishhh" recordCount="1000">
  <cacheSource type="worksheet">
    <worksheetSource name="Table1"/>
  </cacheSource>
  <cacheFields count="26">
    <cacheField name="Order_ID" numFmtId="0">
      <sharedItems count="1000">
        <s v="WMT10001"/>
        <s v="WMT10002"/>
        <s v="WMT10003"/>
        <s v="WMT10004"/>
        <s v="WMT10005"/>
        <s v="WMT10006"/>
        <s v="WMT10007"/>
        <s v="WMT10008"/>
        <s v="WMT10009"/>
        <s v="WMT10010"/>
        <s v="WMT10011"/>
        <s v="WMT10012"/>
        <s v="WMT10013"/>
        <s v="WMT10014"/>
        <s v="WMT10015"/>
        <s v="WMT10016"/>
        <s v="WMT10017"/>
        <s v="WMT10018"/>
        <s v="WMT10019"/>
        <s v="WMT10020"/>
        <s v="WMT10021"/>
        <s v="WMT10022"/>
        <s v="WMT10023"/>
        <s v="WMT10024"/>
        <s v="WMT10025"/>
        <s v="WMT10026"/>
        <s v="WMT10027"/>
        <s v="WMT10028"/>
        <s v="WMT10029"/>
        <s v="WMT10030"/>
        <s v="WMT10031"/>
        <s v="WMT10032"/>
        <s v="WMT10033"/>
        <s v="WMT10034"/>
        <s v="WMT10035"/>
        <s v="WMT10036"/>
        <s v="WMT10037"/>
        <s v="WMT10038"/>
        <s v="WMT10039"/>
        <s v="WMT10040"/>
        <s v="WMT10041"/>
        <s v="WMT10042"/>
        <s v="WMT10043"/>
        <s v="WMT10044"/>
        <s v="WMT10045"/>
        <s v="WMT10046"/>
        <s v="WMT10047"/>
        <s v="WMT10048"/>
        <s v="WMT10049"/>
        <s v="WMT10050"/>
        <s v="WMT10051"/>
        <s v="WMT10052"/>
        <s v="WMT10053"/>
        <s v="WMT10054"/>
        <s v="WMT10055"/>
        <s v="WMT10056"/>
        <s v="WMT10057"/>
        <s v="WMT10058"/>
        <s v="WMT10059"/>
        <s v="WMT10060"/>
        <s v="WMT10061"/>
        <s v="WMT10062"/>
        <s v="WMT10063"/>
        <s v="WMT10064"/>
        <s v="WMT10065"/>
        <s v="WMT10066"/>
        <s v="WMT10067"/>
        <s v="WMT10068"/>
        <s v="WMT10069"/>
        <s v="WMT10070"/>
        <s v="WMT10071"/>
        <s v="WMT10072"/>
        <s v="WMT10073"/>
        <s v="WMT10074"/>
        <s v="WMT10075"/>
        <s v="WMT10076"/>
        <s v="WMT10077"/>
        <s v="WMT10078"/>
        <s v="WMT10079"/>
        <s v="WMT10080"/>
        <s v="WMT10081"/>
        <s v="WMT10082"/>
        <s v="WMT10083"/>
        <s v="WMT10084"/>
        <s v="WMT10085"/>
        <s v="WMT10086"/>
        <s v="WMT10087"/>
        <s v="WMT10088"/>
        <s v="WMT10089"/>
        <s v="WMT10090"/>
        <s v="WMT10091"/>
        <s v="WMT10092"/>
        <s v="WMT10093"/>
        <s v="WMT10094"/>
        <s v="WMT10095"/>
        <s v="WMT10096"/>
        <s v="WMT10097"/>
        <s v="WMT10098"/>
        <s v="WMT10099"/>
        <s v="WMT10100"/>
        <s v="WMT10101"/>
        <s v="WMT10102"/>
        <s v="WMT10103"/>
        <s v="WMT10104"/>
        <s v="WMT10105"/>
        <s v="WMT10106"/>
        <s v="WMT10107"/>
        <s v="WMT10108"/>
        <s v="WMT10109"/>
        <s v="WMT10110"/>
        <s v="WMT10111"/>
        <s v="WMT10112"/>
        <s v="WMT10113"/>
        <s v="WMT10114"/>
        <s v="WMT10115"/>
        <s v="WMT10116"/>
        <s v="WMT10117"/>
        <s v="WMT10118"/>
        <s v="WMT10119"/>
        <s v="WMT10120"/>
        <s v="WMT10121"/>
        <s v="WMT10122"/>
        <s v="WMT10123"/>
        <s v="WMT10124"/>
        <s v="WMT10125"/>
        <s v="WMT10126"/>
        <s v="WMT10127"/>
        <s v="WMT10128"/>
        <s v="WMT10129"/>
        <s v="WMT10130"/>
        <s v="WMT10131"/>
        <s v="WMT10132"/>
        <s v="WMT10133"/>
        <s v="WMT10134"/>
        <s v="WMT10135"/>
        <s v="WMT10136"/>
        <s v="WMT10137"/>
        <s v="WMT10138"/>
        <s v="WMT10139"/>
        <s v="WMT10140"/>
        <s v="WMT10141"/>
        <s v="WMT10142"/>
        <s v="WMT10143"/>
        <s v="WMT10144"/>
        <s v="WMT10145"/>
        <s v="WMT10146"/>
        <s v="WMT10147"/>
        <s v="WMT10148"/>
        <s v="WMT10149"/>
        <s v="WMT10150"/>
        <s v="WMT10151"/>
        <s v="WMT10152"/>
        <s v="WMT10153"/>
        <s v="WMT10154"/>
        <s v="WMT10155"/>
        <s v="WMT10156"/>
        <s v="WMT10157"/>
        <s v="WMT10158"/>
        <s v="WMT10159"/>
        <s v="WMT10160"/>
        <s v="WMT10161"/>
        <s v="WMT10162"/>
        <s v="WMT10163"/>
        <s v="WMT10164"/>
        <s v="WMT10165"/>
        <s v="WMT10166"/>
        <s v="WMT10167"/>
        <s v="WMT10168"/>
        <s v="WMT10169"/>
        <s v="WMT10170"/>
        <s v="WMT10171"/>
        <s v="WMT10172"/>
        <s v="WMT10173"/>
        <s v="WMT10174"/>
        <s v="WMT10175"/>
        <s v="WMT10176"/>
        <s v="WMT10177"/>
        <s v="WMT10178"/>
        <s v="WMT10179"/>
        <s v="WMT10180"/>
        <s v="WMT10181"/>
        <s v="WMT10182"/>
        <s v="WMT10183"/>
        <s v="WMT10184"/>
        <s v="WMT10185"/>
        <s v="WMT10186"/>
        <s v="WMT10187"/>
        <s v="WMT10188"/>
        <s v="WMT10189"/>
        <s v="WMT10190"/>
        <s v="WMT10191"/>
        <s v="WMT10192"/>
        <s v="WMT10193"/>
        <s v="WMT10194"/>
        <s v="WMT10195"/>
        <s v="WMT10196"/>
        <s v="WMT10197"/>
        <s v="WMT10198"/>
        <s v="WMT10199"/>
        <s v="WMT10200"/>
        <s v="WMT10201"/>
        <s v="WMT10202"/>
        <s v="WMT10203"/>
        <s v="WMT10204"/>
        <s v="WMT10205"/>
        <s v="WMT10206"/>
        <s v="WMT10207"/>
        <s v="WMT10208"/>
        <s v="WMT10209"/>
        <s v="WMT10210"/>
        <s v="WMT10211"/>
        <s v="WMT10212"/>
        <s v="WMT10213"/>
        <s v="WMT10214"/>
        <s v="WMT10215"/>
        <s v="WMT10216"/>
        <s v="WMT10217"/>
        <s v="WMT10218"/>
        <s v="WMT10219"/>
        <s v="WMT10220"/>
        <s v="WMT10221"/>
        <s v="WMT10222"/>
        <s v="WMT10223"/>
        <s v="WMT10224"/>
        <s v="WMT10225"/>
        <s v="WMT10226"/>
        <s v="WMT10227"/>
        <s v="WMT10228"/>
        <s v="WMT10229"/>
        <s v="WMT10230"/>
        <s v="WMT10231"/>
        <s v="WMT10232"/>
        <s v="WMT10233"/>
        <s v="WMT10234"/>
        <s v="WMT10235"/>
        <s v="WMT10236"/>
        <s v="WMT10237"/>
        <s v="WMT10238"/>
        <s v="WMT10239"/>
        <s v="WMT10240"/>
        <s v="WMT10241"/>
        <s v="WMT10242"/>
        <s v="WMT10243"/>
        <s v="WMT10244"/>
        <s v="WMT10245"/>
        <s v="WMT10246"/>
        <s v="WMT10247"/>
        <s v="WMT10248"/>
        <s v="WMT10249"/>
        <s v="WMT10250"/>
        <s v="WMT10251"/>
        <s v="WMT10252"/>
        <s v="WMT10253"/>
        <s v="WMT10254"/>
        <s v="WMT10255"/>
        <s v="WMT10256"/>
        <s v="WMT10257"/>
        <s v="WMT10258"/>
        <s v="WMT10259"/>
        <s v="WMT10260"/>
        <s v="WMT10261"/>
        <s v="WMT10262"/>
        <s v="WMT10263"/>
        <s v="WMT10264"/>
        <s v="WMT10265"/>
        <s v="WMT10266"/>
        <s v="WMT10267"/>
        <s v="WMT10268"/>
        <s v="WMT10269"/>
        <s v="WMT10270"/>
        <s v="WMT10271"/>
        <s v="WMT10272"/>
        <s v="WMT10273"/>
        <s v="WMT10274"/>
        <s v="WMT10275"/>
        <s v="WMT10276"/>
        <s v="WMT10277"/>
        <s v="WMT10278"/>
        <s v="WMT10279"/>
        <s v="WMT10280"/>
        <s v="WMT10281"/>
        <s v="WMT10282"/>
        <s v="WMT10283"/>
        <s v="WMT10284"/>
        <s v="WMT10285"/>
        <s v="WMT10286"/>
        <s v="WMT10287"/>
        <s v="WMT10288"/>
        <s v="WMT10289"/>
        <s v="WMT10290"/>
        <s v="WMT10291"/>
        <s v="WMT10292"/>
        <s v="WMT10293"/>
        <s v="WMT10294"/>
        <s v="WMT10295"/>
        <s v="WMT10296"/>
        <s v="WMT10297"/>
        <s v="WMT10298"/>
        <s v="WMT10299"/>
        <s v="WMT10300"/>
        <s v="WMT10301"/>
        <s v="WMT10302"/>
        <s v="WMT10303"/>
        <s v="WMT10304"/>
        <s v="WMT10305"/>
        <s v="WMT10306"/>
        <s v="WMT10307"/>
        <s v="WMT10308"/>
        <s v="WMT10309"/>
        <s v="WMT10310"/>
        <s v="WMT10311"/>
        <s v="WMT10312"/>
        <s v="WMT10313"/>
        <s v="WMT10314"/>
        <s v="WMT10315"/>
        <s v="WMT10316"/>
        <s v="WMT10317"/>
        <s v="WMT10318"/>
        <s v="WMT10319"/>
        <s v="WMT10320"/>
        <s v="WMT10321"/>
        <s v="WMT10322"/>
        <s v="WMT10323"/>
        <s v="WMT10324"/>
        <s v="WMT10325"/>
        <s v="WMT10326"/>
        <s v="WMT10327"/>
        <s v="WMT10328"/>
        <s v="WMT10329"/>
        <s v="WMT10330"/>
        <s v="WMT10331"/>
        <s v="WMT10332"/>
        <s v="WMT10333"/>
        <s v="WMT10334"/>
        <s v="WMT10335"/>
        <s v="WMT10336"/>
        <s v="WMT10337"/>
        <s v="WMT10338"/>
        <s v="WMT10339"/>
        <s v="WMT10340"/>
        <s v="WMT10341"/>
        <s v="WMT10342"/>
        <s v="WMT10343"/>
        <s v="WMT10344"/>
        <s v="WMT10345"/>
        <s v="WMT10346"/>
        <s v="WMT10347"/>
        <s v="WMT10348"/>
        <s v="WMT10349"/>
        <s v="WMT10350"/>
        <s v="WMT10351"/>
        <s v="WMT10352"/>
        <s v="WMT10353"/>
        <s v="WMT10354"/>
        <s v="WMT10355"/>
        <s v="WMT10356"/>
        <s v="WMT10357"/>
        <s v="WMT10358"/>
        <s v="WMT10359"/>
        <s v="WMT10360"/>
        <s v="WMT10361"/>
        <s v="WMT10362"/>
        <s v="WMT10363"/>
        <s v="WMT10364"/>
        <s v="WMT10365"/>
        <s v="WMT10366"/>
        <s v="WMT10367"/>
        <s v="WMT10368"/>
        <s v="WMT10369"/>
        <s v="WMT10370"/>
        <s v="WMT10371"/>
        <s v="WMT10372"/>
        <s v="WMT10373"/>
        <s v="WMT10374"/>
        <s v="WMT10375"/>
        <s v="WMT10376"/>
        <s v="WMT10377"/>
        <s v="WMT10378"/>
        <s v="WMT10379"/>
        <s v="WMT10380"/>
        <s v="WMT10381"/>
        <s v="WMT10382"/>
        <s v="WMT10383"/>
        <s v="WMT10384"/>
        <s v="WMT10385"/>
        <s v="WMT10386"/>
        <s v="WMT10387"/>
        <s v="WMT10388"/>
        <s v="WMT10389"/>
        <s v="WMT10390"/>
        <s v="WMT10391"/>
        <s v="WMT10392"/>
        <s v="WMT10393"/>
        <s v="WMT10394"/>
        <s v="WMT10395"/>
        <s v="WMT10396"/>
        <s v="WMT10397"/>
        <s v="WMT10398"/>
        <s v="WMT10399"/>
        <s v="WMT10400"/>
        <s v="WMT10401"/>
        <s v="WMT10402"/>
        <s v="WMT10403"/>
        <s v="WMT10404"/>
        <s v="WMT10405"/>
        <s v="WMT10406"/>
        <s v="WMT10407"/>
        <s v="WMT10408"/>
        <s v="WMT10409"/>
        <s v="WMT10410"/>
        <s v="WMT10411"/>
        <s v="WMT10412"/>
        <s v="WMT10413"/>
        <s v="WMT10414"/>
        <s v="WMT10415"/>
        <s v="WMT10416"/>
        <s v="WMT10417"/>
        <s v="WMT10418"/>
        <s v="WMT10419"/>
        <s v="WMT10420"/>
        <s v="WMT10421"/>
        <s v="WMT10422"/>
        <s v="WMT10423"/>
        <s v="WMT10424"/>
        <s v="WMT10425"/>
        <s v="WMT10426"/>
        <s v="WMT10427"/>
        <s v="WMT10428"/>
        <s v="WMT10429"/>
        <s v="WMT10430"/>
        <s v="WMT10431"/>
        <s v="WMT10432"/>
        <s v="WMT10433"/>
        <s v="WMT10434"/>
        <s v="WMT10435"/>
        <s v="WMT10436"/>
        <s v="WMT10437"/>
        <s v="WMT10438"/>
        <s v="WMT10439"/>
        <s v="WMT10440"/>
        <s v="WMT10441"/>
        <s v="WMT10442"/>
        <s v="WMT10443"/>
        <s v="WMT10444"/>
        <s v="WMT10445"/>
        <s v="WMT10446"/>
        <s v="WMT10447"/>
        <s v="WMT10448"/>
        <s v="WMT10449"/>
        <s v="WMT10450"/>
        <s v="WMT10451"/>
        <s v="WMT10452"/>
        <s v="WMT10453"/>
        <s v="WMT10454"/>
        <s v="WMT10455"/>
        <s v="WMT10456"/>
        <s v="WMT10457"/>
        <s v="WMT10458"/>
        <s v="WMT10459"/>
        <s v="WMT10460"/>
        <s v="WMT10461"/>
        <s v="WMT10462"/>
        <s v="WMT10463"/>
        <s v="WMT10464"/>
        <s v="WMT10465"/>
        <s v="WMT10466"/>
        <s v="WMT10467"/>
        <s v="WMT10468"/>
        <s v="WMT10469"/>
        <s v="WMT10470"/>
        <s v="WMT10471"/>
        <s v="WMT10472"/>
        <s v="WMT10473"/>
        <s v="WMT10474"/>
        <s v="WMT10475"/>
        <s v="WMT10476"/>
        <s v="WMT10477"/>
        <s v="WMT10478"/>
        <s v="WMT10479"/>
        <s v="WMT10480"/>
        <s v="WMT10481"/>
        <s v="WMT10482"/>
        <s v="WMT10483"/>
        <s v="WMT10484"/>
        <s v="WMT10485"/>
        <s v="WMT10486"/>
        <s v="WMT10487"/>
        <s v="WMT10488"/>
        <s v="WMT10489"/>
        <s v="WMT10490"/>
        <s v="WMT10491"/>
        <s v="WMT10492"/>
        <s v="WMT10493"/>
        <s v="WMT10494"/>
        <s v="WMT10495"/>
        <s v="WMT10496"/>
        <s v="WMT10497"/>
        <s v="WMT10498"/>
        <s v="WMT10499"/>
        <s v="WMT10500"/>
        <s v="WMT10501"/>
        <s v="WMT10502"/>
        <s v="WMT10503"/>
        <s v="WMT10504"/>
        <s v="WMT10505"/>
        <s v="WMT10506"/>
        <s v="WMT10507"/>
        <s v="WMT10508"/>
        <s v="WMT10509"/>
        <s v="WMT10510"/>
        <s v="WMT10511"/>
        <s v="WMT10512"/>
        <s v="WMT10513"/>
        <s v="WMT10514"/>
        <s v="WMT10515"/>
        <s v="WMT10516"/>
        <s v="WMT10517"/>
        <s v="WMT10518"/>
        <s v="WMT10519"/>
        <s v="WMT10520"/>
        <s v="WMT10521"/>
        <s v="WMT10522"/>
        <s v="WMT10523"/>
        <s v="WMT10524"/>
        <s v="WMT10525"/>
        <s v="WMT10526"/>
        <s v="WMT10527"/>
        <s v="WMT10528"/>
        <s v="WMT10529"/>
        <s v="WMT10530"/>
        <s v="WMT10531"/>
        <s v="WMT10532"/>
        <s v="WMT10533"/>
        <s v="WMT10534"/>
        <s v="WMT10535"/>
        <s v="WMT10536"/>
        <s v="WMT10537"/>
        <s v="WMT10538"/>
        <s v="WMT10539"/>
        <s v="WMT10540"/>
        <s v="WMT10541"/>
        <s v="WMT10542"/>
        <s v="WMT10543"/>
        <s v="WMT10544"/>
        <s v="WMT10545"/>
        <s v="WMT10546"/>
        <s v="WMT10547"/>
        <s v="WMT10548"/>
        <s v="WMT10549"/>
        <s v="WMT10550"/>
        <s v="WMT10551"/>
        <s v="WMT10552"/>
        <s v="WMT10553"/>
        <s v="WMT10554"/>
        <s v="WMT10555"/>
        <s v="WMT10556"/>
        <s v="WMT10557"/>
        <s v="WMT10558"/>
        <s v="WMT10559"/>
        <s v="WMT10560"/>
        <s v="WMT10561"/>
        <s v="WMT10562"/>
        <s v="WMT10563"/>
        <s v="WMT10564"/>
        <s v="WMT10565"/>
        <s v="WMT10566"/>
        <s v="WMT10567"/>
        <s v="WMT10568"/>
        <s v="WMT10569"/>
        <s v="WMT10570"/>
        <s v="WMT10571"/>
        <s v="WMT10572"/>
        <s v="WMT10573"/>
        <s v="WMT10574"/>
        <s v="WMT10575"/>
        <s v="WMT10576"/>
        <s v="WMT10577"/>
        <s v="WMT10578"/>
        <s v="WMT10579"/>
        <s v="WMT10580"/>
        <s v="WMT10581"/>
        <s v="WMT10582"/>
        <s v="WMT10583"/>
        <s v="WMT10584"/>
        <s v="WMT10585"/>
        <s v="WMT10586"/>
        <s v="WMT10587"/>
        <s v="WMT10588"/>
        <s v="WMT10589"/>
        <s v="WMT10590"/>
        <s v="WMT10591"/>
        <s v="WMT10592"/>
        <s v="WMT10593"/>
        <s v="WMT10594"/>
        <s v="WMT10595"/>
        <s v="WMT10596"/>
        <s v="WMT10597"/>
        <s v="WMT10598"/>
        <s v="WMT10599"/>
        <s v="WMT10600"/>
        <s v="WMT10601"/>
        <s v="WMT10602"/>
        <s v="WMT10603"/>
        <s v="WMT10604"/>
        <s v="WMT10605"/>
        <s v="WMT10606"/>
        <s v="WMT10607"/>
        <s v="WMT10608"/>
        <s v="WMT10609"/>
        <s v="WMT10610"/>
        <s v="WMT10611"/>
        <s v="WMT10612"/>
        <s v="WMT10613"/>
        <s v="WMT10614"/>
        <s v="WMT10615"/>
        <s v="WMT10616"/>
        <s v="WMT10617"/>
        <s v="WMT10618"/>
        <s v="WMT10619"/>
        <s v="WMT10620"/>
        <s v="WMT10621"/>
        <s v="WMT10622"/>
        <s v="WMT10623"/>
        <s v="WMT10624"/>
        <s v="WMT10625"/>
        <s v="WMT10626"/>
        <s v="WMT10627"/>
        <s v="WMT10628"/>
        <s v="WMT10629"/>
        <s v="WMT10630"/>
        <s v="WMT10631"/>
        <s v="WMT10632"/>
        <s v="WMT10633"/>
        <s v="WMT10634"/>
        <s v="WMT10635"/>
        <s v="WMT10636"/>
        <s v="WMT10637"/>
        <s v="WMT10638"/>
        <s v="WMT10639"/>
        <s v="WMT10640"/>
        <s v="WMT10641"/>
        <s v="WMT10642"/>
        <s v="WMT10643"/>
        <s v="WMT10644"/>
        <s v="WMT10645"/>
        <s v="WMT10646"/>
        <s v="WMT10647"/>
        <s v="WMT10648"/>
        <s v="WMT10649"/>
        <s v="WMT10650"/>
        <s v="WMT10651"/>
        <s v="WMT10652"/>
        <s v="WMT10653"/>
        <s v="WMT10654"/>
        <s v="WMT10655"/>
        <s v="WMT10656"/>
        <s v="WMT10657"/>
        <s v="WMT10658"/>
        <s v="WMT10659"/>
        <s v="WMT10660"/>
        <s v="WMT10661"/>
        <s v="WMT10662"/>
        <s v="WMT10663"/>
        <s v="WMT10664"/>
        <s v="WMT10665"/>
        <s v="WMT10666"/>
        <s v="WMT10667"/>
        <s v="WMT10668"/>
        <s v="WMT10669"/>
        <s v="WMT10670"/>
        <s v="WMT10671"/>
        <s v="WMT10672"/>
        <s v="WMT10673"/>
        <s v="WMT10674"/>
        <s v="WMT10675"/>
        <s v="WMT10676"/>
        <s v="WMT10677"/>
        <s v="WMT10678"/>
        <s v="WMT10679"/>
        <s v="WMT10680"/>
        <s v="WMT10681"/>
        <s v="WMT10682"/>
        <s v="WMT10683"/>
        <s v="WMT10684"/>
        <s v="WMT10685"/>
        <s v="WMT10686"/>
        <s v="WMT10687"/>
        <s v="WMT10688"/>
        <s v="WMT10689"/>
        <s v="WMT10690"/>
        <s v="WMT10691"/>
        <s v="WMT10692"/>
        <s v="WMT10693"/>
        <s v="WMT10694"/>
        <s v="WMT10695"/>
        <s v="WMT10696"/>
        <s v="WMT10697"/>
        <s v="WMT10698"/>
        <s v="WMT10699"/>
        <s v="WMT10700"/>
        <s v="WMT10701"/>
        <s v="WMT10702"/>
        <s v="WMT10703"/>
        <s v="WMT10704"/>
        <s v="WMT10705"/>
        <s v="WMT10706"/>
        <s v="WMT10707"/>
        <s v="WMT10708"/>
        <s v="WMT10709"/>
        <s v="WMT10710"/>
        <s v="WMT10711"/>
        <s v="WMT10712"/>
        <s v="WMT10713"/>
        <s v="WMT10714"/>
        <s v="WMT10715"/>
        <s v="WMT10716"/>
        <s v="WMT10717"/>
        <s v="WMT10718"/>
        <s v="WMT10719"/>
        <s v="WMT10720"/>
        <s v="WMT10721"/>
        <s v="WMT10722"/>
        <s v="WMT10723"/>
        <s v="WMT10724"/>
        <s v="WMT10725"/>
        <s v="WMT10726"/>
        <s v="WMT10727"/>
        <s v="WMT10728"/>
        <s v="WMT10729"/>
        <s v="WMT10730"/>
        <s v="WMT10731"/>
        <s v="WMT10732"/>
        <s v="WMT10733"/>
        <s v="WMT10734"/>
        <s v="WMT10735"/>
        <s v="WMT10736"/>
        <s v="WMT10737"/>
        <s v="WMT10738"/>
        <s v="WMT10739"/>
        <s v="WMT10740"/>
        <s v="WMT10741"/>
        <s v="WMT10742"/>
        <s v="WMT10743"/>
        <s v="WMT10744"/>
        <s v="WMT10745"/>
        <s v="WMT10746"/>
        <s v="WMT10747"/>
        <s v="WMT10748"/>
        <s v="WMT10749"/>
        <s v="WMT10750"/>
        <s v="WMT10751"/>
        <s v="WMT10752"/>
        <s v="WMT10753"/>
        <s v="WMT10754"/>
        <s v="WMT10755"/>
        <s v="WMT10756"/>
        <s v="WMT10757"/>
        <s v="WMT10758"/>
        <s v="WMT10759"/>
        <s v="WMT10760"/>
        <s v="WMT10761"/>
        <s v="WMT10762"/>
        <s v="WMT10763"/>
        <s v="WMT10764"/>
        <s v="WMT10765"/>
        <s v="WMT10766"/>
        <s v="WMT10767"/>
        <s v="WMT10768"/>
        <s v="WMT10769"/>
        <s v="WMT10770"/>
        <s v="WMT10771"/>
        <s v="WMT10772"/>
        <s v="WMT10773"/>
        <s v="WMT10774"/>
        <s v="WMT10775"/>
        <s v="WMT10776"/>
        <s v="WMT10777"/>
        <s v="WMT10778"/>
        <s v="WMT10779"/>
        <s v="WMT10780"/>
        <s v="WMT10781"/>
        <s v="WMT10782"/>
        <s v="WMT10783"/>
        <s v="WMT10784"/>
        <s v="WMT10785"/>
        <s v="WMT10786"/>
        <s v="WMT10787"/>
        <s v="WMT10788"/>
        <s v="WMT10789"/>
        <s v="WMT10790"/>
        <s v="WMT10791"/>
        <s v="WMT10792"/>
        <s v="WMT10793"/>
        <s v="WMT10794"/>
        <s v="WMT10795"/>
        <s v="WMT10796"/>
        <s v="WMT10797"/>
        <s v="WMT10798"/>
        <s v="WMT10799"/>
        <s v="WMT10800"/>
        <s v="WMT10801"/>
        <s v="WMT10802"/>
        <s v="WMT10803"/>
        <s v="WMT10804"/>
        <s v="WMT10805"/>
        <s v="WMT10806"/>
        <s v="WMT10807"/>
        <s v="WMT10808"/>
        <s v="WMT10809"/>
        <s v="WMT10810"/>
        <s v="WMT10811"/>
        <s v="WMT10812"/>
        <s v="WMT10813"/>
        <s v="WMT10814"/>
        <s v="WMT10815"/>
        <s v="WMT10816"/>
        <s v="WMT10817"/>
        <s v="WMT10818"/>
        <s v="WMT10819"/>
        <s v="WMT10820"/>
        <s v="WMT10821"/>
        <s v="WMT10822"/>
        <s v="WMT10823"/>
        <s v="WMT10824"/>
        <s v="WMT10825"/>
        <s v="WMT10826"/>
        <s v="WMT10827"/>
        <s v="WMT10828"/>
        <s v="WMT10829"/>
        <s v="WMT10830"/>
        <s v="WMT10831"/>
        <s v="WMT10832"/>
        <s v="WMT10833"/>
        <s v="WMT10834"/>
        <s v="WMT10835"/>
        <s v="WMT10836"/>
        <s v="WMT10837"/>
        <s v="WMT10838"/>
        <s v="WMT10839"/>
        <s v="WMT10840"/>
        <s v="WMT10841"/>
        <s v="WMT10842"/>
        <s v="WMT10843"/>
        <s v="WMT10844"/>
        <s v="WMT10845"/>
        <s v="WMT10846"/>
        <s v="WMT10847"/>
        <s v="WMT10848"/>
        <s v="WMT10849"/>
        <s v="WMT10850"/>
        <s v="WMT10851"/>
        <s v="WMT10852"/>
        <s v="WMT10853"/>
        <s v="WMT10854"/>
        <s v="WMT10855"/>
        <s v="WMT10856"/>
        <s v="WMT10857"/>
        <s v="WMT10858"/>
        <s v="WMT10859"/>
        <s v="WMT10860"/>
        <s v="WMT10861"/>
        <s v="WMT10862"/>
        <s v="WMT10863"/>
        <s v="WMT10864"/>
        <s v="WMT10865"/>
        <s v="WMT10866"/>
        <s v="WMT10867"/>
        <s v="WMT10868"/>
        <s v="WMT10869"/>
        <s v="WMT10870"/>
        <s v="WMT10871"/>
        <s v="WMT10872"/>
        <s v="WMT10873"/>
        <s v="WMT10874"/>
        <s v="WMT10875"/>
        <s v="WMT10876"/>
        <s v="WMT10877"/>
        <s v="WMT10878"/>
        <s v="WMT10879"/>
        <s v="WMT10880"/>
        <s v="WMT10881"/>
        <s v="WMT10882"/>
        <s v="WMT10883"/>
        <s v="WMT10884"/>
        <s v="WMT10885"/>
        <s v="WMT10886"/>
        <s v="WMT10887"/>
        <s v="WMT10888"/>
        <s v="WMT10889"/>
        <s v="WMT10890"/>
        <s v="WMT10891"/>
        <s v="WMT10892"/>
        <s v="WMT10893"/>
        <s v="WMT10894"/>
        <s v="WMT10895"/>
        <s v="WMT10896"/>
        <s v="WMT10897"/>
        <s v="WMT10898"/>
        <s v="WMT10899"/>
        <s v="WMT10900"/>
        <s v="WMT10901"/>
        <s v="WMT10902"/>
        <s v="WMT10903"/>
        <s v="WMT10904"/>
        <s v="WMT10905"/>
        <s v="WMT10906"/>
        <s v="WMT10907"/>
        <s v="WMT10908"/>
        <s v="WMT10909"/>
        <s v="WMT10910"/>
        <s v="WMT10911"/>
        <s v="WMT10912"/>
        <s v="WMT10913"/>
        <s v="WMT10914"/>
        <s v="WMT10915"/>
        <s v="WMT10916"/>
        <s v="WMT10917"/>
        <s v="WMT10918"/>
        <s v="WMT10919"/>
        <s v="WMT10920"/>
        <s v="WMT10921"/>
        <s v="WMT10922"/>
        <s v="WMT10923"/>
        <s v="WMT10924"/>
        <s v="WMT10925"/>
        <s v="WMT10926"/>
        <s v="WMT10927"/>
        <s v="WMT10928"/>
        <s v="WMT10929"/>
        <s v="WMT10930"/>
        <s v="WMT10931"/>
        <s v="WMT10932"/>
        <s v="WMT10933"/>
        <s v="WMT10934"/>
        <s v="WMT10935"/>
        <s v="WMT10936"/>
        <s v="WMT10937"/>
        <s v="WMT10938"/>
        <s v="WMT10939"/>
        <s v="WMT10940"/>
        <s v="WMT10941"/>
        <s v="WMT10942"/>
        <s v="WMT10943"/>
        <s v="WMT10944"/>
        <s v="WMT10945"/>
        <s v="WMT10946"/>
        <s v="WMT10947"/>
        <s v="WMT10948"/>
        <s v="WMT10949"/>
        <s v="WMT10950"/>
        <s v="WMT10951"/>
        <s v="WMT10952"/>
        <s v="WMT10953"/>
        <s v="WMT10954"/>
        <s v="WMT10955"/>
        <s v="WMT10956"/>
        <s v="WMT10957"/>
        <s v="WMT10958"/>
        <s v="WMT10959"/>
        <s v="WMT10960"/>
        <s v="WMT10961"/>
        <s v="WMT10962"/>
        <s v="WMT10963"/>
        <s v="WMT10964"/>
        <s v="WMT10965"/>
        <s v="WMT10966"/>
        <s v="WMT10967"/>
        <s v="WMT10968"/>
        <s v="WMT10969"/>
        <s v="WMT10970"/>
        <s v="WMT10971"/>
        <s v="WMT10972"/>
        <s v="WMT10973"/>
        <s v="WMT10974"/>
        <s v="WMT10975"/>
        <s v="WMT10976"/>
        <s v="WMT10977"/>
        <s v="WMT10978"/>
        <s v="WMT10979"/>
        <s v="WMT10980"/>
        <s v="WMT10981"/>
        <s v="WMT10982"/>
        <s v="WMT10983"/>
        <s v="WMT10984"/>
        <s v="WMT10985"/>
        <s v="WMT10986"/>
        <s v="WMT10987"/>
        <s v="WMT10988"/>
        <s v="WMT10989"/>
        <s v="WMT10990"/>
        <s v="WMT10991"/>
        <s v="WMT10992"/>
        <s v="WMT10993"/>
        <s v="WMT10994"/>
        <s v="WMT10995"/>
        <s v="WMT10996"/>
        <s v="WMT10997"/>
        <s v="WMT10998"/>
        <s v="WMT10999"/>
        <s v="WMT11000"/>
      </sharedItems>
    </cacheField>
    <cacheField name="Order_Date" numFmtId="180">
      <sharedItems containsSemiMixedTypes="0" containsString="0" containsNonDate="0" containsDate="1" minDate="2025-01-01T00:00:00" maxDate="2025-12-31T00:00:00" count="339">
        <d v="2025-07-27T00:00:00"/>
        <d v="2025-04-06T00:00:00"/>
        <d v="2025-07-19T00:00:00"/>
        <d v="2025-09-04T00:00:00"/>
        <d v="2025-03-13T00:00:00"/>
        <d v="2025-11-14T00:00:00"/>
        <d v="2025-07-04T00:00:00"/>
        <d v="2025-01-06T00:00:00"/>
        <d v="2025-07-25T00:00:00"/>
        <d v="2025-02-01T00:00:00"/>
        <d v="2025-04-09T00:00:00"/>
        <d v="2025-09-13T00:00:00"/>
        <d v="2025-07-06T00:00:00"/>
        <d v="2025-03-17T00:00:00"/>
        <d v="2025-06-26T00:00:00"/>
        <d v="2025-11-11T00:00:00"/>
        <d v="2025-10-14T00:00:00"/>
        <d v="2025-12-15T00:00:00"/>
        <d v="2025-09-12T00:00:00"/>
        <d v="2025-11-21T00:00:00"/>
        <d v="2025-07-09T00:00:00"/>
        <d v="2025-11-04T00:00:00"/>
        <d v="2025-12-11T00:00:00"/>
        <d v="2025-05-07T00:00:00"/>
        <d v="2025-09-11T00:00:00"/>
        <d v="2025-08-01T00:00:00"/>
        <d v="2025-09-07T00:00:00"/>
        <d v="2025-03-25T00:00:00"/>
        <d v="2025-01-13T00:00:00"/>
        <d v="2025-02-14T00:00:00"/>
        <d v="2025-04-24T00:00:00"/>
        <d v="2025-10-03T00:00:00"/>
        <d v="2025-07-24T00:00:00"/>
        <d v="2025-12-03T00:00:00"/>
        <d v="2025-09-30T00:00:00"/>
        <d v="2025-02-27T00:00:00"/>
        <d v="2025-11-24T00:00:00"/>
        <d v="2025-08-07T00:00:00"/>
        <d v="2025-04-19T00:00:00"/>
        <d v="2025-10-06T00:00:00"/>
        <d v="2025-06-23T00:00:00"/>
        <d v="2025-09-21T00:00:00"/>
        <d v="2025-04-21T00:00:00"/>
        <d v="2025-09-26T00:00:00"/>
        <d v="2025-08-17T00:00:00"/>
        <d v="2025-06-05T00:00:00"/>
        <d v="2025-07-08T00:00:00"/>
        <d v="2025-09-29T00:00:00"/>
        <d v="2025-01-02T00:00:00"/>
        <d v="2025-09-03T00:00:00"/>
        <d v="2025-07-29T00:00:00"/>
        <d v="2025-10-13T00:00:00"/>
        <d v="2025-12-25T00:00:00"/>
        <d v="2025-08-09T00:00:00"/>
        <d v="2025-08-26T00:00:00"/>
        <d v="2025-04-04T00:00:00"/>
        <d v="2025-12-04T00:00:00"/>
        <d v="2025-06-20T00:00:00"/>
        <d v="2025-05-29T00:00:00"/>
        <d v="2025-04-22T00:00:00"/>
        <d v="2025-02-24T00:00:00"/>
        <d v="2025-04-26T00:00:00"/>
        <d v="2025-05-23T00:00:00"/>
        <d v="2025-07-20T00:00:00"/>
        <d v="2025-06-29T00:00:00"/>
        <d v="2025-07-21T00:00:00"/>
        <d v="2025-12-30T00:00:00"/>
        <d v="2025-02-22T00:00:00"/>
        <d v="2025-11-09T00:00:00"/>
        <d v="2025-05-17T00:00:00"/>
        <d v="2025-07-01T00:00:00"/>
        <d v="2025-01-01T00:00:00"/>
        <d v="2025-02-13T00:00:00"/>
        <d v="2025-08-15T00:00:00"/>
        <d v="2025-11-27T00:00:00"/>
        <d v="2025-04-08T00:00:00"/>
        <d v="2025-09-22T00:00:00"/>
        <d v="2025-10-15T00:00:00"/>
        <d v="2025-09-28T00:00:00"/>
        <d v="2025-05-20T00:00:00"/>
        <d v="2025-08-25T00:00:00"/>
        <d v="2025-06-04T00:00:00"/>
        <d v="2025-09-25T00:00:00"/>
        <d v="2025-11-17T00:00:00"/>
        <d v="2025-04-17T00:00:00"/>
        <d v="2025-08-20T00:00:00"/>
        <d v="2025-02-11T00:00:00"/>
        <d v="2025-05-19T00:00:00"/>
        <d v="2025-04-13T00:00:00"/>
        <d v="2025-12-17T00:00:00"/>
        <d v="2025-12-07T00:00:00"/>
        <d v="2025-02-25T00:00:00"/>
        <d v="2025-12-08T00:00:00"/>
        <d v="2025-04-12T00:00:00"/>
        <d v="2025-07-11T00:00:00"/>
        <d v="2025-11-06T00:00:00"/>
        <d v="2025-08-21T00:00:00"/>
        <d v="2025-12-10T00:00:00"/>
        <d v="2025-11-01T00:00:00"/>
        <d v="2025-04-25T00:00:00"/>
        <d v="2025-03-04T00:00:00"/>
        <d v="2025-04-14T00:00:00"/>
        <d v="2025-12-05T00:00:00"/>
        <d v="2025-05-27T00:00:00"/>
        <d v="2025-07-03T00:00:00"/>
        <d v="2025-01-28T00:00:00"/>
        <d v="2025-02-07T00:00:00"/>
        <d v="2025-04-29T00:00:00"/>
        <d v="2025-10-20T00:00:00"/>
        <d v="2025-09-01T00:00:00"/>
        <d v="2025-03-09T00:00:00"/>
        <d v="2025-08-02T00:00:00"/>
        <d v="2025-08-06T00:00:00"/>
        <d v="2025-10-26T00:00:00"/>
        <d v="2025-06-13T00:00:00"/>
        <d v="2025-04-15T00:00:00"/>
        <d v="2025-08-16T00:00:00"/>
        <d v="2025-07-07T00:00:00"/>
        <d v="2025-03-24T00:00:00"/>
        <d v="2025-07-05T00:00:00"/>
        <d v="2025-09-09T00:00:00"/>
        <d v="2025-12-21T00:00:00"/>
        <d v="2025-12-26T00:00:00"/>
        <d v="2025-10-11T00:00:00"/>
        <d v="2025-10-31T00:00:00"/>
        <d v="2025-10-23T00:00:00"/>
        <d v="2025-04-07T00:00:00"/>
        <d v="2025-05-22T00:00:00"/>
        <d v="2025-01-25T00:00:00"/>
        <d v="2025-10-17T00:00:00"/>
        <d v="2025-03-08T00:00:00"/>
        <d v="2025-04-28T00:00:00"/>
        <d v="2025-03-14T00:00:00"/>
        <d v="2025-10-09T00:00:00"/>
        <d v="2025-01-10T00:00:00"/>
        <d v="2025-07-30T00:00:00"/>
        <d v="2025-11-19T00:00:00"/>
        <d v="2025-06-01T00:00:00"/>
        <d v="2025-01-05T00:00:00"/>
        <d v="2025-07-14T00:00:00"/>
        <d v="2025-10-10T00:00:00"/>
        <d v="2025-04-23T00:00:00"/>
        <d v="2025-06-12T00:00:00"/>
        <d v="2025-06-30T00:00:00"/>
        <d v="2025-06-24T00:00:00"/>
        <d v="2025-06-11T00:00:00"/>
        <d v="2025-12-06T00:00:00"/>
        <d v="2025-05-12T00:00:00"/>
        <d v="2025-03-28T00:00:00"/>
        <d v="2025-06-25T00:00:00"/>
        <d v="2025-07-02T00:00:00"/>
        <d v="2025-05-09T00:00:00"/>
        <d v="2025-03-30T00:00:00"/>
        <d v="2025-03-07T00:00:00"/>
        <d v="2025-06-07T00:00:00"/>
        <d v="2025-10-21T00:00:00"/>
        <d v="2025-09-10T00:00:00"/>
        <d v="2025-10-29T00:00:00"/>
        <d v="2025-10-04T00:00:00"/>
        <d v="2025-03-11T00:00:00"/>
        <d v="2025-12-29T00:00:00"/>
        <d v="2025-10-30T00:00:00"/>
        <d v="2025-04-01T00:00:00"/>
        <d v="2025-01-18T00:00:00"/>
        <d v="2025-05-31T00:00:00"/>
        <d v="2025-02-09T00:00:00"/>
        <d v="2025-08-30T00:00:00"/>
        <d v="2025-05-18T00:00:00"/>
        <d v="2025-07-22T00:00:00"/>
        <d v="2025-03-02T00:00:00"/>
        <d v="2025-11-07T00:00:00"/>
        <d v="2025-02-06T00:00:00"/>
        <d v="2025-12-24T00:00:00"/>
        <d v="2025-07-16T00:00:00"/>
        <d v="2025-02-28T00:00:00"/>
        <d v="2025-08-28T00:00:00"/>
        <d v="2025-11-03T00:00:00"/>
        <d v="2025-01-30T00:00:00"/>
        <d v="2025-09-24T00:00:00"/>
        <d v="2025-04-18T00:00:00"/>
        <d v="2025-11-28T00:00:00"/>
        <d v="2025-03-31T00:00:00"/>
        <d v="2025-08-08T00:00:00"/>
        <d v="2025-08-11T00:00:00"/>
        <d v="2025-01-31T00:00:00"/>
        <d v="2025-02-21T00:00:00"/>
        <d v="2025-10-05T00:00:00"/>
        <d v="2025-04-11T00:00:00"/>
        <d v="2025-09-06T00:00:00"/>
        <d v="2025-07-10T00:00:00"/>
        <d v="2025-12-01T00:00:00"/>
        <d v="2025-07-28T00:00:00"/>
        <d v="2025-01-22T00:00:00"/>
        <d v="2025-06-15T00:00:00"/>
        <d v="2025-01-08T00:00:00"/>
        <d v="2025-01-17T00:00:00"/>
        <d v="2025-05-21T00:00:00"/>
        <d v="2025-05-25T00:00:00"/>
        <d v="2025-03-19T00:00:00"/>
        <d v="2025-09-19T00:00:00"/>
        <d v="2025-01-14T00:00:00"/>
        <d v="2025-08-27T00:00:00"/>
        <d v="2025-08-29T00:00:00"/>
        <d v="2025-09-02T00:00:00"/>
        <d v="2025-03-01T00:00:00"/>
        <d v="2025-08-05T00:00:00"/>
        <d v="2025-01-26T00:00:00"/>
        <d v="2025-01-20T00:00:00"/>
        <d v="2025-07-17T00:00:00"/>
        <d v="2025-05-26T00:00:00"/>
        <d v="2025-01-19T00:00:00"/>
        <d v="2025-04-10T00:00:00"/>
        <d v="2025-05-02T00:00:00"/>
        <d v="2025-11-13T00:00:00"/>
        <d v="2025-11-23T00:00:00"/>
        <d v="2025-02-19T00:00:00"/>
        <d v="2025-03-06T00:00:00"/>
        <d v="2025-11-10T00:00:00"/>
        <d v="2025-05-08T00:00:00"/>
        <d v="2025-11-20T00:00:00"/>
        <d v="2025-12-12T00:00:00"/>
        <d v="2025-12-18T00:00:00"/>
        <d v="2025-07-13T00:00:00"/>
        <d v="2025-09-16T00:00:00"/>
        <d v="2025-05-16T00:00:00"/>
        <d v="2025-10-07T00:00:00"/>
        <d v="2025-06-08T00:00:00"/>
        <d v="2025-03-12T00:00:00"/>
        <d v="2025-05-05T00:00:00"/>
        <d v="2025-08-18T00:00:00"/>
        <d v="2025-06-22T00:00:00"/>
        <d v="2025-12-16T00:00:00"/>
        <d v="2025-01-04T00:00:00"/>
        <d v="2025-04-03T00:00:00"/>
        <d v="2025-04-16T00:00:00"/>
        <d v="2025-07-31T00:00:00"/>
        <d v="2025-10-24T00:00:00"/>
        <d v="2025-10-18T00:00:00"/>
        <d v="2025-07-12T00:00:00"/>
        <d v="2025-05-30T00:00:00"/>
        <d v="2025-09-08T00:00:00"/>
        <d v="2025-01-03T00:00:00"/>
        <d v="2025-11-12T00:00:00"/>
        <d v="2025-09-27T00:00:00"/>
        <d v="2025-08-13T00:00:00"/>
        <d v="2025-11-25T00:00:00"/>
        <d v="2025-03-10T00:00:00"/>
        <d v="2025-02-16T00:00:00"/>
        <d v="2025-08-03T00:00:00"/>
        <d v="2025-10-08T00:00:00"/>
        <d v="2025-09-05T00:00:00"/>
        <d v="2025-03-15T00:00:00"/>
        <d v="2025-11-30T00:00:00"/>
        <d v="2025-02-17T00:00:00"/>
        <d v="2025-08-14T00:00:00"/>
        <d v="2025-09-23T00:00:00"/>
        <d v="2025-01-11T00:00:00"/>
        <d v="2025-03-26T00:00:00"/>
        <d v="2025-03-05T00:00:00"/>
        <d v="2025-09-15T00:00:00"/>
        <d v="2025-05-01T00:00:00"/>
        <d v="2025-10-25T00:00:00"/>
        <d v="2025-02-23T00:00:00"/>
        <d v="2025-08-31T00:00:00"/>
        <d v="2025-05-24T00:00:00"/>
        <d v="2025-11-29T00:00:00"/>
        <d v="2025-05-10T00:00:00"/>
        <d v="2025-03-20T00:00:00"/>
        <d v="2025-09-20T00:00:00"/>
        <d v="2025-01-12T00:00:00"/>
        <d v="2025-02-12T00:00:00"/>
        <d v="2025-10-19T00:00:00"/>
        <d v="2025-05-04T00:00:00"/>
        <d v="2025-10-12T00:00:00"/>
        <d v="2025-10-02T00:00:00"/>
        <d v="2025-01-21T00:00:00"/>
        <d v="2025-06-14T00:00:00"/>
        <d v="2025-01-27T00:00:00"/>
        <d v="2025-05-28T00:00:00"/>
        <d v="2025-11-22T00:00:00"/>
        <d v="2025-11-15T00:00:00"/>
        <d v="2025-08-12T00:00:00"/>
        <d v="2025-12-22T00:00:00"/>
        <d v="2025-02-03T00:00:00"/>
        <d v="2025-08-19T00:00:00"/>
        <d v="2025-01-09T00:00:00"/>
        <d v="2025-12-09T00:00:00"/>
        <d v="2025-05-06T00:00:00"/>
        <d v="2025-03-16T00:00:00"/>
        <d v="2025-10-27T00:00:00"/>
        <d v="2025-03-18T00:00:00"/>
        <d v="2025-04-05T00:00:00"/>
        <d v="2025-05-15T00:00:00"/>
        <d v="2025-11-18T00:00:00"/>
        <d v="2025-01-16T00:00:00"/>
        <d v="2025-03-29T00:00:00"/>
        <d v="2025-11-02T00:00:00"/>
        <d v="2025-12-14T00:00:00"/>
        <d v="2025-07-18T00:00:00"/>
        <d v="2025-09-17T00:00:00"/>
        <d v="2025-12-27T00:00:00"/>
        <d v="2025-02-10T00:00:00"/>
        <d v="2025-12-02T00:00:00"/>
        <d v="2025-06-09T00:00:00"/>
        <d v="2025-02-08T00:00:00"/>
        <d v="2025-02-26T00:00:00"/>
        <d v="2025-01-15T00:00:00"/>
        <d v="2025-04-20T00:00:00"/>
        <d v="2025-12-23T00:00:00"/>
        <d v="2025-08-04T00:00:00"/>
        <d v="2025-02-05T00:00:00"/>
        <d v="2025-12-31T00:00:00"/>
        <d v="2025-05-03T00:00:00"/>
        <d v="2025-02-15T00:00:00"/>
        <d v="2025-06-18T00:00:00"/>
        <d v="2025-09-18T00:00:00"/>
        <d v="2025-12-19T00:00:00"/>
        <d v="2025-05-13T00:00:00"/>
        <d v="2025-01-29T00:00:00"/>
        <d v="2025-06-10T00:00:00"/>
        <d v="2025-05-11T00:00:00"/>
        <d v="2025-07-23T00:00:00"/>
        <d v="2025-06-16T00:00:00"/>
        <d v="2025-03-27T00:00:00"/>
        <d v="2025-07-26T00:00:00"/>
        <d v="2025-06-03T00:00:00"/>
        <d v="2025-02-20T00:00:00"/>
        <d v="2025-04-27T00:00:00"/>
        <d v="2025-11-05T00:00:00"/>
        <d v="2025-01-07T00:00:00"/>
        <d v="2025-08-23T00:00:00"/>
        <d v="2025-02-04T00:00:00"/>
        <d v="2025-11-16T00:00:00"/>
        <d v="2025-11-26T00:00:00"/>
        <d v="2025-08-24T00:00:00"/>
        <d v="2025-06-27T00:00:00"/>
        <d v="2025-08-10T00:00:00"/>
        <d v="2025-09-14T00:00:00"/>
        <d v="2025-02-02T00:00:00"/>
      </sharedItems>
    </cacheField>
    <cacheField name="Customer_Type" numFmtId="0">
      <sharedItems count="3">
        <s v="Regular"/>
        <s v="Member"/>
        <s v="New"/>
      </sharedItems>
    </cacheField>
    <cacheField name="Category" numFmtId="0">
      <sharedItems count="5">
        <s v="Clothing"/>
        <s v="Home &amp; Kitchen"/>
        <s v="Grocery"/>
        <s v="Furniture"/>
        <s v="Electronics"/>
      </sharedItems>
    </cacheField>
    <cacheField name="Product" numFmtId="0">
      <sharedItems count="20">
        <s v="Sneakers"/>
        <s v="Vacuum Cleaner"/>
        <s v="Cooking Oil"/>
        <s v="Office Chair"/>
        <s v="Rice"/>
        <s v="Microwave"/>
        <s v="Jeans"/>
        <s v="Bookshelf"/>
        <s v="Laptop"/>
        <s v="Sofa"/>
        <s v="Blender"/>
        <s v="Tablet"/>
        <s v="Coffee"/>
        <s v="T-Shirt"/>
        <s v="Cereal"/>
        <s v="Cookware Set"/>
        <s v="Headphones"/>
        <s v="Desk"/>
        <s v="Jacket"/>
        <s v="Smartphone"/>
      </sharedItems>
    </cacheField>
    <cacheField name="City" numFmtId="0">
      <sharedItems count="10">
        <s v="Atlanta"/>
        <s v="Dallas"/>
        <s v="Chicago"/>
        <s v="Miami"/>
        <s v="Houston"/>
        <s v="Los Angeles"/>
        <s v="New York"/>
        <s v="Phoenix"/>
        <s v="Seattle"/>
        <s v="Denver"/>
      </sharedItems>
    </cacheField>
    <cacheField name="State" numFmtId="0">
      <sharedItems count="9">
        <s v="GA"/>
        <s v="TX"/>
        <s v="IL"/>
        <s v="FL"/>
        <s v="CA"/>
        <s v="NY"/>
        <s v="AZ"/>
        <s v="WA"/>
        <s v="CO"/>
      </sharedItems>
    </cacheField>
    <cacheField name="Region" numFmtId="0">
      <sharedItems count="4">
        <s v="South"/>
        <s v="Central"/>
        <s v="West"/>
        <s v="East"/>
      </sharedItems>
    </cacheField>
    <cacheField name="Payment_Mode" numFmtId="0">
      <sharedItems count="4">
        <s v="Credit Card"/>
        <s v="UPI"/>
        <s v="Debit Card"/>
        <s v="Cash"/>
      </sharedItems>
    </cacheField>
    <cacheField name="Quantity" numFmtId="0">
      <sharedItems containsSemiMixedTypes="0" containsString="0" containsNumber="1" containsInteger="1" minValue="1" maxValue="7" count="7">
        <n v="4"/>
        <n v="5"/>
        <n v="2"/>
        <n v="7"/>
        <n v="6"/>
        <n v="3"/>
        <n v="1"/>
      </sharedItems>
    </cacheField>
    <cacheField name="Unit_Price" numFmtId="0">
      <sharedItems containsSemiMixedTypes="0" containsString="0" containsNumber="1" minValue="5.45" maxValue="1487.98" count="989">
        <n v="36.81"/>
        <n v="233.93"/>
        <n v="53.3"/>
        <n v="205.95"/>
        <n v="50.92"/>
        <n v="559.54"/>
        <n v="72.68"/>
        <n v="33.74"/>
        <n v="21.22"/>
        <n v="235.22"/>
        <n v="22.98"/>
        <n v="66.54"/>
        <n v="417.51"/>
        <n v="549.8"/>
        <n v="73.26"/>
        <n v="729.82"/>
        <n v="106.52"/>
        <n v="417.32"/>
        <n v="976.67"/>
        <n v="144.43"/>
        <n v="558.78"/>
        <n v="221.72"/>
        <n v="173.06"/>
        <n v="848.38"/>
        <n v="939.23"/>
        <n v="21.54"/>
        <n v="51.92"/>
        <n v="535.87"/>
        <n v="45.5"/>
        <n v="24.83"/>
        <n v="50.33"/>
        <n v="141.01"/>
        <n v="101.36"/>
        <n v="402.02"/>
        <n v="54.99"/>
        <n v="63.05"/>
        <n v="38.14"/>
        <n v="102.6"/>
        <n v="341.93"/>
        <n v="221.95"/>
        <n v="78.81"/>
        <n v="152.63"/>
        <n v="80.64"/>
        <n v="484.95"/>
        <n v="460.8"/>
        <n v="623.55"/>
        <n v="763.27"/>
        <n v="94.03"/>
        <n v="479.84"/>
        <n v="25.24"/>
        <n v="26.74"/>
        <n v="109.69"/>
        <n v="108.39"/>
        <n v="442.07"/>
        <n v="46.84"/>
        <n v="1442.9"/>
        <n v="23.03"/>
        <n v="133.31"/>
        <n v="22.27"/>
        <n v="207.49"/>
        <n v="510.08"/>
        <n v="121.52"/>
        <n v="46.65"/>
        <n v="854.08"/>
        <n v="765.84"/>
        <n v="63.94"/>
        <n v="115.61"/>
        <n v="194.4"/>
        <n v="35.95"/>
        <n v="35.34"/>
        <n v="816.36"/>
        <n v="141.78"/>
        <n v="195.12"/>
        <n v="891.08"/>
        <n v="350.05"/>
        <n v="856.63"/>
        <n v="282.43"/>
        <n v="78.05"/>
        <n v="106.53"/>
        <n v="27.67"/>
        <n v="26.99"/>
        <n v="1032.02"/>
        <n v="329.86"/>
        <n v="220.12"/>
        <n v="775.29"/>
        <n v="669.93"/>
        <n v="114.09"/>
        <n v="556.23"/>
        <n v="44.22"/>
        <n v="12.38"/>
        <n v="76.75"/>
        <n v="931.09"/>
        <n v="59.65"/>
        <n v="28.65"/>
        <n v="638.27"/>
        <n v="22.77"/>
        <n v="71.06"/>
        <n v="202.18"/>
        <n v="727.89"/>
        <n v="1042.12"/>
        <n v="105.24"/>
        <n v="754.63"/>
        <n v="167.2"/>
        <n v="111.82"/>
        <n v="478.45"/>
        <n v="191.22"/>
        <n v="63.68"/>
        <n v="178.76"/>
        <n v="23.05"/>
        <n v="70.57"/>
        <n v="1259.48"/>
        <n v="21.85"/>
        <n v="214.68"/>
        <n v="35.73"/>
        <n v="1469.07"/>
        <n v="110.92"/>
        <n v="729.28"/>
        <n v="30.06"/>
        <n v="1117.84"/>
        <n v="407.01"/>
        <n v="541.61"/>
        <n v="152.38"/>
        <n v="406.98"/>
        <n v="69.98"/>
        <n v="164.66"/>
        <n v="129.19"/>
        <n v="91.49"/>
        <n v="83.61"/>
        <n v="285.58"/>
        <n v="216.3"/>
        <n v="43.97"/>
        <n v="498.35"/>
        <n v="37.31"/>
        <n v="345.84"/>
        <n v="34.7"/>
        <n v="14.98"/>
        <n v="41.19"/>
        <n v="856.88"/>
        <n v="797.66"/>
        <n v="455.84"/>
        <n v="1487.98"/>
        <n v="123.95"/>
        <n v="73.65"/>
        <n v="125.42"/>
        <n v="94.83"/>
        <n v="84.03"/>
        <n v="74.04"/>
        <n v="49.53"/>
        <n v="539.25"/>
        <n v="41.64"/>
        <n v="749.87"/>
        <n v="865.93"/>
        <n v="889.81"/>
        <n v="378.35"/>
        <n v="60.67"/>
        <n v="115.78"/>
        <n v="73.55"/>
        <n v="395.6"/>
        <n v="880.73"/>
        <n v="24.59"/>
        <n v="57.12"/>
        <n v="885.7"/>
        <n v="403.22"/>
        <n v="1123.74"/>
        <n v="50.76"/>
        <n v="464.95"/>
        <n v="36.98"/>
        <n v="24.6"/>
        <n v="675.12"/>
        <n v="113.88"/>
        <n v="809.47"/>
        <n v="489.22"/>
        <n v="55.49"/>
        <n v="96.88"/>
        <n v="62.13"/>
        <n v="674.42"/>
        <n v="6.8"/>
        <n v="910.46"/>
        <n v="472.2"/>
        <n v="327.66"/>
        <n v="749.74"/>
        <n v="11.86"/>
        <n v="968.47"/>
        <n v="517.95"/>
        <n v="396.26"/>
        <n v="101.03"/>
        <n v="450.87"/>
        <n v="358.74"/>
        <n v="112.04"/>
        <n v="69.62"/>
        <n v="540.55"/>
        <n v="448.06"/>
        <n v="113.5"/>
        <n v="738.64"/>
        <n v="85.9"/>
        <n v="61.24"/>
        <n v="73.48"/>
        <n v="892.41"/>
        <n v="110.87"/>
        <n v="59.35"/>
        <n v="218.85"/>
        <n v="23.51"/>
        <n v="515.11"/>
        <n v="868.29"/>
        <n v="112.02"/>
        <n v="36.99"/>
        <n v="317.32"/>
        <n v="11.12"/>
        <n v="29.49"/>
        <n v="43.35"/>
        <n v="43.86"/>
        <n v="50.31"/>
        <n v="26.25"/>
        <n v="390.27"/>
        <n v="65.89"/>
        <n v="6.04"/>
        <n v="122.15"/>
        <n v="125.36"/>
        <n v="1214.09"/>
        <n v="1404.51"/>
        <n v="67.12"/>
        <n v="298.37"/>
        <n v="71.46"/>
        <n v="90.66"/>
        <n v="881.72"/>
        <n v="1021.5"/>
        <n v="627.21"/>
        <n v="841.98"/>
        <n v="79.77"/>
        <n v="133.83"/>
        <n v="294.14"/>
        <n v="1329.25"/>
        <n v="23.12"/>
        <n v="53.13"/>
        <n v="1354.29"/>
        <n v="267.76"/>
        <n v="393.32"/>
        <n v="37.79"/>
        <n v="433.08"/>
        <n v="262.53"/>
        <n v="55.62"/>
        <n v="419.47"/>
        <n v="1156.42"/>
        <n v="62"/>
        <n v="28.44"/>
        <n v="35.8"/>
        <n v="49.6"/>
        <n v="1466.72"/>
        <n v="75.09"/>
        <n v="510.81"/>
        <n v="144.01"/>
        <n v="141.37"/>
        <n v="56.87"/>
        <n v="1451.21"/>
        <n v="34.52"/>
        <n v="265.62"/>
        <n v="344.06"/>
        <n v="669.91"/>
        <n v="538.8"/>
        <n v="225.8"/>
        <n v="42.83"/>
        <n v="173.29"/>
        <n v="687"/>
        <n v="121.46"/>
        <n v="1138.2"/>
        <n v="53.32"/>
        <n v="655.56"/>
        <n v="152.85"/>
        <n v="47.77"/>
        <n v="63.75"/>
        <n v="1371.14"/>
        <n v="605.73"/>
        <n v="138.96"/>
        <n v="72.27"/>
        <n v="68.46"/>
        <n v="111.84"/>
        <n v="76.72"/>
        <n v="33.25"/>
        <n v="30.44"/>
        <n v="103.07"/>
        <n v="255.93"/>
        <n v="234.8"/>
        <n v="56.01"/>
        <n v="530.06"/>
        <n v="409.19"/>
        <n v="159.46"/>
        <n v="168.67"/>
        <n v="69.4"/>
        <n v="156.44"/>
        <n v="62.35"/>
        <n v="288.31"/>
        <n v="1060.26"/>
        <n v="170.93"/>
        <n v="127.62"/>
        <n v="182.52"/>
        <n v="262.78"/>
        <n v="53.43"/>
        <n v="99.24"/>
        <n v="250.33"/>
        <n v="173.23"/>
        <n v="406.14"/>
        <n v="1303.21"/>
        <n v="90.22"/>
        <n v="76.43"/>
        <n v="69.26"/>
        <n v="1020.49"/>
        <n v="139.05"/>
        <n v="410.67"/>
        <n v="474.23"/>
        <n v="524.35"/>
        <n v="69.39"/>
        <n v="161.93"/>
        <n v="1081.16"/>
        <n v="680.68"/>
        <n v="626.06"/>
        <n v="23.92"/>
        <n v="792.09"/>
        <n v="193.53"/>
        <n v="9.02"/>
        <n v="659.85"/>
        <n v="454.15"/>
        <n v="771.73"/>
        <n v="624.42"/>
        <n v="318.96"/>
        <n v="1267.75"/>
        <n v="46.17"/>
        <n v="114.87"/>
        <n v="662.33"/>
        <n v="484.45"/>
        <n v="50.32"/>
        <n v="441.76"/>
        <n v="1256.77"/>
        <n v="419.04"/>
        <n v="132.05"/>
        <n v="139.59"/>
        <n v="1271.17"/>
        <n v="125.72"/>
        <n v="356.09"/>
        <n v="74.89"/>
        <n v="1328.58"/>
        <n v="134.69"/>
        <n v="13.44"/>
        <n v="82.28"/>
        <n v="803.42"/>
        <n v="90.12"/>
        <n v="77.11"/>
        <n v="1044.41"/>
        <n v="586.67"/>
        <n v="153.52"/>
        <n v="261.47"/>
        <n v="850.75"/>
        <n v="503.55"/>
        <n v="142.96"/>
        <n v="384.15"/>
        <n v="15.44"/>
        <n v="16.77"/>
        <n v="283.52"/>
        <n v="1465.61"/>
        <n v="200.34"/>
        <n v="73.94"/>
        <n v="71.78"/>
        <n v="100.89"/>
        <n v="234.32"/>
        <n v="160.19"/>
        <n v="265.12"/>
        <n v="98.78"/>
        <n v="15.38"/>
        <n v="177.15"/>
        <n v="143.74"/>
        <n v="112.36"/>
        <n v="124.42"/>
        <n v="556.06"/>
        <n v="36.14"/>
        <n v="679.51"/>
        <n v="63.88"/>
        <n v="47.29"/>
        <n v="747.22"/>
        <n v="601.44"/>
        <n v="224.01"/>
        <n v="439.32"/>
        <n v="146.91"/>
        <n v="1148"/>
        <n v="99.62"/>
        <n v="177.41"/>
        <n v="926.39"/>
        <n v="896.37"/>
        <n v="419.97"/>
        <n v="1387.38"/>
        <n v="343.26"/>
        <n v="157.72"/>
        <n v="122.02"/>
        <n v="223.88"/>
        <n v="391.88"/>
        <n v="25.11"/>
        <n v="459.63"/>
        <n v="425.84"/>
        <n v="42.69"/>
        <n v="152.31"/>
        <n v="10.07"/>
        <n v="368.91"/>
        <n v="1398.91"/>
        <n v="229.5"/>
        <n v="34.66"/>
        <n v="268.39"/>
        <n v="575.34"/>
        <n v="76.85"/>
        <n v="320.13"/>
        <n v="133.59"/>
        <n v="80.25"/>
        <n v="497.31"/>
        <n v="53.4"/>
        <n v="115.19"/>
        <n v="83.11"/>
        <n v="383.04"/>
        <n v="71.31"/>
        <n v="427.56"/>
        <n v="126.47"/>
        <n v="482.56"/>
        <n v="782.23"/>
        <n v="69.95"/>
        <n v="58.42"/>
        <n v="1184.83"/>
        <n v="243.85"/>
        <n v="494.7"/>
        <n v="94.73"/>
        <n v="888.86"/>
        <n v="1151.49"/>
        <n v="56.02"/>
        <n v="45.38"/>
        <n v="178.7"/>
        <n v="156.49"/>
        <n v="132.76"/>
        <n v="57.98"/>
        <n v="72.02"/>
        <n v="89.91"/>
        <n v="652.94"/>
        <n v="136.51"/>
        <n v="66.42"/>
        <n v="30.3"/>
        <n v="418.07"/>
        <n v="15.1"/>
        <n v="28.09"/>
        <n v="422.45"/>
        <n v="411.67"/>
        <n v="107.96"/>
        <n v="19.03"/>
        <n v="106.67"/>
        <n v="163.4"/>
        <n v="223.26"/>
        <n v="77.18"/>
        <n v="794.52"/>
        <n v="455.02"/>
        <n v="41.97"/>
        <n v="330.63"/>
        <n v="13.01"/>
        <n v="1433.83"/>
        <n v="101.19"/>
        <n v="166.38"/>
        <n v="303.36"/>
        <n v="322.34"/>
        <n v="189.64"/>
        <n v="715.69"/>
        <n v="14.19"/>
        <n v="981.57"/>
        <n v="35.43"/>
        <n v="109.96"/>
        <n v="456.98"/>
        <n v="211.61"/>
        <n v="415.09"/>
        <n v="45.85"/>
        <n v="61.98"/>
        <n v="172.65"/>
        <n v="430.68"/>
        <n v="433.33"/>
        <n v="105.18"/>
        <n v="1292.6"/>
        <n v="17.18"/>
        <n v="485.01"/>
        <n v="390.49"/>
        <n v="1407.41"/>
        <n v="73.19"/>
        <n v="1243.87"/>
        <n v="71.61"/>
        <n v="47.87"/>
        <n v="291.56"/>
        <n v="490.34"/>
        <n v="204.1"/>
        <n v="79.9"/>
        <n v="853.27"/>
        <n v="100.94"/>
        <n v="1061.57"/>
        <n v="17.57"/>
        <n v="520.64"/>
        <n v="794.75"/>
        <n v="1210.95"/>
        <n v="137.01"/>
        <n v="996.66"/>
        <n v="98.99"/>
        <n v="46.03"/>
        <n v="11.56"/>
        <n v="615.86"/>
        <n v="83.23"/>
        <n v="21.57"/>
        <n v="155.14"/>
        <n v="1437.02"/>
        <n v="76.52"/>
        <n v="73.13"/>
        <n v="141.2"/>
        <n v="44.55"/>
        <n v="79.72"/>
        <n v="76.08"/>
        <n v="170.02"/>
        <n v="387.67"/>
        <n v="76.62"/>
        <n v="78.59"/>
        <n v="77.97"/>
        <n v="1180.83"/>
        <n v="71.53"/>
        <n v="52.08"/>
        <n v="116.21"/>
        <n v="39.09"/>
        <n v="470.58"/>
        <n v="1383.06"/>
        <n v="446.55"/>
        <n v="322.08"/>
        <n v="737.03"/>
        <n v="108.68"/>
        <n v="334.57"/>
        <n v="174.01"/>
        <n v="52.67"/>
        <n v="194.08"/>
        <n v="16.14"/>
        <n v="49.74"/>
        <n v="742.23"/>
        <n v="267.82"/>
        <n v="217.18"/>
        <n v="251.86"/>
        <n v="64.48"/>
        <n v="992.77"/>
        <n v="310.45"/>
        <n v="355.64"/>
        <n v="358.13"/>
        <n v="1250.08"/>
        <n v="223.47"/>
        <n v="40.18"/>
        <n v="730.8"/>
        <n v="203.13"/>
        <n v="444.75"/>
        <n v="187.89"/>
        <n v="56.29"/>
        <n v="37.04"/>
        <n v="1059.87"/>
        <n v="67.16"/>
        <n v="159.15"/>
        <n v="945.93"/>
        <n v="139.38"/>
        <n v="78.82"/>
        <n v="28.3"/>
        <n v="39.28"/>
        <n v="27.35"/>
        <n v="67.64"/>
        <n v="165.29"/>
        <n v="5.45"/>
        <n v="461.28"/>
        <n v="154.76"/>
        <n v="28.08"/>
        <n v="74.45"/>
        <n v="101.8"/>
        <n v="483.77"/>
        <n v="224.93"/>
        <n v="137.36"/>
        <n v="514.68"/>
        <n v="160.94"/>
        <n v="106.41"/>
        <n v="278.92"/>
        <n v="357.55"/>
        <n v="316.05"/>
        <n v="73.74"/>
        <n v="180.72"/>
        <n v="76.39"/>
        <n v="1158.95"/>
        <n v="70.91"/>
        <n v="1431.93"/>
        <n v="1127.86"/>
        <n v="928.35"/>
        <n v="443.43"/>
        <n v="92.17"/>
        <n v="57.42"/>
        <n v="245.89"/>
        <n v="132.81"/>
        <n v="461.62"/>
        <n v="226.29"/>
        <n v="30.66"/>
        <n v="173.66"/>
        <n v="236.3"/>
        <n v="95.69"/>
        <n v="31.37"/>
        <n v="73.22"/>
        <n v="108.88"/>
        <n v="1162.29"/>
        <n v="740.04"/>
        <n v="565.43"/>
        <n v="695.85"/>
        <n v="1284.83"/>
        <n v="197.55"/>
        <n v="64.55"/>
        <n v="1416.21"/>
        <n v="51.74"/>
        <n v="137.37"/>
        <n v="734.33"/>
        <n v="154.43"/>
        <n v="80.18"/>
        <n v="49.35"/>
        <n v="391.59"/>
        <n v="126.17"/>
        <n v="89.31"/>
        <n v="686.62"/>
        <n v="353.44"/>
        <n v="119.73"/>
        <n v="208.46"/>
        <n v="138.65"/>
        <n v="105.04"/>
        <n v="121.93"/>
        <n v="494.51"/>
        <n v="138.52"/>
        <n v="41.2"/>
        <n v="386.76"/>
        <n v="1453.53"/>
        <n v="1095.48"/>
        <n v="479.64"/>
        <n v="85.47"/>
        <n v="250.67"/>
        <n v="163.16"/>
        <n v="274.4"/>
        <n v="360.96"/>
        <n v="23.91"/>
        <n v="237.2"/>
        <n v="154.93"/>
        <n v="20.45"/>
        <n v="25.45"/>
        <n v="135.76"/>
        <n v="880.69"/>
        <n v="256"/>
        <n v="613.81"/>
        <n v="67.93"/>
        <n v="286.56"/>
        <n v="97.74"/>
        <n v="1113.93"/>
        <n v="932.36"/>
        <n v="671.56"/>
        <n v="1173.04"/>
        <n v="78.16"/>
        <n v="297.44"/>
        <n v="340.39"/>
        <n v="1000.82"/>
        <n v="10.13"/>
        <n v="72.3"/>
        <n v="249.52"/>
        <n v="180.73"/>
        <n v="1238.36"/>
        <n v="557.72"/>
        <n v="638.96"/>
        <n v="40.51"/>
        <n v="1293.46"/>
        <n v="186.5"/>
        <n v="158.49"/>
        <n v="205.15"/>
        <n v="393.98"/>
        <n v="427.59"/>
        <n v="18.64"/>
        <n v="229.41"/>
        <n v="103.61"/>
        <n v="360.64"/>
        <n v="279.29"/>
        <n v="590.02"/>
        <n v="217.01"/>
        <n v="20.88"/>
        <n v="138.93"/>
        <n v="177.98"/>
        <n v="874.84"/>
        <n v="1298.27"/>
        <n v="55.02"/>
        <n v="231.81"/>
        <n v="477.73"/>
        <n v="133.68"/>
        <n v="1400.83"/>
        <n v="829.17"/>
        <n v="270.07"/>
        <n v="23.72"/>
        <n v="667.17"/>
        <n v="153.11"/>
        <n v="307.36"/>
        <n v="44.94"/>
        <n v="47.33"/>
        <n v="560.5"/>
        <n v="42.43"/>
        <n v="619.23"/>
        <n v="116.84"/>
        <n v="485.66"/>
        <n v="59.57"/>
        <n v="1390.1"/>
        <n v="1162.34"/>
        <n v="306.07"/>
        <n v="616.68"/>
        <n v="51.75"/>
        <n v="50.19"/>
        <n v="95.81"/>
        <n v="499.36"/>
        <n v="334.28"/>
        <n v="491.42"/>
        <n v="217.92"/>
        <n v="65.39"/>
        <n v="18.93"/>
        <n v="122.22"/>
        <n v="86.98"/>
        <n v="1014.8"/>
        <n v="701.56"/>
        <n v="60.66"/>
        <n v="524.45"/>
        <n v="31.03"/>
        <n v="1404.67"/>
        <n v="463.26"/>
        <n v="263.63"/>
        <n v="69.1"/>
        <n v="676.56"/>
        <n v="132.13"/>
        <n v="453.55"/>
        <n v="557.58"/>
        <n v="166.89"/>
        <n v="16.98"/>
        <n v="287.59"/>
        <n v="679.56"/>
        <n v="255.38"/>
        <n v="122.59"/>
        <n v="486.92"/>
        <n v="43.85"/>
        <n v="51.06"/>
        <n v="22.75"/>
        <n v="41.26"/>
        <n v="689.39"/>
        <n v="10.62"/>
        <n v="32.52"/>
        <n v="153.18"/>
        <n v="420.54"/>
        <n v="19.62"/>
        <n v="42.87"/>
        <n v="62.66"/>
        <n v="54.42"/>
        <n v="540.29"/>
        <n v="81.62"/>
        <n v="80.99"/>
        <n v="8.96"/>
        <n v="67.56"/>
        <n v="81.04"/>
        <n v="46.45"/>
        <n v="422.21"/>
        <n v="154.26"/>
        <n v="273.05"/>
        <n v="225.31"/>
        <n v="43.96"/>
        <n v="717.69"/>
        <n v="299.37"/>
        <n v="890.69"/>
        <n v="69.85"/>
        <n v="318.2"/>
        <n v="140.63"/>
        <n v="600.85"/>
        <n v="134.57"/>
        <n v="389.13"/>
        <n v="77.47"/>
        <n v="1457.51"/>
        <n v="785.31"/>
        <n v="933.12"/>
        <n v="1075.23"/>
        <n v="26.39"/>
        <n v="324.62"/>
        <n v="727.02"/>
        <n v="459.71"/>
        <n v="140.03"/>
        <n v="480.32"/>
        <n v="531.62"/>
        <n v="74.35"/>
        <n v="51.71"/>
        <n v="95.13"/>
        <n v="825.88"/>
        <n v="115.71"/>
        <n v="514.45"/>
        <n v="143.63"/>
        <n v="341.78"/>
        <n v="68.9"/>
        <n v="46.94"/>
        <n v="43.61"/>
        <n v="12.47"/>
        <n v="17.64"/>
        <n v="482.75"/>
        <n v="370.44"/>
        <n v="562.73"/>
        <n v="10.98"/>
        <n v="56.23"/>
        <n v="1404.24"/>
        <n v="298.44"/>
        <n v="35.81"/>
        <n v="544.46"/>
        <n v="1168.21"/>
        <n v="657.11"/>
        <n v="797.86"/>
        <n v="122.03"/>
        <n v="1356.93"/>
        <n v="965.38"/>
        <n v="87.36"/>
        <n v="66.1"/>
        <n v="366.55"/>
        <n v="164.96"/>
        <n v="696.34"/>
        <n v="55.73"/>
        <n v="507.37"/>
        <n v="112.42"/>
        <n v="692.98"/>
        <n v="93.24"/>
        <n v="241.92"/>
        <n v="955.6"/>
        <n v="21.66"/>
        <n v="29.46"/>
        <n v="448.27"/>
        <n v="290.1"/>
        <n v="492.71"/>
        <n v="49.5"/>
        <n v="160.8"/>
        <n v="223"/>
        <n v="62.68"/>
        <n v="36.91"/>
        <n v="293.57"/>
        <n v="34.98"/>
        <n v="128.89"/>
        <n v="713.07"/>
        <n v="412.91"/>
        <n v="445.49"/>
        <n v="29.31"/>
        <n v="1376.79"/>
        <n v="34.1"/>
        <n v="67.22"/>
        <n v="88.51"/>
        <n v="169.34"/>
        <n v="688.71"/>
        <n v="170.32"/>
        <n v="126.64"/>
        <n v="32.26"/>
        <n v="169.8"/>
        <n v="471.3"/>
        <n v="29.91"/>
        <n v="1075.15"/>
        <n v="700.52"/>
        <n v="74.71"/>
        <n v="224.08"/>
        <n v="64.85"/>
        <n v="375.81"/>
        <n v="25.53"/>
        <n v="208.93"/>
        <n v="290.35"/>
        <n v="65.24"/>
        <n v="78.72"/>
        <n v="121.06"/>
        <n v="1099.1"/>
        <n v="176.14"/>
        <n v="615.63"/>
        <n v="147.3"/>
        <n v="697.03"/>
        <n v="789.1"/>
        <n v="110.81"/>
        <n v="51.1"/>
        <n v="179.95"/>
        <n v="61.71"/>
        <n v="34.53"/>
        <n v="943.66"/>
        <n v="427.89"/>
        <n v="681.01"/>
        <n v="133.46"/>
        <n v="99.69"/>
        <n v="64.49"/>
        <n v="453.16"/>
        <n v="104.81"/>
        <n v="351.58"/>
        <n v="81"/>
        <n v="161.5"/>
        <n v="302.07"/>
        <n v="1335.77"/>
        <n v="295.47"/>
        <n v="928.89"/>
        <n v="54.86"/>
        <n v="36.45"/>
        <n v="1075.56"/>
        <n v="220.1"/>
        <n v="98.27"/>
        <n v="16.21"/>
        <n v="637.96"/>
        <n v="339.14"/>
        <n v="7.88"/>
        <n v="602.92"/>
        <n v="882.18"/>
        <n v="84.42"/>
        <n v="42.65"/>
        <n v="73.24"/>
        <n v="1098.51"/>
        <n v="111.04"/>
        <n v="403.96"/>
        <n v="69.83"/>
        <n v="728.78"/>
        <n v="250.68"/>
        <n v="78.7"/>
        <n v="77.5"/>
        <n v="356.15"/>
        <n v="64.53"/>
        <n v="434.91"/>
        <n v="41.04"/>
        <n v="10.16"/>
        <n v="517.26"/>
        <n v="83.83"/>
        <n v="1326.4"/>
        <n v="121.9"/>
        <n v="752.49"/>
        <n v="871.92"/>
        <n v="96.42"/>
        <n v="77.89"/>
        <n v="268.49"/>
        <n v="493.05"/>
        <n v="746.56"/>
        <n v="1298.16"/>
        <n v="512.96"/>
        <n v="353.6"/>
        <n v="159.71"/>
        <n v="166.48"/>
        <n v="63.5"/>
        <n v="40.37"/>
        <n v="22.06"/>
        <n v="17.46"/>
        <n v="332.82"/>
        <n v="170.09"/>
        <n v="187.94"/>
        <n v="1483.14"/>
        <n v="95.06"/>
        <n v="18.44"/>
        <n v="162.04"/>
        <n v="243.67"/>
        <n v="1087.73"/>
        <n v="1476.87"/>
        <n v="48.83"/>
        <n v="70.93"/>
        <n v="59.03"/>
        <n v="480.19"/>
        <n v="45.41"/>
        <n v="83.46"/>
        <n v="68.57"/>
        <n v="392.88"/>
        <n v="15.08"/>
        <n v="447.56"/>
        <n v="940.37"/>
        <n v="228.47"/>
        <n v="19.47"/>
        <n v="397.16"/>
        <n v="16.73"/>
        <n v="386.9"/>
        <n v="449.32"/>
        <n v="230.6"/>
        <n v="103.36"/>
        <n v="93.7"/>
        <n v="209.87"/>
        <n v="804.31"/>
        <n v="72.05"/>
        <n v="30.19"/>
        <n v="51.13"/>
        <n v="167.94"/>
        <n v="173.74"/>
        <n v="482.62"/>
        <n v="38.96"/>
        <n v="25.9"/>
        <n v="480.46"/>
        <n v="38.56"/>
        <n v="48.49"/>
        <n v="290.17"/>
        <n v="287.16"/>
        <n v="35.37"/>
        <n v="179.8"/>
        <n v="96.72"/>
        <n v="299.81"/>
        <n v="120.19"/>
        <n v="299.42"/>
        <n v="704.18"/>
        <n v="99.23"/>
        <n v="24.41"/>
      </sharedItems>
    </cacheField>
    <cacheField name="Discount" numFmtId="0">
      <sharedItems containsSemiMixedTypes="0" containsString="0" containsNumber="1" minValue="0" maxValue="0.2" count="5">
        <n v="0.1"/>
        <n v="0"/>
        <n v="0.15"/>
        <n v="0.05"/>
        <n v="0.2"/>
      </sharedItems>
    </cacheField>
    <cacheField name="Sales" numFmtId="0">
      <sharedItems containsSemiMixedTypes="0" containsString="0" containsNumber="1" minValue="12.08" maxValue="9341.06" count="997">
        <n v="132.52"/>
        <n v="935.72"/>
        <n v="239.85"/>
        <n v="411.9"/>
        <n v="216.41"/>
        <n v="3720.94"/>
        <n v="407.01"/>
        <n v="182.2"/>
        <n v="57.29"/>
        <n v="1058.49"/>
        <n v="114.9"/>
        <n v="63.21"/>
        <n v="2922.57"/>
        <n v="494.82"/>
        <n v="69.6"/>
        <n v="3101.74"/>
        <n v="213.04"/>
        <n v="1251.96"/>
        <n v="2783.51"/>
        <n v="859.36"/>
        <n v="3017.41"/>
        <n v="1474.44"/>
        <n v="311.51"/>
        <n v="1696.76"/>
        <n v="2254.15"/>
        <n v="77.54"/>
        <n v="49.32"/>
        <n v="482.28"/>
        <n v="136.5"/>
        <n v="139.05"/>
        <n v="100.66"/>
        <n v="888.36"/>
        <n v="608.16"/>
        <n v="1447.27"/>
        <n v="140.22"/>
        <n v="56.74"/>
        <n v="171.63"/>
        <n v="610.47"/>
        <n v="683.86"/>
        <n v="1054.26"/>
        <n v="472.86"/>
        <n v="366.31"/>
        <n v="536.26"/>
        <n v="436.46"/>
        <n v="2903.04"/>
        <n v="2494.2"/>
        <n v="3816.35"/>
        <n v="357.31"/>
        <n v="2735.09"/>
        <n v="25.24"/>
        <n v="133.7"/>
        <n v="559.42"/>
        <n v="346.85"/>
        <n v="1679.87"/>
        <n v="222.49"/>
        <n v="1442.9"/>
        <n v="82.91"/>
        <n v="339.94"/>
        <n v="133.62"/>
        <n v="1037.45"/>
        <n v="867.14"/>
        <n v="218.74"/>
        <n v="46.65"/>
        <n v="2306.02"/>
        <n v="2910.19"/>
        <n v="121.49"/>
        <n v="98.27"/>
        <n v="991.44"/>
        <n v="102.46"/>
        <n v="90.12"/>
        <n v="5428.79"/>
        <n v="120.51"/>
        <n v="175.61"/>
        <n v="5301.93"/>
        <n v="1190.17"/>
        <n v="856.63"/>
        <n v="1680.46"/>
        <n v="265.37"/>
        <n v="362.2"/>
        <n v="138.35"/>
        <n v="68.82"/>
        <n v="5263.3"/>
        <n v="940.1"/>
        <n v="528.29"/>
        <n v="3876.45"/>
        <n v="2679.72"/>
        <n v="410.72"/>
        <n v="500.61"/>
        <n v="198.99"/>
        <n v="12.38"/>
        <n v="307"/>
        <n v="931.09"/>
        <n v="119.3"/>
        <n v="200.55"/>
        <n v="1723.33"/>
        <n v="58.06"/>
        <n v="383.72"/>
        <n v="1202.97"/>
        <n v="2911.56"/>
        <n v="5627.45"/>
        <n v="189.43"/>
        <n v="4075"/>
        <n v="501.6"/>
        <n v="402.55"/>
        <n v="861.21"/>
        <n v="487.61"/>
        <n v="401.18"/>
        <n v="178.76"/>
        <n v="103.72"/>
        <n v="141.14"/>
        <n v="4282.23"/>
        <n v="117.99"/>
        <n v="1502.76"/>
        <n v="171.5"/>
        <n v="2644.33"/>
        <n v="776.44"/>
        <n v="2625.41"/>
        <n v="57.11"/>
        <n v="3800.66"/>
        <n v="2075.75"/>
        <n v="1299.86"/>
        <n v="959.99"/>
        <n v="366.28"/>
        <n v="178.45"/>
        <n v="164.66"/>
        <n v="697.63"/>
        <n v="576.39"/>
        <n v="250.83"/>
        <n v="813.9"/>
        <n v="367.71"/>
        <n v="186.87"/>
        <n v="2990.1"/>
        <n v="149.24"/>
        <n v="1971.29"/>
        <n v="117.98"/>
        <n v="104.86"/>
        <n v="148.28"/>
        <n v="856.88"/>
        <n v="2871.58"/>
        <n v="1732.19"/>
        <n v="2529.57"/>
        <n v="371.85"/>
        <n v="397.71"/>
        <n v="752.52"/>
        <n v="597.43"/>
        <n v="499.98"/>
        <n v="296.16"/>
        <n v="210.5"/>
        <n v="2911.95"/>
        <n v="291.48"/>
        <n v="2849.51"/>
        <n v="6061.51"/>
        <n v="800.83"/>
        <n v="321.6"/>
        <n v="424.69"/>
        <n v="104.2"/>
        <n v="437.62"/>
        <n v="1345.04"/>
        <n v="1585.31"/>
        <n v="98.36"/>
        <n v="205.63"/>
        <n v="1682.83"/>
        <n v="685.47"/>
        <n v="6068.2"/>
        <n v="182.74"/>
        <n v="1673.82"/>
        <n v="220.03"/>
        <n v="41.82"/>
        <n v="1282.73"/>
        <n v="216.37"/>
        <n v="5099.66"/>
        <n v="2641.79"/>
        <n v="221.96"/>
        <n v="164.7"/>
        <n v="55.92"/>
        <n v="2562.8"/>
        <n v="47.6"/>
        <n v="5462.76"/>
        <n v="401.37"/>
        <n v="2178.94"/>
        <n v="2249.22"/>
        <n v="42.7"/>
        <n v="2760.14"/>
        <n v="3625.65"/>
        <n v="2635.13"/>
        <n v="636.49"/>
        <n v="811.57"/>
        <n v="2044.82"/>
        <n v="212.88"/>
        <n v="334.18"/>
        <n v="2567.61"/>
        <n v="851.31"/>
        <n v="340.5"/>
        <n v="3988.66"/>
        <n v="146.03"/>
        <n v="244.96"/>
        <n v="462.92"/>
        <n v="5354.46"/>
        <n v="631.96"/>
        <n v="100.9"/>
        <n v="1039.54"/>
        <n v="42.32"/>
        <n v="1545.33"/>
        <n v="2344.38"/>
        <n v="672.12"/>
        <n v="188.65"/>
        <n v="634.64"/>
        <n v="28.36"/>
        <n v="84.05"/>
        <n v="195.08"/>
        <n v="166.67"/>
        <n v="213.82"/>
        <n v="26.25"/>
        <n v="2731.89"/>
        <n v="296.5"/>
        <n v="12.08"/>
        <n v="488.6"/>
        <n v="213.11"/>
        <n v="6798.9"/>
        <n v="1334.28"/>
        <n v="228.21"/>
        <n v="1611.2"/>
        <n v="203.66"/>
        <n v="407.97"/>
        <n v="1587.1"/>
        <n v="817.2"/>
        <n v="1787.55"/>
        <n v="3788.91"/>
        <n v="239.31"/>
        <n v="669.15"/>
        <n v="1764.84"/>
        <n v="4253.6"/>
        <n v="58.96"/>
        <n v="135.48"/>
        <n v="3656.58"/>
        <n v="1017.49"/>
        <n v="393.32"/>
        <n v="179.5"/>
        <n v="2468.56"/>
        <n v="669.45"/>
        <n v="350.41"/>
        <n v="1677.88"/>
        <n v="1156.42"/>
        <n v="310"/>
        <n v="108.07"/>
        <n v="182.58"/>
        <n v="267.84"/>
        <n v="6233.56"/>
        <n v="328.1"/>
        <n v="428.01"/>
        <n v="510.81"/>
        <n v="489.63"/>
        <n v="120.16"/>
        <n v="170.61"/>
        <n v="1306.09"/>
        <n v="31.07"/>
        <n v="478.12"/>
        <n v="292.45"/>
        <n v="3014.6"/>
        <n v="1939.68"/>
        <n v="451.6"/>
        <n v="171.32"/>
        <n v="693.16"/>
        <n v="2061"/>
        <n v="327.94"/>
        <n v="2048.76"/>
        <n v="319.92"/>
        <n v="3900.58"/>
        <n v="458.55"/>
        <n v="317.67"/>
        <n v="191.25"/>
        <n v="3907.75"/>
        <n v="2301.77"/>
        <n v="250.13"/>
        <n v="274.63"/>
        <n v="273.84"/>
        <n v="447.36"/>
        <n v="537.04"/>
        <n v="232.75"/>
        <n v="136.98"/>
        <n v="103.07"/>
        <n v="217.54"/>
        <n v="1056.6"/>
        <n v="252.04"/>
        <n v="1908.22"/>
        <n v="2045.95"/>
        <n v="318.92"/>
        <n v="160.24"/>
        <n v="62.46"/>
        <n v="938.64"/>
        <n v="311.75"/>
        <n v="691.94"/>
        <n v="3180.78"/>
        <n v="726.45"/>
        <n v="216.95"/>
        <n v="520.18"/>
        <n v="1576.68"/>
        <n v="374.01"/>
        <n v="446.58"/>
        <n v="450.59"/>
        <n v="294.49"/>
        <n v="1380.88"/>
        <n v="2345.78"/>
        <n v="270.66"/>
        <n v="535.01"/>
        <n v="176.61"/>
        <n v="5102.45"/>
        <n v="973.35"/>
        <n v="1848.02"/>
        <n v="901.04"/>
        <n v="2674.19"/>
        <n v="62.45"/>
        <n v="1133.51"/>
        <n v="3675.94"/>
        <n v="646.65"/>
        <n v="1189.51"/>
        <n v="45.45"/>
        <n v="792.09"/>
        <n v="696.71"/>
        <n v="63.14"/>
        <n v="4388"/>
        <n v="431.44"/>
        <n v="3279.85"/>
        <n v="1592.27"/>
        <n v="1913.76"/>
        <n v="6021.81"/>
        <n v="307.03"/>
        <n v="344.61"/>
        <n v="3377.88"/>
        <n v="2616.03"/>
        <n v="301.92"/>
        <n v="839.34"/>
        <n v="7540.62"/>
        <n v="1508.54"/>
        <n v="132.05"/>
        <n v="781.7"/>
        <n v="4321.98"/>
        <n v="119.43"/>
        <n v="1602.4"/>
        <n v="318.28"/>
        <n v="1195.72"/>
        <n v="538.76"/>
        <n v="12.77"/>
        <n v="419.63"/>
        <n v="1446.16"/>
        <n v="567.76"/>
        <n v="327.72"/>
        <n v="6214.24"/>
        <n v="997.34"/>
        <n v="921.12"/>
        <n v="1411.94"/>
        <n v="3828.38"/>
        <n v="2140.09"/>
        <n v="771.98"/>
        <n v="1152.45"/>
        <n v="91.87"/>
        <n v="30.19"/>
        <n v="1984.64"/>
        <n v="2638.1"/>
        <n v="601.02"/>
        <n v="280.97"/>
        <n v="143.56"/>
        <n v="670.92"/>
        <n v="210.89"/>
        <n v="865.03"/>
        <n v="1431.65"/>
        <n v="251.89"/>
        <n v="30.76"/>
        <n v="708.6"/>
        <n v="244.36"/>
        <n v="674.16"/>
        <n v="497.68"/>
        <n v="472.65"/>
        <n v="97.58"/>
        <n v="2718.04"/>
        <n v="447.16"/>
        <n v="179.7"/>
        <n v="3362.49"/>
        <n v="3999.58"/>
        <n v="952.04"/>
        <n v="1757.28"/>
        <n v="661.1"/>
        <n v="3099.6"/>
        <n v="537.95"/>
        <n v="337.08"/>
        <n v="4400.35"/>
        <n v="2285.74"/>
        <n v="839.94"/>
        <n v="8254.91"/>
        <n v="617.87"/>
        <n v="938.43"/>
        <n v="549.09"/>
        <n v="671.64"/>
        <n v="2116.15"/>
        <n v="106.72"/>
        <n v="3056.54"/>
        <n v="1362.69"/>
        <n v="109.21"/>
        <n v="213.45"/>
        <n v="1012.86"/>
        <n v="16.11"/>
        <n v="2453.25"/>
        <n v="3567.22"/>
        <n v="164.63"/>
        <n v="1610.34"/>
        <n v="2589.03"/>
        <n v="146.01"/>
        <n v="816.33"/>
        <n v="888.37"/>
        <n v="518.44"/>
        <n v="409.28"/>
        <n v="1417.33"/>
        <n v="253.65"/>
        <n v="594.47"/>
        <n v="328.29"/>
        <n v="74.8"/>
        <n v="1953.5"/>
        <n v="771.67"/>
        <n v="192.54"/>
        <n v="1154.41"/>
        <n v="120.15"/>
        <n v="2292.16"/>
        <n v="4654.27"/>
        <n v="440.69"/>
        <n v="315.47"/>
        <n v="6398.08"/>
        <n v="487.7"/>
        <n v="1335.69"/>
        <n v="341.03"/>
        <n v="2399.92"/>
        <n v="7657.41"/>
        <n v="112.04"/>
        <n v="136.14"/>
        <n v="142.96"/>
        <n v="1040.66"/>
        <n v="358.45"/>
        <n v="173.94"/>
        <n v="504.14"/>
        <n v="323.68"/>
        <n v="4113.52"/>
        <n v="122.86"/>
        <n v="66.42"/>
        <n v="81.81"/>
        <n v="2508.42"/>
        <n v="60.4"/>
        <n v="75.84"/>
        <n v="2809.29"/>
        <n v="1235.01"/>
        <n v="194.33"/>
        <n v="34.25"/>
        <n v="544.02"/>
        <n v="620.92"/>
        <n v="1116.3"/>
        <n v="146.64"/>
        <n v="3178.08"/>
        <n v="409.52"/>
        <n v="75.55"/>
        <n v="661.26"/>
        <n v="46.84"/>
        <n v="8602.98"/>
        <n v="455.36"/>
        <n v="989.96"/>
        <n v="485.38"/>
        <n v="580.21"/>
        <n v="682.7"/>
        <n v="2433.35"/>
        <n v="76.63"/>
        <n v="4907.85"/>
        <n v="31.89"/>
        <n v="769.72"/>
        <n v="2467.69"/>
        <n v="190.45"/>
        <n v="1120.74"/>
        <n v="87.12"/>
        <n v="309.9"/>
        <n v="932.31"/>
        <n v="732.16"/>
        <n v="1949.98"/>
        <n v="499.61"/>
        <n v="5493.55"/>
        <n v="29.21"/>
        <n v="2910.06"/>
        <n v="2733.43"/>
        <n v="5066.68"/>
        <n v="124.42"/>
        <n v="4975.48"/>
        <n v="365.21"/>
        <n v="301.58"/>
        <n v="787.21"/>
        <n v="490.34"/>
        <n v="1020.5"/>
        <n v="215.73"/>
        <n v="3071.77"/>
        <n v="635.92"/>
        <n v="6687.89"/>
        <n v="83.46"/>
        <n v="3280.03"/>
        <n v="2384.25"/>
        <n v="5752.01"/>
        <n v="232.92"/>
        <n v="5381.96"/>
        <n v="237.58"/>
        <n v="262.37"/>
        <n v="20.81"/>
        <n v="1170.13"/>
        <n v="474.41"/>
        <n v="55"/>
        <n v="837.76"/>
        <n v="7328.8"/>
        <n v="76.52"/>
        <n v="186.48"/>
        <n v="141.2"/>
        <n v="189.34"/>
        <n v="530.14"/>
        <n v="433.66"/>
        <n v="765.09"/>
        <n v="988.56"/>
        <n v="459.72"/>
        <n v="522.62"/>
        <n v="331.37"/>
        <n v="4487.15"/>
        <n v="143.06"/>
        <n v="296.86"/>
        <n v="772.8"/>
        <n v="66.45"/>
        <n v="399.99"/>
        <n v="6223.77"/>
        <n v="357.24"/>
        <n v="2029.1"/>
        <n v="4422.18"/>
        <n v="206.49"/>
        <n v="635.68"/>
        <n v="870.05"/>
        <n v="268.62"/>
        <n v="659.87"/>
        <n v="61.33"/>
        <n v="223.83"/>
        <n v="4008.04"/>
        <n v="331.71"/>
        <n v="1365.88"/>
        <n v="1368.23"/>
        <n v="1498.57"/>
        <n v="58.03"/>
        <n v="4467.46"/>
        <n v="1862.7"/>
        <n v="1422.56"/>
        <n v="1933.9"/>
        <n v="8313.03"/>
        <n v="1340.82"/>
        <n v="180.81"/>
        <n v="730.8"/>
        <n v="182.82"/>
        <n v="69.46"/>
        <n v="355.8"/>
        <n v="1183.71"/>
        <n v="168.87"/>
        <n v="166.68"/>
        <n v="1801.78"/>
        <n v="268.64"/>
        <n v="453.58"/>
        <n v="898.63"/>
        <n v="355.42"/>
        <n v="315.28"/>
        <n v="101.88"/>
        <n v="261.21"/>
        <n v="136.75"/>
        <n v="321.29"/>
        <n v="314.05"/>
        <n v="34.34"/>
        <n v="784.18"/>
        <n v="588.09"/>
        <n v="23.87"/>
        <n v="223.35"/>
        <n v="183.24"/>
        <n v="2902.62"/>
        <n v="382.38"/>
        <n v="116.76"/>
        <n v="463.21"/>
        <n v="684"/>
        <n v="287.31"/>
        <n v="223.14"/>
        <n v="2252.56"/>
        <n v="537.28"/>
        <n v="132.73"/>
        <n v="722.88"/>
        <n v="68.75"/>
        <n v="6953.7"/>
        <n v="319.09"/>
        <n v="3866.21"/>
        <n v="6090.44"/>
        <n v="4641.75"/>
        <n v="886.86"/>
        <n v="497.72"/>
        <n v="229.68"/>
        <n v="467.19"/>
        <n v="252.34"/>
        <n v="681.03"/>
        <n v="830.92"/>
        <n v="1504.83"/>
        <n v="58.25"/>
        <n v="694.64"/>
        <n v="1134.24"/>
        <n v="478.45"/>
        <n v="119.21"/>
        <n v="512.54"/>
        <n v="435.52"/>
        <n v="987.95"/>
        <n v="740.04"/>
        <n v="565.43"/>
        <n v="1878.8"/>
        <n v="1284.83"/>
        <n v="987.75"/>
        <n v="219.47"/>
        <n v="6018.89"/>
        <n v="263.87"/>
        <n v="4626.28"/>
        <n v="463.29"/>
        <n v="408.92"/>
        <n v="293.63"/>
        <n v="998.55"/>
        <n v="681.32"/>
        <n v="2918.14"/>
        <n v="636.19"/>
        <n v="478.92"/>
        <n v="208.46"/>
        <n v="970.55"/>
        <n v="210.08"/>
        <n v="310.92"/>
        <n v="1978.04"/>
        <n v="554.08"/>
        <n v="98.88"/>
        <n v="386.76"/>
        <n v="3706.5"/>
        <n v="6244.24"/>
        <n v="2853.86"/>
        <n v="538.46"/>
        <n v="213.07"/>
        <n v="277.37"/>
        <n v="823.2"/>
        <n v="360.96"/>
        <n v="159"/>
        <n v="426.96"/>
        <n v="395.07"/>
        <n v="73.62"/>
        <n v="68.72"/>
        <n v="678.8"/>
        <n v="2245.76"/>
        <n v="1024"/>
        <n v="1166.24"/>
        <n v="183.41"/>
        <n v="573.12"/>
        <n v="175.93"/>
        <n v="7017.76"/>
        <n v="932.36"/>
        <n v="1275.96"/>
        <n v="2228.78"/>
        <n v="492.41"/>
        <n v="1873.87"/>
        <n v="1021.17"/>
        <n v="5954.88"/>
        <n v="27.35"/>
        <n v="274.74"/>
        <n v="1746.64"/>
        <n v="153.62"/>
        <n v="1981.38"/>
        <n v="557.72"/>
        <n v="3035.06"/>
        <n v="283.57"/>
        <n v="2328.23"/>
        <n v="186.5"/>
        <n v="1053.96"/>
        <n v="1292.44"/>
        <n v="1418.33"/>
        <n v="1624.84"/>
        <n v="35.42"/>
        <n v="1032.34"/>
        <n v="414.44"/>
        <n v="1442.56"/>
        <n v="1186.98"/>
        <n v="590.02"/>
        <n v="781.24"/>
        <n v="53.24"/>
        <n v="791.9"/>
        <n v="1014.49"/>
        <n v="3149.42"/>
        <n v="1103.53"/>
        <n v="327.37"/>
        <n v="208.63"/>
        <n v="955.46"/>
        <n v="360.94"/>
        <n v="1330.79"/>
        <n v="3731.26"/>
        <n v="810.21"/>
        <n v="142.32"/>
        <n v="1701.28"/>
        <n v="689"/>
        <n v="1167.97"/>
        <n v="213.46"/>
        <n v="201.15"/>
        <n v="2017.8"/>
        <n v="161.23"/>
        <n v="2476.92"/>
        <n v="443.99"/>
        <n v="1651.24"/>
        <n v="268.07"/>
        <n v="2502.18"/>
        <n v="2092.21"/>
        <n v="290.77"/>
        <n v="197.56"/>
        <n v="3330.07"/>
        <n v="103.5"/>
        <n v="250.95"/>
        <n v="344.92"/>
        <n v="1697.82"/>
        <n v="2222.96"/>
        <n v="2923.95"/>
        <n v="1296.62"/>
        <n v="326.95"/>
        <n v="113.58"/>
        <n v="244.44"/>
        <n v="391.41"/>
        <n v="1014.8"/>
        <n v="2665.93"/>
        <n v="382.16"/>
        <n v="1416.02"/>
        <n v="31.03"/>
        <n v="9341.06"/>
        <n v="2501.6"/>
        <n v="237.27"/>
        <n v="293.68"/>
        <n v="1353.12"/>
        <n v="449.24"/>
        <n v="2449.17"/>
        <n v="3010.93"/>
        <n v="450.6"/>
        <n v="16.13"/>
        <n v="862.77"/>
        <n v="1223.21"/>
        <n v="1608.89"/>
        <n v="220.66"/>
        <n v="3238.02"/>
        <n v="111.82"/>
        <n v="183.82"/>
        <n v="45.5"/>
        <n v="117.59"/>
        <n v="585.98"/>
        <n v="27.08"/>
        <n v="87.8"/>
        <n v="651.02"/>
        <n v="799.03"/>
        <n v="74.56"/>
        <n v="145.76"/>
        <n v="266.3"/>
        <n v="342.85"/>
        <n v="2755.48"/>
        <n v="571.34"/>
        <n v="275.37"/>
        <n v="25.54"/>
        <n v="337.8"/>
        <n v="81.04"/>
        <n v="88.26"/>
        <n v="802.2"/>
        <n v="293.09"/>
        <n v="819.15"/>
        <n v="214.04"/>
        <n v="197.82"/>
        <n v="3409.03"/>
        <n v="568.8"/>
        <n v="801.62"/>
        <n v="59.37"/>
        <n v="270.47"/>
        <n v="534.39"/>
        <n v="2163.06"/>
        <n v="269.14"/>
        <n v="389.13"/>
        <n v="441.58"/>
        <n v="1238.88"/>
        <n v="3926.55"/>
        <n v="4665.6"/>
        <n v="2150.46"/>
        <n v="134.59"/>
        <n v="292.16"/>
        <n v="4834.68"/>
        <n v="2482.43"/>
        <n v="252.05"/>
        <n v="2161.44"/>
        <n v="3721.34"/>
        <n v="315.99"/>
        <n v="196.5"/>
        <n v="171.23"/>
        <n v="1651.76"/>
        <n v="109.92"/>
        <n v="488.73"/>
        <n v="517.07"/>
        <n v="2392.46"/>
        <n v="175.7"/>
        <n v="281.64"/>
        <n v="117.75"/>
        <n v="31.8"/>
        <n v="31.75"/>
        <n v="2606.85"/>
        <n v="666.79"/>
        <n v="3207.56"/>
        <n v="46.67"/>
        <n v="106.84"/>
        <n v="2527.63"/>
        <n v="537.19"/>
        <n v="238.14"/>
        <n v="2068.95"/>
        <n v="2102.78"/>
        <n v="558.54"/>
        <n v="678.18"/>
        <n v="658.96"/>
        <n v="6106.18"/>
        <n v="3282.29"/>
        <n v="611.52"/>
        <n v="396.6"/>
        <n v="329.9"/>
        <n v="560.86"/>
        <n v="2367.56"/>
        <n v="264.72"/>
        <n v="2029.48"/>
        <n v="213.6"/>
        <n v="2771.92"/>
        <n v="442.89"/>
        <n v="1233.79"/>
        <n v="4778"/>
        <n v="128.88"/>
        <n v="139.94"/>
        <n v="403.44"/>
        <n v="580.2"/>
        <n v="468.07"/>
        <n v="297"/>
        <n v="385.92"/>
        <n v="1137.3"/>
        <n v="112.82"/>
        <n v="147.64"/>
        <n v="1247.67"/>
        <n v="99.69"/>
        <n v="257.78"/>
        <n v="641.76"/>
        <n v="1754.87"/>
        <n v="2672.94"/>
        <n v="29.31"/>
        <n v="77.15"/>
        <n v="2753.58"/>
        <n v="204.6"/>
        <n v="181.49"/>
        <n v="451.4"/>
        <n v="609.62"/>
        <n v="550.97"/>
        <n v="459.86"/>
        <n v="633.2"/>
        <n v="180.66"/>
        <n v="645.24"/>
        <n v="1343.2"/>
        <n v="188.43"/>
        <n v="7149.75"/>
        <n v="700.52"/>
        <n v="149.42"/>
        <n v="1064.38"/>
        <n v="330.73"/>
        <n v="338.23"/>
        <n v="81.7"/>
        <n v="1389.38"/>
        <n v="1103.33"/>
        <n v="456.68"/>
        <n v="157.44"/>
        <n v="230.01"/>
        <n v="4671.18"/>
        <n v="898.31"/>
        <n v="2462.52"/>
        <n v="294.6"/>
        <n v="1184.95"/>
        <n v="2998.58"/>
        <n v="221.62"/>
        <n v="194"/>
        <n v="321.93"/>
        <n v="179.95"/>
        <n v="117.25"/>
        <n v="164.02"/>
        <n v="5095.76"/>
        <n v="2695.71"/>
        <n v="3813.66"/>
        <n v="800.76"/>
        <n v="568.23"/>
        <n v="406.29"/>
        <n v="1223.53"/>
        <n v="497.85"/>
        <n v="949.27"/>
        <n v="137.7"/>
        <n v="137.28"/>
        <n v="1540.56"/>
        <n v="5677.02"/>
        <n v="1595.54"/>
        <n v="2368.67"/>
        <n v="208.47"/>
        <n v="69.26"/>
        <n v="1021.78"/>
        <n v="396.18"/>
        <n v="373.43"/>
        <n v="12.97"/>
        <n v="2424.25"/>
        <n v="678.28"/>
        <n v="21.28"/>
        <n v="4220.44"/>
        <n v="1764.36"/>
        <n v="168.84"/>
        <n v="76.77"/>
        <n v="347.89"/>
        <n v="3734.93"/>
        <n v="399.74"/>
        <n v="2302.57"/>
        <n v="265.35"/>
        <n v="4154.05"/>
        <n v="1065.39"/>
        <n v="236.1"/>
        <n v="465"/>
        <n v="605.45"/>
        <n v="174.23"/>
        <n v="3044.37"/>
        <n v="205.2"/>
        <n v="34.54"/>
        <n v="2638.03"/>
        <n v="150.89"/>
        <n v="1193.76"/>
        <n v="767.97"/>
        <n v="601.99"/>
        <n v="2092.61"/>
        <n v="385.68"/>
        <n v="66.21"/>
        <n v="805.47"/>
        <n v="2465.25"/>
        <n v="2015.71"/>
        <n v="8632.76"/>
        <n v="1308.05"/>
        <n v="2475.2"/>
        <n v="431.22"/>
        <n v="283.02"/>
        <n v="161.92"/>
        <n v="242.22"/>
        <n v="62.87"/>
        <n v="31.43"/>
        <n v="665.64"/>
        <n v="680.36"/>
        <n v="1118.24"/>
        <n v="5932.56"/>
        <n v="95.06"/>
        <n v="18.44"/>
        <n v="413.2"/>
        <n v="1218.35"/>
        <n v="3100.03"/>
        <n v="1403.03"/>
        <n v="307.63"/>
        <n v="496.51"/>
        <n v="413.21"/>
        <n v="816.32"/>
        <n v="154.39"/>
        <n v="354.7"/>
        <n v="137.14"/>
        <n v="1492.94"/>
        <n v="67.86"/>
        <n v="2125.91"/>
        <n v="799.31"/>
        <n v="411.25"/>
        <n v="97.35"/>
        <n v="2025.52"/>
        <n v="93.69"/>
        <n v="1934.5"/>
        <n v="1617.55"/>
        <n v="219.07"/>
        <n v="294.58"/>
        <n v="655.9"/>
        <n v="188.88"/>
        <n v="1930.34"/>
        <n v="129.69"/>
        <n v="60.38"/>
        <n v="230.08"/>
        <n v="957.26"/>
        <n v="295.36"/>
        <n v="2292.44"/>
        <n v="272.72"/>
        <n v="25.9"/>
        <n v="816.78"/>
        <n v="36.63"/>
        <n v="41.22"/>
        <n v="1741.02"/>
        <n v="545.6"/>
        <n v="31.83"/>
        <n v="916.98"/>
        <n v="493.27"/>
        <n v="599.62"/>
        <n v="685.08"/>
        <n v="598.84"/>
        <n v="1267.52"/>
        <n v="267.92"/>
        <n v="20.75"/>
      </sharedItems>
    </cacheField>
    <cacheField name="Cost" numFmtId="0">
      <sharedItems containsSemiMixedTypes="0" containsString="0" containsNumber="1" minValue="7.53" maxValue="6723.31" count="998">
        <n v="109.86"/>
        <n v="622.32"/>
        <n v="167.3"/>
        <n v="337.29"/>
        <n v="171.4"/>
        <n v="2050.6"/>
        <n v="262.94"/>
        <n v="123.26"/>
        <n v="35.46"/>
        <n v="645.54"/>
        <n v="64.5"/>
        <n v="46.97"/>
        <n v="1837.57"/>
        <n v="279.92"/>
        <n v="43.1"/>
        <n v="2452.16"/>
        <n v="171.59"/>
        <n v="870.01"/>
        <n v="1878.37"/>
        <n v="724.75"/>
        <n v="1841.13"/>
        <n v="906.2"/>
        <n v="198.61"/>
        <n v="1021.16"/>
        <n v="1496.33"/>
        <n v="63.83"/>
        <n v="36.23"/>
        <n v="324.86"/>
        <n v="113.34"/>
        <n v="78.5"/>
        <n v="61.71"/>
        <n v="639.41"/>
        <n v="446.79"/>
        <n v="813.17"/>
        <n v="94.08"/>
        <n v="42.26"/>
        <n v="130.34"/>
        <n v="452.63"/>
        <n v="441.89"/>
        <n v="609.42"/>
        <n v="320.66"/>
        <n v="215.62"/>
        <n v="447.39"/>
        <n v="302.27"/>
        <n v="1872.98"/>
        <n v="1945.2"/>
        <n v="2669.1"/>
        <n v="229.75"/>
        <n v="2170.54"/>
        <n v="20.45"/>
        <n v="100.53"/>
        <n v="315.56"/>
        <n v="249.7"/>
        <n v="1308.6"/>
        <n v="131.48"/>
        <n v="892.58"/>
        <n v="67.55"/>
        <n v="189.02"/>
        <n v="103.66"/>
        <n v="718.05"/>
        <n v="593.15"/>
        <n v="120.77"/>
        <n v="37.12"/>
        <n v="1517.24"/>
        <n v="2072.72"/>
        <n v="91.51"/>
        <n v="74.76"/>
        <n v="829.63"/>
        <n v="72.69"/>
        <n v="60.37"/>
        <n v="4539.07"/>
        <n v="89.49"/>
        <n v="112.29"/>
        <n v="3117.21"/>
        <n v="955.43"/>
        <n v="564.22"/>
        <n v="1257.22"/>
        <n v="183.44"/>
        <n v="220.83"/>
        <n v="101.07"/>
        <n v="39.1"/>
        <n v="3547.48"/>
        <n v="671.22"/>
        <n v="359.67"/>
        <n v="3002.7"/>
        <n v="2139.43"/>
        <n v="320.93"/>
        <n v="281.16"/>
        <n v="121.03"/>
        <n v="8.8"/>
        <n v="254.95"/>
        <n v="745.33"/>
        <n v="95.77"/>
        <n v="128.55"/>
        <n v="1169.86"/>
        <n v="40.13"/>
        <n v="229.16"/>
        <n v="672.85"/>
        <n v="2428.45"/>
        <n v="3501.48"/>
        <n v="117.82"/>
        <n v="2343.18"/>
        <n v="415.6"/>
        <n v="291.41"/>
        <n v="646"/>
        <n v="401.53"/>
        <n v="262.25"/>
        <n v="131.65"/>
        <n v="58.25"/>
        <n v="85.54"/>
        <n v="3423.1"/>
        <n v="92.04"/>
        <n v="984.6"/>
        <n v="113.71"/>
        <n v="1877.65"/>
        <n v="427.1"/>
        <n v="1633.99"/>
        <n v="34.98"/>
        <n v="2375.96"/>
        <n v="1643.52"/>
        <n v="823.98"/>
        <n v="583.15"/>
        <n v="256.86"/>
        <n v="144.49"/>
        <n v="102.49"/>
        <n v="400.13"/>
        <n v="378.64"/>
        <n v="194.22"/>
        <n v="582.11"/>
        <n v="292.34"/>
        <n v="156.57"/>
        <n v="2355.6"/>
        <n v="109.12"/>
        <n v="1375.97"/>
        <n v="66.31"/>
        <n v="88.64"/>
        <n v="98.61"/>
        <n v="510.42"/>
        <n v="2153.72"/>
        <n v="1100.44"/>
        <n v="1835.79"/>
        <n v="269.97"/>
        <n v="271.92"/>
        <n v="602.64"/>
        <n v="376.08"/>
        <n v="342.28"/>
        <n v="210.66"/>
        <n v="157.68"/>
        <n v="2286.44"/>
        <n v="194.84"/>
        <n v="2119.51"/>
        <n v="3607.71"/>
        <n v="664.52"/>
        <n v="213.84"/>
        <n v="326.53"/>
        <n v="57.95"/>
        <n v="267.63"/>
        <n v="936.32"/>
        <n v="1289.61"/>
        <n v="69.66"/>
        <n v="170.46"/>
        <n v="1169.8"/>
        <n v="477.86"/>
        <n v="3555.5"/>
        <n v="144.51"/>
        <n v="1044.61"/>
        <n v="180.4"/>
        <n v="34.43"/>
        <n v="1068.51"/>
        <n v="152.77"/>
        <n v="3840.7"/>
        <n v="2069.99"/>
        <n v="130.8"/>
        <n v="120.28"/>
        <n v="31.33"/>
        <n v="1792.09"/>
        <n v="28.39"/>
        <n v="3304.3"/>
        <n v="264.71"/>
        <n v="1481.09"/>
        <n v="1657.57"/>
        <n v="24.44"/>
        <n v="1935.15"/>
        <n v="2192.75"/>
        <n v="1903.07"/>
        <n v="471.78"/>
        <n v="581.91"/>
        <n v="1577.56"/>
        <n v="138.52"/>
        <n v="260.5"/>
        <n v="1745.54"/>
        <n v="591.88"/>
        <n v="253.48"/>
        <n v="2215.73"/>
        <n v="108.97"/>
        <n v="180.19"/>
        <n v="297.64"/>
        <n v="3082.77"/>
        <n v="364.82"/>
        <n v="83.44"/>
        <n v="786.71"/>
        <n v="24.89"/>
        <n v="1015.31"/>
        <n v="1706.11"/>
        <n v="538.15"/>
        <n v="106.23"/>
        <n v="394.11"/>
        <n v="23.17"/>
        <n v="46.46"/>
        <n v="119.08"/>
        <n v="139.62"/>
        <n v="156.95"/>
        <n v="16.5"/>
        <n v="1557.44"/>
        <n v="165.58"/>
        <n v="7.53"/>
        <n v="397.94"/>
        <n v="143.8"/>
        <n v="5208.64"/>
        <n v="1101.43"/>
        <n v="153.45"/>
        <n v="978.62"/>
        <n v="143.61"/>
        <n v="335.52"/>
        <n v="1255.89"/>
        <n v="465.6"/>
        <n v="1354.56"/>
        <n v="2733.96"/>
        <n v="196.77"/>
        <n v="392.62"/>
        <n v="1253.41"/>
        <n v="3461.74"/>
        <n v="39.68"/>
        <n v="94.1"/>
        <n v="2088.41"/>
        <n v="644.52"/>
        <n v="254.62"/>
        <n v="149.62"/>
        <n v="1567.04"/>
        <n v="460.76"/>
        <n v="263.3"/>
        <n v="1004.47"/>
        <n v="804.79"/>
        <n v="239.18"/>
        <n v="87.54"/>
        <n v="134.72"/>
        <n v="201.07"/>
        <n v="3664.62"/>
        <n v="273.55"/>
        <n v="252.43"/>
        <n v="399.66"/>
        <n v="308.2"/>
        <n v="99.74"/>
        <n v="130.69"/>
        <n v="1013.71"/>
        <n v="19.13"/>
        <n v="326.51"/>
        <n v="215.05"/>
        <n v="2354.38"/>
        <n v="1127.32"/>
        <n v="378.76"/>
        <n v="139.98"/>
        <n v="437.46"/>
        <n v="1642.26"/>
        <n v="231.36"/>
        <n v="1410.66"/>
        <n v="206.13"/>
        <n v="2825.15"/>
        <n v="352.61"/>
        <n v="213.88"/>
        <n v="141.29"/>
        <n v="2969.08"/>
        <n v="1757.03"/>
        <n v="141.47"/>
        <n v="221.88"/>
        <n v="188.26"/>
        <n v="281.27"/>
        <n v="334.32"/>
        <n v="161.74"/>
        <n v="111.78"/>
        <n v="68.39"/>
        <n v="168.58"/>
        <n v="611.82"/>
        <n v="174.62"/>
        <n v="1617.23"/>
        <n v="1598.16"/>
        <n v="195.55"/>
        <n v="112.24"/>
        <n v="38.73"/>
        <n v="631.58"/>
        <n v="244.42"/>
        <n v="540.66"/>
        <n v="1967.09"/>
        <n v="600.53"/>
        <n v="157.89"/>
        <n v="345.39"/>
        <n v="1104.59"/>
        <n v="273.6"/>
        <n v="320.63"/>
        <n v="313.58"/>
        <n v="206.58"/>
        <n v="832.57"/>
        <n v="1862.13"/>
        <n v="192.85"/>
        <n v="315.29"/>
        <n v="137.73"/>
        <n v="4233.67"/>
        <n v="811.96"/>
        <n v="1221"/>
        <n v="532.2"/>
        <n v="1886.69"/>
        <n v="36.46"/>
        <n v="941.04"/>
        <n v="2224.22"/>
        <n v="404.69"/>
        <n v="799.34"/>
        <n v="30.22"/>
        <n v="624.48"/>
        <n v="478.57"/>
        <n v="37.96"/>
        <n v="2765.16"/>
        <n v="303.19"/>
        <n v="1949.01"/>
        <n v="1167.92"/>
        <n v="1377.38"/>
        <n v="4603.14"/>
        <n v="255.24"/>
        <n v="283.85"/>
        <n v="2816.55"/>
        <n v="1630.87"/>
        <n v="177.97"/>
        <n v="537.75"/>
        <n v="6172.19"/>
        <n v="1269.61"/>
        <n v="106.67"/>
        <n v="455.74"/>
        <n v="3605.52"/>
        <n v="80.85"/>
        <n v="885.8"/>
        <n v="217.3"/>
        <n v="674.17"/>
        <n v="384.22"/>
        <n v="8.32"/>
        <n v="290.4"/>
        <n v="1061.41"/>
        <n v="460.25"/>
        <n v="245.32"/>
        <n v="4227.02"/>
        <n v="793.71"/>
        <n v="756.86"/>
        <n v="827.3"/>
        <n v="2716.54"/>
        <n v="1359.71"/>
        <n v="435.49"/>
        <n v="864.99"/>
        <n v="74.31"/>
        <n v="18.08"/>
        <n v="1575.26"/>
        <n v="2126.36"/>
        <n v="495.42"/>
        <n v="176.89"/>
        <n v="117.89"/>
        <n v="433.55"/>
        <n v="150.93"/>
        <n v="488.87"/>
        <n v="806.25"/>
        <n v="192.98"/>
        <n v="21.02"/>
        <n v="444.21"/>
        <n v="148.36"/>
        <n v="506.28"/>
        <n v="273.78"/>
        <n v="374.23"/>
        <n v="55.99"/>
        <n v="1651.06"/>
        <n v="297.75"/>
        <n v="124.97"/>
        <n v="2207.47"/>
        <n v="2584.58"/>
        <n v="798.93"/>
        <n v="1304.73"/>
        <n v="368.25"/>
        <n v="2104.79"/>
        <n v="437.09"/>
        <n v="215.88"/>
        <n v="2545.02"/>
        <n v="1777.2"/>
        <n v="614.67"/>
        <n v="5952.56"/>
        <n v="349.76"/>
        <n v="555.69"/>
        <n v="404.55"/>
        <n v="411.28"/>
        <n v="1483.89"/>
        <n v="76.14"/>
        <n v="1941.06"/>
        <n v="1137.2"/>
        <n v="87.67"/>
        <n v="163.65"/>
        <n v="580.77"/>
        <n v="9.37"/>
        <n v="1711.96"/>
        <n v="2133.96"/>
        <n v="164.55"/>
        <n v="98.38"/>
        <n v="1121.18"/>
        <n v="1706.78"/>
        <n v="108.31"/>
        <n v="480.58"/>
        <n v="603.29"/>
        <n v="327.87"/>
        <n v="334.11"/>
        <n v="796.79"/>
        <n v="209.04"/>
        <n v="475.52"/>
        <n v="209.87"/>
        <n v="58.85"/>
        <n v="1092.72"/>
        <n v="648.25"/>
        <n v="136.31"/>
        <n v="739.96"/>
        <n v="79.15"/>
        <n v="1306.35"/>
        <n v="3941.26"/>
        <n v="247.57"/>
        <n v="235.49"/>
        <n v="4368.74"/>
        <n v="407.07"/>
        <n v="833.2"/>
        <n v="242"/>
        <n v="1667.24"/>
        <n v="5826.22"/>
        <n v="63.91"/>
        <n v="82.79"/>
        <n v="87.83"/>
        <n v="802.81"/>
        <n v="217.49"/>
        <n v="125.59"/>
        <n v="309.83"/>
        <n v="261.69"/>
        <n v="3425.15"/>
        <n v="86.68"/>
        <n v="43.55"/>
        <n v="50.74"/>
        <n v="1417.09"/>
        <n v="38.09"/>
        <n v="56.6"/>
        <n v="1994.83"/>
        <n v="1029.03"/>
        <n v="129.98"/>
        <n v="25.97"/>
        <n v="379.07"/>
        <n v="436.99"/>
        <n v="703.64"/>
        <n v="100.67"/>
        <n v="2196.8"/>
        <n v="312.05"/>
        <n v="62.87"/>
        <n v="429.02"/>
        <n v="26.36"/>
        <n v="6012.52"/>
        <n v="324.83"/>
        <n v="594.5"/>
        <n v="377.69"/>
        <n v="490.56"/>
        <n v="569.19"/>
        <n v="1482.23"/>
        <n v="62.27"/>
        <n v="3736.58"/>
        <n v="21.88"/>
        <n v="548.18"/>
        <n v="1986.19"/>
        <n v="132.18"/>
        <n v="741.89"/>
        <n v="60.81"/>
        <n v="224.29"/>
        <n v="565.65"/>
        <n v="600.57"/>
        <n v="1466.88"/>
        <n v="369.7"/>
        <n v="3185.43"/>
        <n v="21.36"/>
        <n v="1706.13"/>
        <n v="1567.92"/>
        <n v="3588.19"/>
        <n v="83.47"/>
        <n v="3615.4"/>
        <n v="210.64"/>
        <n v="204.86"/>
        <n v="474.24"/>
        <n v="414.89"/>
        <n v="733.07"/>
        <n v="163.14"/>
        <n v="1989.36"/>
        <n v="367.83"/>
        <n v="5636.29"/>
        <n v="53.07"/>
        <n v="2221.05"/>
        <n v="1776.17"/>
        <n v="3206.22"/>
        <n v="184.72"/>
        <n v="3826.43"/>
        <n v="150.5"/>
        <n v="149.15"/>
        <n v="12.46"/>
        <n v="957.76"/>
        <n v="358.56"/>
        <n v="34.37"/>
        <n v="477.26"/>
        <n v="5549.25"/>
        <n v="55.23"/>
        <n v="125.19"/>
        <n v="93.06"/>
        <n v="116.45"/>
        <n v="398.07"/>
        <n v="364.79"/>
        <n v="461.13"/>
        <n v="720.79"/>
        <n v="311.35"/>
        <n v="357.48"/>
        <n v="207.52"/>
        <n v="3578.68"/>
        <n v="99.51"/>
        <n v="211.67"/>
        <n v="495.7"/>
        <n v="40.17"/>
        <n v="230.3"/>
        <n v="4756.43"/>
        <n v="217.51"/>
        <n v="1536.07"/>
        <n v="2950.09"/>
        <n v="139.33"/>
        <n v="439.1"/>
        <n v="574.5"/>
        <n v="155.85"/>
        <n v="424.22"/>
        <n v="45.94"/>
        <n v="167.81"/>
        <n v="2548.58"/>
        <n v="228.23"/>
        <n v="830.5"/>
        <n v="838.88"/>
        <n v="834.57"/>
        <n v="47.53"/>
        <n v="2739.5"/>
        <n v="1151.63"/>
        <n v="901.73"/>
        <n v="1137.56"/>
        <n v="6166.43"/>
        <n v="767.68"/>
        <n v="106.73"/>
        <n v="543.3"/>
        <n v="119.18"/>
        <n v="52.96"/>
        <n v="255.19"/>
        <n v="741.96"/>
        <n v="125.85"/>
        <n v="97.49"/>
        <n v="1280.93"/>
        <n v="182.98"/>
        <n v="285.92"/>
        <n v="657.08"/>
        <n v="288.39"/>
        <n v="267.88"/>
        <n v="74.61"/>
        <n v="175.38"/>
        <n v="84.45"/>
        <n v="201.49"/>
        <n v="217.9"/>
        <n v="22.67"/>
        <n v="646.28"/>
        <n v="388.43"/>
        <n v="15.8"/>
        <n v="148.54"/>
        <n v="146.77"/>
        <n v="2163.14"/>
        <n v="280.76"/>
        <n v="75.92"/>
        <n v="368.42"/>
        <n v="384.07"/>
        <n v="233.08"/>
        <n v="157.05"/>
        <n v="1508.03"/>
        <n v="375.64"/>
        <n v="99.58"/>
        <n v="400.35"/>
        <n v="55.79"/>
        <n v="4756.48"/>
        <n v="208.33"/>
        <n v="2286.76"/>
        <n v="4152.7"/>
        <n v="3244.1"/>
        <n v="595.17"/>
        <n v="375.08"/>
        <n v="155.33"/>
        <n v="391.7"/>
        <n v="184.15"/>
        <n v="539.54"/>
        <n v="484.27"/>
        <n v="1007.01"/>
        <n v="37.92"/>
        <n v="500.73"/>
        <n v="916.84"/>
        <n v="274.39"/>
        <n v="68.16"/>
        <n v="412.64"/>
        <n v="267.35"/>
        <n v="741.58"/>
        <n v="527.55"/>
        <n v="452.27"/>
        <n v="1103.85"/>
        <n v="756.68"/>
        <n v="708.26"/>
        <n v="183.02"/>
        <n v="4059.74"/>
        <n v="171.01"/>
        <n v="85.47"/>
        <n v="3835.81"/>
        <n v="371.13"/>
        <n v="347.03"/>
        <n v="163.48"/>
        <n v="583.01"/>
        <n v="499.3"/>
        <n v="284.42"/>
        <n v="1854.69"/>
        <n v="395.56"/>
        <n v="376.48"/>
        <n v="118.18"/>
        <n v="641.35"/>
        <n v="147.42"/>
        <n v="223.27"/>
        <n v="1520.29"/>
        <n v="363.73"/>
        <n v="72.56"/>
        <n v="280.64"/>
        <n v="2647.5"/>
        <n v="4634.13"/>
        <n v="1791.75"/>
        <n v="124.81"/>
        <n v="171.24"/>
        <n v="576.29"/>
        <n v="289.54"/>
        <n v="120.9"/>
        <n v="335.89"/>
        <n v="258.89"/>
        <n v="49.43"/>
        <n v="45.91"/>
        <n v="412.41"/>
        <n v="1276.41"/>
        <n v="744.73"/>
        <n v="987.53"/>
        <n v="110.05"/>
        <n v="323.24"/>
        <n v="137.9"/>
        <n v="4391.54"/>
        <n v="744.86"/>
        <n v="971.24"/>
        <n v="1858.14"/>
        <n v="331.23"/>
        <n v="1402.76"/>
        <n v="704.05"/>
        <n v="4401.71"/>
        <n v="18.73"/>
        <n v="166.65"/>
        <n v="1226.79"/>
        <n v="108.85"/>
        <n v="1571.59"/>
        <n v="429.81"/>
        <n v="2273.68"/>
        <n v="165.61"/>
        <n v="1783.85"/>
        <n v="130.57"/>
        <n v="862.38"/>
        <n v="1067.51"/>
        <n v="803.55"/>
        <n v="1293.69"/>
        <n v="19.88"/>
        <n v="681.5"/>
        <n v="295.37"/>
        <n v="857.5"/>
        <n v="918.6"/>
        <n v="325.99"/>
        <n v="469.2"/>
        <n v="38.56"/>
        <n v="605.26"/>
        <n v="836.95"/>
        <n v="2398.75"/>
        <n v="829.34"/>
        <n v="218.78"/>
        <n v="114.83"/>
        <n v="559.95"/>
        <n v="256.4"/>
        <n v="1001.47"/>
        <n v="2519.48"/>
        <n v="623.22"/>
        <n v="100.56"/>
        <n v="973.56"/>
        <n v="418.64"/>
        <n v="936.71"/>
        <n v="163.82"/>
        <n v="164.63"/>
        <n v="1180.95"/>
        <n v="136.57"/>
        <n v="1517.91"/>
        <n v="245.76"/>
        <n v="1402.28"/>
        <n v="170.04"/>
        <n v="1261.61"/>
        <n v="210.54"/>
        <n v="162.24"/>
        <n v="2151.41"/>
        <n v="77.74"/>
        <n v="152.17"/>
        <n v="254.36"/>
        <n v="1105.17"/>
        <n v="1363.48"/>
        <n v="1882.89"/>
        <n v="782.71"/>
        <n v="268.29"/>
        <n v="76"/>
        <n v="152.43"/>
        <n v="267.93"/>
        <n v="655.72"/>
        <n v="2061.63"/>
        <n v="321.54"/>
        <n v="964.89"/>
        <n v="25.08"/>
        <n v="6723.31"/>
        <n v="1493.88"/>
        <n v="179.66"/>
        <n v="206.76"/>
        <n v="1008.32"/>
        <n v="366.99"/>
        <n v="1670.65"/>
        <n v="2470.03"/>
        <n v="349.31"/>
        <n v="11.24"/>
        <n v="630.66"/>
        <n v="792.24"/>
        <n v="1359.64"/>
        <n v="165.54"/>
        <n v="1823.5"/>
        <n v="72.46"/>
        <n v="135.47"/>
        <n v="25.79"/>
        <n v="65.52"/>
        <n v="401.4"/>
        <n v="17.6"/>
        <n v="59.83"/>
        <n v="409.37"/>
        <n v="478.95"/>
        <n v="56.42"/>
        <n v="102.67"/>
        <n v="162.46"/>
        <n v="221.44"/>
        <n v="2004.73"/>
        <n v="326.62"/>
        <n v="163.63"/>
        <n v="14.61"/>
        <n v="268.11"/>
        <n v="62.86"/>
        <n v="68.49"/>
        <n v="613.6"/>
        <n v="220.06"/>
        <n v="567.75"/>
        <n v="158.96"/>
        <n v="111.08"/>
        <n v="2510.54"/>
        <n v="445.58"/>
        <n v="561.22"/>
        <n v="39.02"/>
        <n v="171.27"/>
        <n v="396.97"/>
        <n v="1639.25"/>
        <n v="218.35"/>
        <n v="253.99"/>
        <n v="344.84"/>
        <n v="890.02"/>
        <n v="3199.55"/>
        <n v="3304.85"/>
        <n v="1516.7"/>
        <n v="97.36"/>
        <n v="226.36"/>
        <n v="4058.26"/>
        <n v="1420.12"/>
        <n v="142.67"/>
        <n v="1796.73"/>
        <n v="2638.29"/>
        <n v="232.09"/>
        <n v="136.51"/>
        <n v="98.99"/>
        <n v="1289.08"/>
        <n v="85.1"/>
        <n v="314.5"/>
        <n v="331.89"/>
        <n v="1917.2"/>
        <n v="100.45"/>
        <n v="229.35"/>
        <n v="73.83"/>
        <n v="23.15"/>
        <n v="26.38"/>
        <n v="1964.1"/>
        <n v="449.64"/>
        <n v="2427.67"/>
        <n v="30.48"/>
        <n v="67.65"/>
        <n v="2145.97"/>
        <n v="416.45"/>
        <n v="177.04"/>
        <n v="1358.45"/>
        <n v="1187.54"/>
        <n v="312.4"/>
        <n v="485.75"/>
        <n v="513.07"/>
        <n v="4342.8"/>
        <n v="2633.17"/>
        <n v="342.47"/>
        <n v="261.77"/>
        <n v="204.91"/>
        <n v="383.73"/>
        <n v="1353.56"/>
        <n v="221.37"/>
        <n v="1252.14"/>
        <n v="176.58"/>
        <n v="1878.72"/>
        <n v="374.53"/>
        <n v="883.66"/>
        <n v="3962.16"/>
        <n v="71.09"/>
        <n v="108.38"/>
        <n v="331.19"/>
        <n v="343.43"/>
        <n v="270.94"/>
        <n v="201.18"/>
        <n v="320.35"/>
        <n v="810.57"/>
        <n v="79.9"/>
        <n v="87.45"/>
        <n v="686.51"/>
        <n v="79.06"/>
        <n v="148.55"/>
        <n v="475"/>
        <n v="1446.69"/>
        <n v="1637.43"/>
        <n v="21.97"/>
        <n v="44.25"/>
        <n v="2013.22"/>
        <n v="122.59"/>
        <n v="139.89"/>
        <n v="289.06"/>
        <n v="420.04"/>
        <n v="402.11"/>
        <n v="276.55"/>
        <n v="489.14"/>
        <n v="115.77"/>
        <n v="483.1"/>
        <n v="802.54"/>
        <n v="142.54"/>
        <n v="4207.32"/>
        <n v="474.68"/>
        <n v="93.26"/>
        <n v="824.38"/>
        <n v="207.9"/>
        <n v="275.49"/>
        <n v="66.79"/>
        <n v="846.04"/>
        <n v="810.01"/>
        <n v="263.19"/>
        <n v="105.09"/>
        <n v="175.73"/>
        <n v="3493.23"/>
        <n v="662.42"/>
        <n v="1563.11"/>
        <n v="195.44"/>
        <n v="688.32"/>
        <n v="2296.03"/>
        <n v="155.39"/>
        <n v="147.95"/>
        <n v="201.1"/>
        <n v="116.49"/>
        <n v="76.24"/>
        <n v="91.48"/>
        <n v="3324.04"/>
        <n v="2132.28"/>
        <n v="3124.11"/>
        <n v="564.91"/>
        <n v="390.18"/>
        <n v="227.22"/>
        <n v="995.66"/>
        <n v="275.76"/>
        <n v="791.15"/>
        <n v="95.94"/>
        <n v="89.59"/>
        <n v="1274.45"/>
        <n v="3163.9"/>
        <n v="1155.85"/>
        <n v="1692.84"/>
        <n v="128.38"/>
        <n v="47"/>
        <n v="761.92"/>
        <n v="304.32"/>
        <n v="205.47"/>
        <n v="10.78"/>
        <n v="1452.99"/>
        <n v="420.58"/>
        <n v="13.39"/>
        <n v="2369.13"/>
        <n v="1035.53"/>
        <n v="142.82"/>
        <n v="49.48"/>
        <n v="203.37"/>
        <n v="2174.09"/>
        <n v="306.14"/>
        <n v="1856.72"/>
        <n v="166.4"/>
        <n v="2310.79"/>
        <n v="657.27"/>
        <n v="133.86"/>
        <n v="270.17"/>
        <n v="411.37"/>
        <n v="107.84"/>
        <n v="2145.62"/>
        <n v="128.47"/>
        <n v="28.74"/>
        <n v="2167.89"/>
        <n v="108.65"/>
        <n v="783.5"/>
        <n v="510.2"/>
        <n v="405.47"/>
        <n v="1607.7"/>
        <n v="264.38"/>
        <n v="53.43"/>
        <n v="671.14"/>
        <n v="1604.34"/>
        <n v="1447.7"/>
        <n v="4994.2"/>
        <n v="798.09"/>
        <n v="1668.38"/>
        <n v="263.85"/>
        <n v="230.09"/>
        <n v="96.74"/>
        <n v="166.33"/>
        <n v="46"/>
        <n v="23.81"/>
        <n v="442.6"/>
        <n v="551.59"/>
        <n v="805.69"/>
        <n v="4045.13"/>
        <n v="54.2"/>
        <n v="12.71"/>
        <n v="329"/>
        <n v="894.71"/>
        <n v="2478.94"/>
        <n v="979.6"/>
        <n v="180.13"/>
        <n v="275.11"/>
        <n v="264.85"/>
        <n v="619.91"/>
        <n v="121.52"/>
        <n v="226.56"/>
        <n v="95.82"/>
        <n v="1009.73"/>
        <n v="45.68"/>
        <n v="1316.8"/>
        <n v="472.32"/>
        <n v="250.45"/>
        <n v="55.16"/>
        <n v="1234.43"/>
        <n v="51.79"/>
        <n v="1428"/>
        <n v="1043.18"/>
        <n v="184.44"/>
        <n v="179.14"/>
        <n v="428.79"/>
        <n v="124.16"/>
        <n v="1066.58"/>
        <n v="103.98"/>
        <n v="33.79"/>
        <n v="191.44"/>
        <n v="782.68"/>
        <n v="209.9"/>
        <n v="1634.69"/>
        <n v="203.49"/>
        <n v="17.25"/>
        <n v="607.82"/>
        <n v="20.64"/>
        <n v="23.34"/>
        <n v="1196.38"/>
        <n v="390.04"/>
        <n v="25.98"/>
        <n v="533.13"/>
        <n v="393.03"/>
        <n v="367.58"/>
        <n v="457.79"/>
        <n v="386.24"/>
        <n v="849.3"/>
        <n v="159.45"/>
        <n v="14.55"/>
      </sharedItems>
    </cacheField>
    <cacheField name="Profit" numFmtId="0">
      <sharedItems containsSemiMixedTypes="0" containsString="0" containsNumber="1" minValue="2.19" maxValue="3638.56" count="994">
        <n v="22.66"/>
        <n v="313.4"/>
        <n v="72.55"/>
        <n v="74.61"/>
        <n v="45.01"/>
        <n v="1670.34"/>
        <n v="144.07"/>
        <n v="58.94"/>
        <n v="21.83"/>
        <n v="412.95"/>
        <n v="50.4"/>
        <n v="16.24"/>
        <n v="1085"/>
        <n v="214.9"/>
        <n v="26.5"/>
        <n v="649.58"/>
        <n v="41.45"/>
        <n v="381.95"/>
        <n v="905.14"/>
        <n v="134.61"/>
        <n v="1176.28"/>
        <n v="568.24"/>
        <n v="112.9"/>
        <n v="675.6"/>
        <n v="757.82"/>
        <n v="13.71"/>
        <n v="13.09"/>
        <n v="157.42"/>
        <n v="23.16"/>
        <n v="60.55"/>
        <n v="38.95"/>
        <n v="248.95"/>
        <n v="161.37"/>
        <n v="634.1"/>
        <n v="46.14"/>
        <n v="14.48"/>
        <n v="41.29"/>
        <n v="157.84"/>
        <n v="241.97"/>
        <n v="444.84"/>
        <n v="152.2"/>
        <n v="150.69"/>
        <n v="88.87"/>
        <n v="134.19"/>
        <n v="1030.06"/>
        <n v="549"/>
        <n v="1147.25"/>
        <n v="127.56"/>
        <n v="564.55"/>
        <n v="4.79"/>
        <n v="33.17"/>
        <n v="243.86"/>
        <n v="97.15"/>
        <n v="371.27"/>
        <n v="91.01"/>
        <n v="550.32"/>
        <n v="15.36"/>
        <n v="150.92"/>
        <n v="29.96"/>
        <n v="319.4"/>
        <n v="273.99"/>
        <n v="97.97"/>
        <n v="9.53"/>
        <n v="788.78"/>
        <n v="837.47"/>
        <n v="29.98"/>
        <n v="23.51"/>
        <n v="161.81"/>
        <n v="29.77"/>
        <n v="29.75"/>
        <n v="889.72"/>
        <n v="31.02"/>
        <n v="63.32"/>
        <n v="2184.72"/>
        <n v="234.74"/>
        <n v="292.41"/>
        <n v="423.24"/>
        <n v="81.93"/>
        <n v="141.37"/>
        <n v="37.28"/>
        <n v="29.72"/>
        <n v="1715.82"/>
        <n v="268.88"/>
        <n v="168.62"/>
        <n v="873.75"/>
        <n v="540.29"/>
        <n v="89.79"/>
        <n v="219.45"/>
        <n v="77.96"/>
        <n v="3.58"/>
        <n v="52.05"/>
        <n v="185.76"/>
        <n v="23.53"/>
        <n v="72"/>
        <n v="553.47"/>
        <n v="17.93"/>
        <n v="154.56"/>
        <n v="530.12"/>
        <n v="483.11"/>
        <n v="2125.97"/>
        <n v="71.61"/>
        <n v="1731.82"/>
        <n v="86"/>
        <n v="111.14"/>
        <n v="215.21"/>
        <n v="86.08"/>
        <n v="138.93"/>
        <n v="47.11"/>
        <n v="45.47"/>
        <n v="55.6"/>
        <n v="859.13"/>
        <n v="25.95"/>
        <n v="518.16"/>
        <n v="57.79"/>
        <n v="766.68"/>
        <n v="349.34"/>
        <n v="991.42"/>
        <n v="22.13"/>
        <n v="1424.7"/>
        <n v="432.23"/>
        <n v="475.88"/>
        <n v="376.84"/>
        <n v="109.42"/>
        <n v="33.96"/>
        <n v="62.17"/>
        <n v="297.5"/>
        <n v="197.75"/>
        <n v="56.61"/>
        <n v="231.79"/>
        <n v="75.37"/>
        <n v="30.3"/>
        <n v="634.5"/>
        <n v="40.12"/>
        <n v="595.32"/>
        <n v="51.67"/>
        <n v="16.22"/>
        <n v="49.67"/>
        <n v="346.46"/>
        <n v="717.86"/>
        <n v="631.75"/>
        <n v="693.78"/>
        <n v="101.88"/>
        <n v="125.79"/>
        <n v="149.88"/>
        <n v="221.35"/>
        <n v="157.7"/>
        <n v="85.5"/>
        <n v="52.82"/>
        <n v="625.51"/>
        <n v="96.64"/>
        <n v="730"/>
        <n v="2453.8"/>
        <n v="136.31"/>
        <n v="107.76"/>
        <n v="98.16"/>
        <n v="46.25"/>
        <n v="169.99"/>
        <n v="408.72"/>
        <n v="295.7"/>
        <n v="28.7"/>
        <n v="35.17"/>
        <n v="513.03"/>
        <n v="207.61"/>
        <n v="2512.7"/>
        <n v="38.23"/>
        <n v="629.21"/>
        <n v="39.63"/>
        <n v="7.39"/>
        <n v="214.22"/>
        <n v="63.6"/>
        <n v="1258.96"/>
        <n v="571.8"/>
        <n v="91.16"/>
        <n v="44.42"/>
        <n v="24.59"/>
        <n v="770.71"/>
        <n v="19.21"/>
        <n v="2158.46"/>
        <n v="136.66"/>
        <n v="697.85"/>
        <n v="591.65"/>
        <n v="18.26"/>
        <n v="824.99"/>
        <n v="1432.9"/>
        <n v="732.06"/>
        <n v="164.71"/>
        <n v="229.66"/>
        <n v="467.26"/>
        <n v="74.36"/>
        <n v="73.68"/>
        <n v="822.07"/>
        <n v="259.43"/>
        <n v="87.02"/>
        <n v="1772.93"/>
        <n v="37.06"/>
        <n v="64.77"/>
        <n v="165.28"/>
        <n v="2271.69"/>
        <n v="267.14"/>
        <n v="17.46"/>
        <n v="252.83"/>
        <n v="17.43"/>
        <n v="530.02"/>
        <n v="638.27"/>
        <n v="133.97"/>
        <n v="82.42"/>
        <n v="240.53"/>
        <n v="5.19"/>
        <n v="37.59"/>
        <n v="76"/>
        <n v="27.05"/>
        <n v="56.87"/>
        <n v="9.75"/>
        <n v="1174.45"/>
        <n v="130.92"/>
        <n v="4.55"/>
        <n v="90.66"/>
        <n v="69.31"/>
        <n v="1590.26"/>
        <n v="232.85"/>
        <n v="74.76"/>
        <n v="632.58"/>
        <n v="60.05"/>
        <n v="72.45"/>
        <n v="331.21"/>
        <n v="351.6"/>
        <n v="432.99"/>
        <n v="1054.95"/>
        <n v="42.54"/>
        <n v="276.53"/>
        <n v="511.43"/>
        <n v="791.86"/>
        <n v="19.28"/>
        <n v="41.38"/>
        <n v="1568.17"/>
        <n v="372.97"/>
        <n v="138.7"/>
        <n v="29.88"/>
        <n v="901.52"/>
        <n v="208.69"/>
        <n v="87.11"/>
        <n v="673.41"/>
        <n v="351.63"/>
        <n v="70.82"/>
        <n v="20.53"/>
        <n v="47.86"/>
        <n v="66.77"/>
        <n v="2568.94"/>
        <n v="54.55"/>
        <n v="175.58"/>
        <n v="111.15"/>
        <n v="181.43"/>
        <n v="20.42"/>
        <n v="39.92"/>
        <n v="292.38"/>
        <n v="11.94"/>
        <n v="151.61"/>
        <n v="77.4"/>
        <n v="660.22"/>
        <n v="812.36"/>
        <n v="72.84"/>
        <n v="31.34"/>
        <n v="255.7"/>
        <n v="418.74"/>
        <n v="96.58"/>
        <n v="638.1"/>
        <n v="113.79"/>
        <n v="1075.43"/>
        <n v="105.94"/>
        <n v="103.79"/>
        <n v="49.96"/>
        <n v="938.67"/>
        <n v="544.74"/>
        <n v="108.66"/>
        <n v="52.75"/>
        <n v="85.58"/>
        <n v="166.09"/>
        <n v="202.72"/>
        <n v="71.01"/>
        <n v="25.2"/>
        <n v="34.68"/>
        <n v="48.96"/>
        <n v="444.78"/>
        <n v="77.42"/>
        <n v="290.99"/>
        <n v="447.79"/>
        <n v="123.37"/>
        <n v="48"/>
        <n v="23.73"/>
        <n v="307.06"/>
        <n v="67.33"/>
        <n v="151.28"/>
        <n v="1213.69"/>
        <n v="125.92"/>
        <n v="59.06"/>
        <n v="174.79"/>
        <n v="472.09"/>
        <n v="100.41"/>
        <n v="125.95"/>
        <n v="137.01"/>
        <n v="87.91"/>
        <n v="548.31"/>
        <n v="483.65"/>
        <n v="77.81"/>
        <n v="219.72"/>
        <n v="38.88"/>
        <n v="868.78"/>
        <n v="161.39"/>
        <n v="627.02"/>
        <n v="368.84"/>
        <n v="787.5"/>
        <n v="25.99"/>
        <n v="192.47"/>
        <n v="1451.72"/>
        <n v="241.96"/>
        <n v="390.17"/>
        <n v="15.23"/>
        <n v="167.61"/>
        <n v="218.14"/>
        <n v="25.18"/>
        <n v="1622.84"/>
        <n v="128.25"/>
        <n v="1330.84"/>
        <n v="424.35"/>
        <n v="536.38"/>
        <n v="1418.67"/>
        <n v="51.79"/>
        <n v="60.76"/>
        <n v="561.33"/>
        <n v="985.16"/>
        <n v="123.95"/>
        <n v="301.59"/>
        <n v="1368.43"/>
        <n v="238.93"/>
        <n v="25.38"/>
        <n v="325.96"/>
        <n v="716.46"/>
        <n v="38.58"/>
        <n v="716.6"/>
        <n v="100.98"/>
        <n v="521.55"/>
        <n v="154.54"/>
        <n v="4.45"/>
        <n v="129.23"/>
        <n v="384.75"/>
        <n v="107.51"/>
        <n v="82.4"/>
        <n v="1987.22"/>
        <n v="203.63"/>
        <n v="164.26"/>
        <n v="584.64"/>
        <n v="1111.84"/>
        <n v="780.38"/>
        <n v="336.49"/>
        <n v="287.46"/>
        <n v="17.56"/>
        <n v="12.11"/>
        <n v="409.38"/>
        <n v="511.74"/>
        <n v="105.6"/>
        <n v="104.08"/>
        <n v="25.67"/>
        <n v="237.37"/>
        <n v="59.96"/>
        <n v="376.16"/>
        <n v="625.4"/>
        <n v="58.91"/>
        <n v="9.74"/>
        <n v="264.39"/>
        <n v="96"/>
        <n v="167.88"/>
        <n v="223.9"/>
        <n v="98.42"/>
        <n v="41.59"/>
        <n v="1066.98"/>
        <n v="149.41"/>
        <n v="54.73"/>
        <n v="1155.02"/>
        <n v="1415"/>
        <n v="153.11"/>
        <n v="452.55"/>
        <n v="292.85"/>
        <n v="994.81"/>
        <n v="100.86"/>
        <n v="121.2"/>
        <n v="1855.33"/>
        <n v="508.54"/>
        <n v="225.27"/>
        <n v="2302.35"/>
        <n v="268.11"/>
        <n v="382.74"/>
        <n v="144.54"/>
        <n v="260.36"/>
        <n v="632.26"/>
        <n v="30.58"/>
        <n v="1115.48"/>
        <n v="225.49"/>
        <n v="21.54"/>
        <n v="49.8"/>
        <n v="432.09"/>
        <n v="6.74"/>
        <n v="741.29"/>
        <n v="1433.26"/>
        <n v="30.53"/>
        <n v="66.25"/>
        <n v="489.16"/>
        <n v="882.25"/>
        <n v="37.7"/>
        <n v="335.75"/>
        <n v="285.08"/>
        <n v="190.57"/>
        <n v="75.17"/>
        <n v="620.54"/>
        <n v="44.61"/>
        <n v="118.95"/>
        <n v="118.42"/>
        <n v="15.95"/>
        <n v="860.78"/>
        <n v="123.42"/>
        <n v="56.23"/>
        <n v="414.45"/>
        <n v="41"/>
        <n v="985.81"/>
        <n v="713.01"/>
        <n v="193.12"/>
        <n v="79.98"/>
        <n v="2029.34"/>
        <n v="80.63"/>
        <n v="502.49"/>
        <n v="99.03"/>
        <n v="732.68"/>
        <n v="1831.19"/>
        <n v="48.13"/>
        <n v="53.35"/>
        <n v="55.13"/>
        <n v="237.85"/>
        <n v="140.96"/>
        <n v="48.35"/>
        <n v="194.31"/>
        <n v="61.99"/>
        <n v="688.37"/>
        <n v="36.18"/>
        <n v="22.87"/>
        <n v="31.07"/>
        <n v="1091.33"/>
        <n v="22.31"/>
        <n v="19.24"/>
        <n v="814.46"/>
        <n v="205.98"/>
        <n v="64.35"/>
        <n v="8.28"/>
        <n v="164.95"/>
        <n v="183.93"/>
        <n v="412.66"/>
        <n v="45.97"/>
        <n v="981.28"/>
        <n v="97.47"/>
        <n v="12.68"/>
        <n v="232.24"/>
        <n v="20.48"/>
        <n v="2590.46"/>
        <n v="130.53"/>
        <n v="395.46"/>
        <n v="107.69"/>
        <n v="89.65"/>
        <n v="113.51"/>
        <n v="951.12"/>
        <n v="14.36"/>
        <n v="1171.27"/>
        <n v="10.01"/>
        <n v="221.54"/>
        <n v="481.5"/>
        <n v="58.27"/>
        <n v="378.85"/>
        <n v="26.31"/>
        <n v="85.61"/>
        <n v="366.66"/>
        <n v="131.59"/>
        <n v="483.1"/>
        <n v="129.91"/>
        <n v="2308.12"/>
        <n v="7.85"/>
        <n v="1203.93"/>
        <n v="1165.51"/>
        <n v="1478.49"/>
        <n v="40.95"/>
        <n v="1360.08"/>
        <n v="154.57"/>
        <n v="96.72"/>
        <n v="312.97"/>
        <n v="75.45"/>
        <n v="287.43"/>
        <n v="52.59"/>
        <n v="1082.41"/>
        <n v="268.09"/>
        <n v="1051.6"/>
        <n v="30.39"/>
        <n v="1058.98"/>
        <n v="608.08"/>
        <n v="2545.79"/>
        <n v="48.2"/>
        <n v="1555.53"/>
        <n v="87.08"/>
        <n v="113.22"/>
        <n v="8.35"/>
        <n v="212.37"/>
        <n v="115.85"/>
        <n v="20.63"/>
        <n v="360.5"/>
        <n v="1779.55"/>
        <n v="21.29"/>
        <n v="61.29"/>
        <n v="48.14"/>
        <n v="72.89"/>
        <n v="132.07"/>
        <n v="68.87"/>
        <n v="303.96"/>
        <n v="267.77"/>
        <n v="148.37"/>
        <n v="165.14"/>
        <n v="123.85"/>
        <n v="908.47"/>
        <n v="43.55"/>
        <n v="85.19"/>
        <n v="277.1"/>
        <n v="26.28"/>
        <n v="169.69"/>
        <n v="1467.34"/>
        <n v="139.73"/>
        <n v="493.03"/>
        <n v="1472.09"/>
        <n v="67.16"/>
        <n v="196.58"/>
        <n v="295.55"/>
        <n v="112.77"/>
        <n v="235.65"/>
        <n v="15.39"/>
        <n v="56.02"/>
        <n v="1459.46"/>
        <n v="103.48"/>
        <n v="535.38"/>
        <n v="529.35"/>
        <n v="664"/>
        <n v="10.5"/>
        <n v="1727.96"/>
        <n v="711.07"/>
        <n v="520.83"/>
        <n v="796.34"/>
        <n v="2146.6"/>
        <n v="573.14"/>
        <n v="74.08"/>
        <n v="187.5"/>
        <n v="63.64"/>
        <n v="16.5"/>
        <n v="100.61"/>
        <n v="441.75"/>
        <n v="43.02"/>
        <n v="69.19"/>
        <n v="520.85"/>
        <n v="85.66"/>
        <n v="167.66"/>
        <n v="241.55"/>
        <n v="67.03"/>
        <n v="47.4"/>
        <n v="27.27"/>
        <n v="85.83"/>
        <n v="52.3"/>
        <n v="119.8"/>
        <n v="96.15"/>
        <n v="11.67"/>
        <n v="137.9"/>
        <n v="199.66"/>
        <n v="8.07"/>
        <n v="74.81"/>
        <n v="36.47"/>
        <n v="739.48"/>
        <n v="101.62"/>
        <n v="40.84"/>
        <n v="94.79"/>
        <n v="299.93"/>
        <n v="54.23"/>
        <n v="66.09"/>
        <n v="744.53"/>
        <n v="161.64"/>
        <n v="33.15"/>
        <n v="322.53"/>
        <n v="12.96"/>
        <n v="2197.22"/>
        <n v="110.76"/>
        <n v="1579.45"/>
        <n v="1937.74"/>
        <n v="1397.65"/>
        <n v="291.69"/>
        <n v="122.64"/>
        <n v="74.35"/>
        <n v="75.49"/>
        <n v="68.19"/>
        <n v="141.49"/>
        <n v="346.65"/>
        <n v="497.82"/>
        <n v="20.33"/>
        <n v="193.91"/>
        <n v="217.4"/>
        <n v="204.06"/>
        <n v="51.05"/>
        <n v="99.9"/>
        <n v="168.17"/>
        <n v="246.37"/>
        <n v="212.49"/>
        <n v="113.16"/>
        <n v="774.95"/>
        <n v="528.15"/>
        <n v="279.49"/>
        <n v="36.45"/>
        <n v="1959.15"/>
        <n v="92.86"/>
        <n v="31.29"/>
        <n v="790.47"/>
        <n v="92.16"/>
        <n v="61.89"/>
        <n v="130.15"/>
        <n v="415.54"/>
        <n v="182.02"/>
        <n v="72.82"/>
        <n v="1063.45"/>
        <n v="240.63"/>
        <n v="102.44"/>
        <n v="90.28"/>
        <n v="329.2"/>
        <n v="62.66"/>
        <n v="87.65"/>
        <n v="457.75"/>
        <n v="190.35"/>
        <n v="26.32"/>
        <n v="106.12"/>
        <n v="1059"/>
        <n v="1610.11"/>
        <n v="1062.11"/>
        <n v="228.63"/>
        <n v="88.26"/>
        <n v="106.13"/>
        <n v="246.91"/>
        <n v="71.42"/>
        <n v="38.1"/>
        <n v="91.07"/>
        <n v="136.18"/>
        <n v="24.19"/>
        <n v="22.81"/>
        <n v="266.39"/>
        <n v="969.35"/>
        <n v="279.27"/>
        <n v="178.71"/>
        <n v="73.36"/>
        <n v="249.88"/>
        <n v="38.03"/>
        <n v="2626.22"/>
        <n v="304.72"/>
        <n v="370.64"/>
        <n v="161.18"/>
        <n v="471.11"/>
        <n v="317.12"/>
        <n v="1553.17"/>
        <n v="8.62"/>
        <n v="108.09"/>
        <n v="519.85"/>
        <n v="44.77"/>
        <n v="409.79"/>
        <n v="127.91"/>
        <n v="761.38"/>
        <n v="117.96"/>
        <n v="544.38"/>
        <n v="55.93"/>
        <n v="191.58"/>
        <n v="224.93"/>
        <n v="614.78"/>
        <n v="331.15"/>
        <n v="15.54"/>
        <n v="350.84"/>
        <n v="119.07"/>
        <n v="585.06"/>
        <n v="268.38"/>
        <n v="264.03"/>
        <n v="312.04"/>
        <n v="14.68"/>
        <n v="186.64"/>
        <n v="177.54"/>
        <n v="750.67"/>
        <n v="274.19"/>
        <n v="108.59"/>
        <n v="93.8"/>
        <n v="395.51"/>
        <n v="104.54"/>
        <n v="329.32"/>
        <n v="1211.78"/>
        <n v="186.99"/>
        <n v="41.76"/>
        <n v="727.72"/>
        <n v="270.36"/>
        <n v="231.26"/>
        <n v="49.64"/>
        <n v="36.52"/>
        <n v="836.85"/>
        <n v="24.66"/>
        <n v="959.01"/>
        <n v="198.23"/>
        <n v="248.96"/>
        <n v="98.03"/>
        <n v="624.53"/>
        <n v="830.6"/>
        <n v="80.23"/>
        <n v="35.32"/>
        <n v="1178.66"/>
        <n v="25.76"/>
        <n v="98.78"/>
        <n v="90.56"/>
        <n v="592.65"/>
        <n v="859.48"/>
        <n v="1041.06"/>
        <n v="513.91"/>
        <n v="58.66"/>
        <n v="37.58"/>
        <n v="92.01"/>
        <n v="123.48"/>
        <n v="359.08"/>
        <n v="604.3"/>
        <n v="60.62"/>
        <n v="451.13"/>
        <n v="5.95"/>
        <n v="2617.75"/>
        <n v="1007.72"/>
        <n v="57.61"/>
        <n v="86.92"/>
        <n v="344.8"/>
        <n v="82.25"/>
        <n v="778.52"/>
        <n v="540.9"/>
        <n v="101.29"/>
        <n v="4.89"/>
        <n v="232.11"/>
        <n v="430.97"/>
        <n v="249.25"/>
        <n v="55.12"/>
        <n v="1414.52"/>
        <n v="39.36"/>
        <n v="19.71"/>
        <n v="52.07"/>
        <n v="184.58"/>
        <n v="9.48"/>
        <n v="27.97"/>
        <n v="241.65"/>
        <n v="320.08"/>
        <n v="18.14"/>
        <n v="43.09"/>
        <n v="103.84"/>
        <n v="121.41"/>
        <n v="750.75"/>
        <n v="244.72"/>
        <n v="111.74"/>
        <n v="10.93"/>
        <n v="69.69"/>
        <n v="18.18"/>
        <n v="19.77"/>
        <n v="188.6"/>
        <n v="73.03"/>
        <n v="251.4"/>
        <n v="55.08"/>
        <n v="86.74"/>
        <n v="898.49"/>
        <n v="123.22"/>
        <n v="240.4"/>
        <n v="20.35"/>
        <n v="99.2"/>
        <n v="137.42"/>
        <n v="523.81"/>
        <n v="50.79"/>
        <n v="135.14"/>
        <n v="96.74"/>
        <n v="348.86"/>
        <n v="727"/>
        <n v="1360.75"/>
        <n v="633.76"/>
        <n v="37.23"/>
        <n v="65.8"/>
        <n v="776.42"/>
        <n v="1062.31"/>
        <n v="109.38"/>
        <n v="364.71"/>
        <n v="1083.05"/>
        <n v="83.9"/>
        <n v="59.99"/>
        <n v="72.24"/>
        <n v="362.68"/>
        <n v="24.82"/>
        <n v="174.23"/>
        <n v="185.18"/>
        <n v="475.26"/>
        <n v="75.25"/>
        <n v="52.29"/>
        <n v="43.92"/>
        <n v="8.65"/>
        <n v="5.37"/>
        <n v="642.75"/>
        <n v="217.15"/>
        <n v="779.89"/>
        <n v="16.19"/>
        <n v="39.19"/>
        <n v="381.66"/>
        <n v="120.74"/>
        <n v="61.1"/>
        <n v="710.5"/>
        <n v="915.24"/>
        <n v="246.14"/>
        <n v="192.43"/>
        <n v="145.89"/>
        <n v="1763.38"/>
        <n v="649.12"/>
        <n v="269.05"/>
        <n v="134.83"/>
        <n v="124.99"/>
        <n v="177.13"/>
        <n v="1014"/>
        <n v="43.35"/>
        <n v="777.34"/>
        <n v="37.02"/>
        <n v="893.2"/>
        <n v="68.36"/>
        <n v="350.13"/>
        <n v="815.84"/>
        <n v="31.56"/>
        <n v="72.25"/>
        <n v="236.77"/>
        <n v="197.13"/>
        <n v="95.82"/>
        <n v="65.57"/>
        <n v="326.73"/>
        <n v="32.92"/>
        <n v="60.19"/>
        <n v="561.16"/>
        <n v="109.23"/>
        <n v="166.76"/>
        <n v="308.18"/>
        <n v="1035.51"/>
        <n v="7.34"/>
        <n v="32.9"/>
        <n v="740.36"/>
        <n v="82.01"/>
        <n v="41.6"/>
        <n v="162.34"/>
        <n v="189.58"/>
        <n v="148.86"/>
        <n v="183.31"/>
        <n v="144.06"/>
        <n v="64.89"/>
        <n v="162.14"/>
        <n v="540.66"/>
        <n v="45.89"/>
        <n v="2942.43"/>
        <n v="225.84"/>
        <n v="56.16"/>
        <n v="240"/>
        <n v="122.83"/>
        <n v="62.74"/>
        <n v="14.91"/>
        <n v="543.34"/>
        <n v="293.32"/>
        <n v="193.49"/>
        <n v="52.35"/>
        <n v="54.28"/>
        <n v="1177.95"/>
        <n v="235.89"/>
        <n v="899.41"/>
        <n v="99.16"/>
        <n v="496.63"/>
        <n v="702.55"/>
        <n v="66.23"/>
        <n v="46.05"/>
        <n v="120.83"/>
        <n v="63.46"/>
        <n v="41.01"/>
        <n v="72.54"/>
        <n v="1771.72"/>
        <n v="563.43"/>
        <n v="689.55"/>
        <n v="235.85"/>
        <n v="178.05"/>
        <n v="179.07"/>
        <n v="227.87"/>
        <n v="222.09"/>
        <n v="158.12"/>
        <n v="47.69"/>
        <n v="266.11"/>
        <n v="2513.12"/>
        <n v="439.69"/>
        <n v="675.83"/>
        <n v="80.09"/>
        <n v="22.26"/>
        <n v="259.86"/>
        <n v="91.86"/>
        <n v="167.96"/>
        <n v="2.19"/>
        <n v="971.26"/>
        <n v="257.7"/>
        <n v="7.89"/>
        <n v="1851.31"/>
        <n v="728.83"/>
        <n v="26.02"/>
        <n v="27.29"/>
        <n v="144.52"/>
        <n v="1560.84"/>
        <n v="93.6"/>
        <n v="445.85"/>
        <n v="98.95"/>
        <n v="1843.26"/>
        <n v="408.12"/>
        <n v="102.24"/>
        <n v="194.83"/>
        <n v="194.08"/>
        <n v="66.39"/>
        <n v="898.75"/>
        <n v="76.73"/>
        <n v="5.8"/>
        <n v="470.14"/>
        <n v="42.24"/>
        <n v="410.26"/>
        <n v="257.77"/>
        <n v="196.52"/>
        <n v="484.91"/>
        <n v="121.3"/>
        <n v="12.78"/>
        <n v="134.33"/>
        <n v="860.91"/>
        <n v="568.01"/>
        <n v="3638.56"/>
        <n v="509.96"/>
        <n v="806.82"/>
        <n v="167.37"/>
        <n v="52.93"/>
        <n v="65.18"/>
        <n v="75.89"/>
        <n v="16.87"/>
        <n v="7.62"/>
        <n v="223.04"/>
        <n v="128.77"/>
        <n v="312.55"/>
        <n v="1887.43"/>
        <n v="40.86"/>
        <n v="5.73"/>
        <n v="84.2"/>
        <n v="323.64"/>
        <n v="621.09"/>
        <n v="423.43"/>
        <n v="127.5"/>
        <n v="221.4"/>
        <n v="148.36"/>
        <n v="196.41"/>
        <n v="32.87"/>
        <n v="128.14"/>
        <n v="41.32"/>
        <n v="483.21"/>
        <n v="22.18"/>
        <n v="809.11"/>
        <n v="326.99"/>
        <n v="160.8"/>
        <n v="42.19"/>
        <n v="791.09"/>
        <n v="41.9"/>
        <n v="506.5"/>
        <n v="574.37"/>
        <n v="34.63"/>
        <n v="115.44"/>
        <n v="227.11"/>
        <n v="64.72"/>
        <n v="863.76"/>
        <n v="25.71"/>
        <n v="26.59"/>
        <n v="38.64"/>
        <n v="174.58"/>
        <n v="85.46"/>
        <n v="657.75"/>
        <n v="69.23"/>
        <n v="208.96"/>
        <n v="15.99"/>
        <n v="17.88"/>
        <n v="544.64"/>
        <n v="155.56"/>
        <n v="5.85"/>
        <n v="383.85"/>
        <n v="100.24"/>
        <n v="232.04"/>
        <n v="227.29"/>
        <n v="212.6"/>
        <n v="418.22"/>
        <n v="108.47"/>
        <n v="6.2"/>
      </sharedItems>
    </cacheField>
    <cacheField name="Rating" numFmtId="0">
      <sharedItems containsSemiMixedTypes="0" containsString="0" containsNumber="1" minValue="2.5" maxValue="5" count="26">
        <n v="4.5"/>
        <n v="3.6"/>
        <n v="3.7"/>
        <n v="4.6"/>
        <n v="4.3"/>
        <n v="3.1"/>
        <n v="4.7"/>
        <n v="3.9"/>
        <n v="3.2"/>
        <n v="2.6"/>
        <n v="5"/>
        <n v="2.8"/>
        <n v="3.5"/>
        <n v="3.8"/>
        <n v="2.5"/>
        <n v="4.2"/>
        <n v="4.1"/>
        <n v="2.9"/>
        <n v="2.7"/>
        <n v="4.9"/>
        <n v="4.4"/>
        <n v="4"/>
        <n v="3.3"/>
        <n v="3.4"/>
        <n v="4.8"/>
        <n v="3"/>
      </sharedItems>
    </cacheField>
    <cacheField name="Month" numFmtId="0">
      <sharedItems count="12">
        <s v="July"/>
        <s v="April"/>
        <s v="September"/>
        <s v="March"/>
        <s v="November"/>
        <s v="January"/>
        <s v="February"/>
        <s v="June"/>
        <s v="October"/>
        <s v="December"/>
        <s v="May"/>
        <s v="August"/>
      </sharedItems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Profit_Status" numFmtId="0">
      <sharedItems count="2">
        <s v="Low Profit"/>
        <s v="High Profit"/>
      </sharedItems>
    </cacheField>
    <cacheField name="Sales_Profit" numFmtId="0">
      <sharedItems count="2">
        <s v="Low Sales"/>
        <s v="High Sales"/>
      </sharedItems>
    </cacheField>
    <cacheField name="Rating_Status" numFmtId="0">
      <sharedItems count="2">
        <s v="Good"/>
        <s v="Needs Improvement"/>
      </sharedItems>
    </cacheField>
    <cacheField name="Discount_Status" numFmtId="0">
      <sharedItems count="2">
        <s v="Normal Discount"/>
        <s v="High Discount"/>
      </sharedItems>
    </cacheField>
    <cacheField name="Target Margin" numFmtId="0">
      <sharedItems containsSemiMixedTypes="0" containsString="0" containsNumber="1" minValue="0.12" maxValue="0.2" count="5">
        <n v="0.2"/>
        <n v="0.16"/>
        <n v="0.12"/>
        <n v="0.15"/>
        <n v="0.18"/>
      </sharedItems>
    </cacheField>
    <cacheField name="Profit_margin" numFmtId="0">
      <sharedItems containsSemiMixedTypes="0" containsString="0" containsNumber="1" minValue="0.150342552651611" maxValue="0.449925300087579" count="1000">
        <n v="0.170993057651675"/>
        <n v="0.334929252340444"/>
        <n v="0.302480717114863"/>
        <n v="0.181136198106337"/>
        <n v="0.207984843583938"/>
        <n v="0.448902696630421"/>
        <n v="0.353971646888283"/>
        <n v="0.323490669593853"/>
        <n v="0.381043812183627"/>
        <n v="0.390131224669104"/>
        <n v="0.438642297650131"/>
        <n v="0.256921373200443"/>
        <n v="0.371248592848076"/>
        <n v="0.434299341174569"/>
        <n v="0.380747126436782"/>
        <n v="0.209424387601798"/>
        <n v="0.194564401051446"/>
        <n v="0.305081632001022"/>
        <n v="0.325179359872966"/>
        <n v="0.156639824986036"/>
        <n v="0.389831014015331"/>
        <n v="0.385393776620276"/>
        <n v="0.362428172450323"/>
        <n v="0.398170631085127"/>
        <n v="0.33618880731096"/>
        <n v="0.176811968016508"/>
        <n v="0.265409570154096"/>
        <n v="0.32640789582815"/>
        <n v="0.16967032967033"/>
        <n v="0.435454872348076"/>
        <n v="0.386946155374528"/>
        <n v="0.280235490116619"/>
        <n v="0.26534135753749"/>
        <n v="0.438135247742301"/>
        <n v="0.329054343175011"/>
        <n v="0.255199154035953"/>
        <n v="0.240575656936433"/>
        <n v="0.258554883941881"/>
        <n v="0.353829731231539"/>
        <n v="0.421945250697172"/>
        <n v="0.321871166941589"/>
        <n v="0.411372880893233"/>
        <n v="0.165721851340768"/>
        <n v="0.307450854602942"/>
        <n v="0.354821152998236"/>
        <n v="0.220110656723599"/>
        <n v="0.300614461461868"/>
        <n v="0.35700092356777"/>
        <n v="0.206410026726726"/>
        <n v="0.189778129952456"/>
        <n v="0.248092744951384"/>
        <n v="0.435915769904544"/>
        <n v="0.280092258901542"/>
        <n v="0.221011149672296"/>
        <n v="0.409052092228864"/>
        <n v="0.381398572319634"/>
        <n v="0.185261126522736"/>
        <n v="0.443960698946873"/>
        <n v="0.224217931447388"/>
        <n v="0.307870258807653"/>
        <n v="0.315969739603755"/>
        <n v="0.447883331809454"/>
        <n v="0.204287245444802"/>
        <n v="0.34205254074119"/>
        <n v="0.287771588796608"/>
        <n v="0.246769281422339"/>
        <n v="0.239238831789966"/>
        <n v="0.163207052368272"/>
        <n v="0.290552410696857"/>
        <n v="0.33011540168664"/>
        <n v="0.163889190777319"/>
        <n v="0.257406024396316"/>
        <n v="0.360571721428165"/>
        <n v="0.412061268255145"/>
        <n v="0.197232328154801"/>
        <n v="0.341349240628976"/>
        <n v="0.251859609868726"/>
        <n v="0.308738742133625"/>
        <n v="0.390309221424627"/>
        <n v="0.269461510661366"/>
        <n v="0.431851206044754"/>
        <n v="0.325996998081052"/>
        <n v="0.286012126369535"/>
        <n v="0.319180752995514"/>
        <n v="0.225399527918585"/>
        <n v="0.20162181123401"/>
        <n v="0.218616088819634"/>
        <n v="0.438365194462755"/>
        <n v="0.39177848133072"/>
        <n v="0.289176090468498"/>
        <n v="0.169543973941368"/>
        <n v="0.199508103405686"/>
        <n v="0.197233864207879"/>
        <n v="0.359012715033657"/>
        <n v="0.321163097027267"/>
        <n v="0.308818463658285"/>
        <n v="0.402793703742312"/>
        <n v="0.44067599358255"/>
        <n v="0.165928230914012"/>
        <n v="0.377785675572417"/>
        <n v="0.378028823312041"/>
        <n v="0.424986503067485"/>
        <n v="0.171451355661882"/>
        <n v="0.276089926717178"/>
        <n v="0.249892592979645"/>
        <n v="0.176534525542954"/>
        <n v="0.346303404955382"/>
        <n v="0.263537704184381"/>
        <n v="0.438391824141921"/>
        <n v="0.393935099900808"/>
        <n v="0.200626776235746"/>
        <n v="0.219933892702771"/>
        <n v="0.344805557773696"/>
        <n v="0.336967930029155"/>
        <n v="0.28993355594801"/>
        <n v="0.449925300087579"/>
        <n v="0.377624828122084"/>
        <n v="0.387497811241464"/>
        <n v="0.374855946072524"/>
        <n v="0.208228351198362"/>
        <n v="0.366100964719278"/>
        <n v="0.392545755684955"/>
        <n v="0.298733209566452"/>
        <n v="0.190305407677221"/>
        <n v="0.377565893356006"/>
        <n v="0.426443816923011"/>
        <n v="0.343083675983275"/>
        <n v="0.225690706853247"/>
        <n v="0.28478928615309"/>
        <n v="0.204971308911914"/>
        <n v="0.162144806550008"/>
        <n v="0.212200260860841"/>
        <n v="0.268828732243366"/>
        <n v="0.301995140238118"/>
        <n v="0.43795558569249"/>
        <n v="0.154682433721152"/>
        <n v="0.334974372808201"/>
        <n v="0.404327327046961"/>
        <n v="0.249987811588046"/>
        <n v="0.364711723309799"/>
        <n v="0.274267958585847"/>
        <n v="0.273981444130698"/>
        <n v="0.316285735837671"/>
        <n v="0.199170786158507"/>
        <n v="0.37050365733224"/>
        <n v="0.31541261650466"/>
        <n v="0.288695299837925"/>
        <n v="0.250926365795724"/>
        <n v="0.214807946565017"/>
        <n v="0.331549334431179"/>
        <n v="0.256184396615558"/>
        <n v="0.404816621600888"/>
        <n v="0.170210906184833"/>
        <n v="0.335074626865672"/>
        <n v="0.231133297228567"/>
        <n v="0.443857965451056"/>
        <n v="0.388442027329647"/>
        <n v="0.303872003806578"/>
        <n v="0.186525032958853"/>
        <n v="0.291785278568524"/>
        <n v="0.17103535476341"/>
        <n v="0.304861453622766"/>
        <n v="0.302872481654923"/>
        <n v="0.414076661942586"/>
        <n v="0.209204334026486"/>
        <n v="0.375912583192936"/>
        <n v="0.180111802935963"/>
        <n v="0.176709708273553"/>
        <n v="0.167003188512002"/>
        <n v="0.29394093451033"/>
        <n v="0.246871360051454"/>
        <n v="0.216444153395993"/>
        <n v="0.410704631465129"/>
        <n v="0.269702489374621"/>
        <n v="0.439735336194564"/>
        <n v="0.300729670672702"/>
        <n v="0.403571428571429"/>
        <n v="0.395122612012975"/>
        <n v="0.340483842838279"/>
        <n v="0.32027040671152"/>
        <n v="0.263046745093855"/>
        <n v="0.427634660421546"/>
        <n v="0.298894258986863"/>
        <n v="0.395211893039869"/>
        <n v="0.277807925984676"/>
        <n v="0.258778613960942"/>
        <n v="0.282982367509888"/>
        <n v="0.228509110826381"/>
        <n v="0.349304772641864"/>
        <n v="0.220479980848644"/>
        <n v="0.320169340359323"/>
        <n v="0.304742103346607"/>
        <n v="0.255565345080764"/>
        <n v="0.444492636624831"/>
        <n v="0.253783469150175"/>
        <n v="0.264410516002613"/>
        <n v="0.357037933120194"/>
        <n v="0.424261270044038"/>
        <n v="0.42271662763466"/>
        <n v="0.173042616451933"/>
        <n v="0.243213344363853"/>
        <n v="0.411862003780718"/>
        <n v="0.342981757941669"/>
        <n v="0.272255351094959"/>
        <n v="0.199324525382372"/>
        <n v="0.436893718526372"/>
        <n v="0.379002269002899"/>
        <n v="0.183004231311707"/>
        <n v="0.447233789411065"/>
        <n v="0.389583760508509"/>
        <n v="0.162296754064919"/>
        <n v="0.265971377794407"/>
        <n v="0.371428571428571"/>
        <n v="0.42990383946645"/>
        <n v="0.441551433389545"/>
        <n v="0.376655629139073"/>
        <n v="0.185550552599263"/>
        <n v="0.325231101309183"/>
        <n v="0.23389960140611"/>
        <n v="0.174513595347303"/>
        <n v="0.327593006441436"/>
        <n v="0.392614200595829"/>
        <n v="0.29485416871256"/>
        <n v="0.177586587249062"/>
        <n v="0.208688803478042"/>
        <n v="0.430249632892805"/>
        <n v="0.242225392296719"/>
        <n v="0.278430999944575"/>
        <n v="0.177761063056287"/>
        <n v="0.413255622805051"/>
        <n v="0.289788309421817"/>
        <n v="0.186162309573068"/>
        <n v="0.327001356852103"/>
        <n v="0.3054325361677"/>
        <n v="0.428862488992447"/>
        <n v="0.366558885099608"/>
        <n v="0.352639072510933"/>
        <n v="0.166462395543176"/>
        <n v="0.365200764818356"/>
        <n v="0.311733512584958"/>
        <n v="0.248594503581519"/>
        <n v="0.401345745822109"/>
        <n v="0.304067726258626"/>
        <n v="0.228451612903226"/>
        <n v="0.189969464236143"/>
        <n v="0.262131668309782"/>
        <n v="0.249290621266428"/>
        <n v="0.412114425785586"/>
        <n v="0.166260286498019"/>
        <n v="0.41022406018551"/>
        <n v="0.217595583485053"/>
        <n v="0.370545105487817"/>
        <n v="0.169940079893475"/>
        <n v="0.233983939980072"/>
        <n v="0.223858998997006"/>
        <n v="0.384293530737045"/>
        <n v="0.317096126495441"/>
        <n v="0.264660625747991"/>
        <n v="0.21900749684867"/>
        <n v="0.418811350325827"/>
        <n v="0.161293179805137"/>
        <n v="0.182932523931824"/>
        <n v="0.368890299497951"/>
        <n v="0.203173216885007"/>
        <n v="0.29450509239495"/>
        <n v="0.311456685995431"/>
        <n v="0.355682670667667"/>
        <n v="0.275710278984151"/>
        <n v="0.2310326027696"/>
        <n v="0.326722699656877"/>
        <n v="0.261228758169935"/>
        <n v="0.240207280404325"/>
        <n v="0.236661351916134"/>
        <n v="0.434414104665574"/>
        <n v="0.1920766121691"/>
        <n v="0.312518258837277"/>
        <n v="0.371266988555079"/>
        <n v="0.37747653806048"/>
        <n v="0.305091299677766"/>
        <n v="0.183968462549277"/>
        <n v="0.336470359949549"/>
        <n v="0.225062057552634"/>
        <n v="0.420954003407155"/>
        <n v="0.30717346452944"/>
        <n v="0.152492899141608"/>
        <n v="0.218866541215572"/>
        <n v="0.386836824281952"/>
        <n v="0.299550673989017"/>
        <n v="0.379923150816523"/>
        <n v="0.327132873092986"/>
        <n v="0.215974338412189"/>
        <n v="0.218631673266468"/>
        <n v="0.381569929388389"/>
        <n v="0.173336086447794"/>
        <n v="0.272228624106937"/>
        <n v="0.336018301357223"/>
        <n v="0.299420300885405"/>
        <n v="0.268468757519852"/>
        <n v="0.282032334632093"/>
        <n v="0.304067999733683"/>
        <n v="0.298516078644436"/>
        <n v="0.397072881061352"/>
        <n v="0.206178755040967"/>
        <n v="0.287482450306658"/>
        <n v="0.410683912450235"/>
        <n v="0.220146084593171"/>
        <n v="0.17026722456859"/>
        <n v="0.165808804643756"/>
        <n v="0.339292864795836"/>
        <n v="0.409349196484063"/>
        <n v="0.294481693522151"/>
        <n v="0.416172938350681"/>
        <n v="0.169800001764431"/>
        <n v="0.394924835552267"/>
        <n v="0.374174592128663"/>
        <n v="0.328009012114232"/>
        <n v="0.335093509350935"/>
        <n v="0.211604741885392"/>
        <n v="0.313100142096425"/>
        <n v="0.398796325625594"/>
        <n v="0.369835916134913"/>
        <n v="0.297260337474504"/>
        <n v="0.405762458649024"/>
        <n v="0.26650630860344"/>
        <n v="0.28027547863891"/>
        <n v="0.235588635310646"/>
        <n v="0.168680584959125"/>
        <n v="0.176315254925858"/>
        <n v="0.166178194607268"/>
        <n v="0.376585895421689"/>
        <n v="0.410539215686275"/>
        <n v="0.3593180355994"/>
        <n v="0.181474467616721"/>
        <n v="0.158384928473889"/>
        <n v="0.192199924271109"/>
        <n v="0.416988614558015"/>
        <n v="0.16577124373551"/>
        <n v="0.323034413463954"/>
        <n v="0.447204193709436"/>
        <n v="0.317267814502953"/>
        <n v="0.436180711203292"/>
        <n v="0.286843863686985"/>
        <n v="0.348472983555208"/>
        <n v="0.307961775850154"/>
        <n v="0.266049399789788"/>
        <n v="0.18935817951247"/>
        <n v="0.251434151104602"/>
        <n v="0.319784881176137"/>
        <n v="0.20417310044719"/>
        <n v="0.178326385270106"/>
        <n v="0.414068586483845"/>
        <n v="0.290420491173812"/>
        <n v="0.364648215729245"/>
        <n v="0.43587916785409"/>
        <n v="0.249433814916048"/>
        <n v="0.191139653858713"/>
        <n v="0.401126200728718"/>
        <n v="0.206274185746533"/>
        <n v="0.193980516280657"/>
        <n v="0.175701307776779"/>
        <n v="0.370431006869061"/>
        <n v="0.178810253552522"/>
        <n v="0.353797770225958"/>
        <n v="0.284318839205273"/>
        <n v="0.434851970451892"/>
        <n v="0.436838612789439"/>
        <n v="0.233871928222637"/>
        <n v="0.316644993498049"/>
        <n v="0.37311600338696"/>
        <n v="0.392862989032575"/>
        <n v="0.249021003915984"/>
        <n v="0.449887477897444"/>
        <n v="0.208230191473606"/>
        <n v="0.426214388194302"/>
        <n v="0.392554929287281"/>
        <n v="0.334130959835406"/>
        <n v="0.304563160823595"/>
        <n v="0.343501393312694"/>
        <n v="0.353787147650503"/>
        <n v="0.160823074660729"/>
        <n v="0.257528680688337"/>
        <n v="0.442973831492966"/>
        <n v="0.320947864240547"/>
        <n v="0.187489543637885"/>
        <n v="0.359558561765753"/>
        <n v="0.421632370152374"/>
        <n v="0.222483747057846"/>
        <n v="0.268197728409172"/>
        <n v="0.278906735506505"/>
        <n v="0.433926230436823"/>
        <n v="0.407851411399891"/>
        <n v="0.263235535158171"/>
        <n v="0.387648144839497"/>
        <n v="0.298778441981901"/>
        <n v="0.286544227886057"/>
        <n v="0.364948602014042"/>
        <n v="0.165474172408985"/>
        <n v="0.197234685468364"/>
        <n v="0.23330990864371"/>
        <n v="0.42660387417807"/>
        <n v="0.418373680943513"/>
        <n v="0.302166513808214"/>
        <n v="0.401786264934599"/>
        <n v="0.156499897477958"/>
        <n v="0.402417542367734"/>
        <n v="0.303761938472621"/>
        <n v="0.340764687933319"/>
        <n v="0.258201493048421"/>
        <n v="0.411292002008991"/>
        <n v="0.320902326733231"/>
        <n v="0.36758351979014"/>
        <n v="0.183663995308835"/>
        <n v="0.437823231004777"/>
        <n v="0.175872264931993"/>
        <n v="0.20009420155769"/>
        <n v="0.360717658168083"/>
        <n v="0.213235294117647"/>
        <n v="0.44063475812644"/>
        <n v="0.159938833957521"/>
        <n v="0.292043211800145"/>
        <n v="0.359014561550922"/>
        <n v="0.341240116521015"/>
        <n v="0.430079052073154"/>
        <n v="0.153194808208376"/>
        <n v="0.438221879325603"/>
        <n v="0.253526484293277"/>
        <n v="0.317179528858658"/>
        <n v="0.165327045314743"/>
        <n v="0.376202561971715"/>
        <n v="0.290385010116412"/>
        <n v="0.305293509783659"/>
        <n v="0.23913960464439"/>
        <n v="0.429578721885041"/>
        <n v="0.391876009989717"/>
        <n v="0.385632344711808"/>
        <n v="0.228556877366287"/>
        <n v="0.393248709722416"/>
        <n v="0.277969414740715"/>
        <n v="0.385428650771611"/>
        <n v="0.191516312407316"/>
        <n v="0.167343297224761"/>
        <n v="0.294481523685496"/>
        <n v="0.344323998795544"/>
        <n v="0.379782422686713"/>
        <n v="0.435066695369994"/>
        <n v="0.369370860927152"/>
        <n v="0.253691983122363"/>
        <n v="0.28991666933638"/>
        <n v="0.166784074622878"/>
        <n v="0.331137755364586"/>
        <n v="0.241751824817518"/>
        <n v="0.303205764493952"/>
        <n v="0.296221735489274"/>
        <n v="0.369667652064857"/>
        <n v="0.313488816148391"/>
        <n v="0.308765040527614"/>
        <n v="0.238010353584685"/>
        <n v="0.16783587028458"/>
        <n v="0.351208299307383"/>
        <n v="0.437233134073442"/>
        <n v="0.301111940281158"/>
        <n v="0.286652319044273"/>
        <n v="0.39947068568427"/>
        <n v="0.221867402859615"/>
        <n v="0.154513021147516"/>
        <n v="0.166266295591036"/>
        <n v="0.390868555694824"/>
        <n v="0.187393971029623"/>
        <n v="0.23865236305103"/>
        <n v="0.313891502038257"/>
        <n v="0.287818947149613"/>
        <n v="0.195121753542787"/>
        <n v="0.305959569440798"/>
        <n v="0.338035583632243"/>
        <n v="0.301997245179063"/>
        <n v="0.276250403355921"/>
        <n v="0.393281204749493"/>
        <n v="0.17972847465035"/>
        <n v="0.247746130729546"/>
        <n v="0.260022817797882"/>
        <n v="0.420150904242248"/>
        <n v="0.268743580965423"/>
        <n v="0.413713119317128"/>
        <n v="0.426391017878636"/>
        <n v="0.291806468930345"/>
        <n v="0.329127149975888"/>
        <n v="0.273356540474487"/>
        <n v="0.423235946441773"/>
        <n v="0.320710922474965"/>
        <n v="0.397568628447301"/>
        <n v="0.153872822939185"/>
        <n v="0.281656050955414"/>
        <n v="0.243776943401474"/>
        <n v="0.352373387330432"/>
        <n v="0.421578185935338"/>
        <n v="0.15723942828007"/>
        <n v="0.36412652767793"/>
        <n v="0.322856803138996"/>
        <n v="0.255040369088812"/>
        <n v="0.442591372407211"/>
        <n v="0.206938004465052"/>
        <n v="0.289026674297096"/>
        <n v="0.36652916912198"/>
        <n v="0.431527994816481"/>
        <n v="0.401249399327247"/>
        <n v="0.181492654662302"/>
        <n v="0.244198056533378"/>
        <n v="0.375090909090909"/>
        <n v="0.430314171122995"/>
        <n v="0.24281601353564"/>
        <n v="0.278227914270779"/>
        <n v="0.328667953667954"/>
        <n v="0.340934844192635"/>
        <n v="0.384968839125383"/>
        <n v="0.249122873203305"/>
        <n v="0.158811050131439"/>
        <n v="0.39728659373407"/>
        <n v="0.270868738366918"/>
        <n v="0.322739928652223"/>
        <n v="0.315984845585703"/>
        <n v="0.373751395720795"/>
        <n v="0.202460359025216"/>
        <n v="0.304417726827904"/>
        <n v="0.28697028902513"/>
        <n v="0.358566252587992"/>
        <n v="0.39548532731377"/>
        <n v="0.424235605890147"/>
        <n v="0.235763853741382"/>
        <n v="0.391137610569925"/>
        <n v="0.242979646148539"/>
        <n v="0.332887851693056"/>
        <n v="0.325245774613783"/>
        <n v="0.309243644601057"/>
        <n v="0.339693121084995"/>
        <n v="0.419812374357829"/>
        <n v="0.357115795535484"/>
        <n v="0.250937550953856"/>
        <n v="0.250279229772595"/>
        <n v="0.364133092484107"/>
        <n v="0.311959241506135"/>
        <n v="0.391967083491961"/>
        <n v="0.386886707644183"/>
        <n v="0.443089078254603"/>
        <n v="0.180940892641737"/>
        <n v="0.386788018247505"/>
        <n v="0.381741557953508"/>
        <n v="0.366121639860533"/>
        <n v="0.411779306065464"/>
        <n v="0.258221129961037"/>
        <n v="0.427454841067407"/>
        <n v="0.409711852220563"/>
        <n v="0.256568144499179"/>
        <n v="0.348101958210261"/>
        <n v="0.237546789519148"/>
        <n v="0.282771219786397"/>
        <n v="0.373191068758395"/>
        <n v="0.254752176230236"/>
        <n v="0.415106791456683"/>
        <n v="0.289075247810499"/>
        <n v="0.318865396069089"/>
        <n v="0.369637109219983"/>
        <n v="0.268798059267997"/>
        <n v="0.188593776377244"/>
        <n v="0.150342552651611"/>
        <n v="0.267667844522968"/>
        <n v="0.328586195015505"/>
        <n v="0.382449725776965"/>
        <n v="0.372871860313113"/>
        <n v="0.306161439261264"/>
        <n v="0.339836924868957"/>
        <n v="0.175852482848326"/>
        <n v="0.339505857946913"/>
        <n v="0.338081273565145"/>
        <n v="0.334945153346765"/>
        <n v="0.199028596376337"/>
        <n v="0.254762938310905"/>
        <n v="0.265756577226842"/>
        <n v="0.349777321000343"/>
        <n v="0.204637205587099"/>
        <n v="0.438494152046784"/>
        <n v="0.188750826633253"/>
        <n v="0.296181769292821"/>
        <n v="0.33052615690592"/>
        <n v="0.300848719475879"/>
        <n v="0.24975514201763"/>
        <n v="0.44617363877822"/>
        <n v="0.188509090909091"/>
        <n v="0.315978543796828"/>
        <n v="0.347112100034473"/>
        <n v="0.408526696687454"/>
        <n v="0.318160921050039"/>
        <n v="0.301104109441482"/>
        <n v="0.328901968743657"/>
        <n v="0.246403600417906"/>
        <n v="0.323711250435388"/>
        <n v="0.161583081829662"/>
        <n v="0.270230641198383"/>
        <n v="0.207758835880945"/>
        <n v="0.417188176960478"/>
        <n v="0.330814776419928"/>
        <n v="0.349012875536481"/>
        <n v="0.279151790855695"/>
        <n v="0.191670193257159"/>
        <n v="0.42650224683875"/>
        <n v="0.428235886251153"/>
        <n v="0.19491161665431"/>
        <n v="0.386136113152094"/>
        <n v="0.249374968368845"/>
        <n v="0.28713312793903"/>
        <n v="0.200130873848222"/>
        <n v="0.412470725995316"/>
        <n v="0.411066055431458"/>
        <n v="0.282956213616806"/>
        <n v="0.166081924636625"/>
        <n v="0.325500216817387"/>
        <n v="0.351915716072308"/>
        <n v="0.267985611510791"/>
        <n v="0.17086514434924"/>
        <n v="0.198925079323966"/>
        <n v="0.151349897290424"/>
        <n v="0.443244900044273"/>
        <n v="0.416143407941515"/>
        <n v="0.267157870017026"/>
        <n v="0.20384055536894"/>
        <n v="0.364427340703325"/>
        <n v="0.378236061553938"/>
        <n v="0.213897937024973"/>
        <n v="0.433080686942339"/>
        <n v="0.339189119571377"/>
        <n v="0.298267326732673"/>
        <n v="0.281905313263862"/>
        <n v="0.231415947099149"/>
        <n v="0.343542448743864"/>
        <n v="0.266181229773463"/>
        <n v="0.274382045713104"/>
        <n v="0.285714285714286"/>
        <n v="0.257855239388621"/>
        <n v="0.372166118870582"/>
        <n v="0.424599784570813"/>
        <n v="0.414230065236777"/>
        <n v="0.382629700400187"/>
        <n v="0.299939261418853"/>
        <n v="0.197861258865248"/>
        <n v="0.239622641509434"/>
        <n v="0.213298669664606"/>
        <n v="0.344698407877085"/>
        <n v="0.328579190437381"/>
        <n v="0.331926658905704"/>
        <n v="0.392442545668827"/>
        <n v="0.431635615559989"/>
        <n v="0.272724609375"/>
        <n v="0.153236040609137"/>
        <n v="0.399978190938335"/>
        <n v="0.435999441652708"/>
        <n v="0.216165520377423"/>
        <n v="0.374224823875425"/>
        <n v="0.201102578403192"/>
        <n v="0.238816263832722"/>
        <n v="0.166297256795197"/>
        <n v="0.327328851972949"/>
        <n v="0.251410183203744"/>
        <n v="0.310545746545629"/>
        <n v="0.260823056048149"/>
        <n v="0.315173674588665"/>
        <n v="0.393426512338939"/>
        <n v="0.297628589749462"/>
        <n v="0.291433407108449"/>
        <n v="0.20682049884424"/>
        <n v="0.22934447392957"/>
        <n v="0.250861597464301"/>
        <n v="0.415981944493423"/>
        <n v="0.23381710569832"/>
        <n v="0.299892761394102"/>
        <n v="0.181771604235455"/>
        <n v="0.174035158305221"/>
        <n v="0.433453427622627"/>
        <n v="0.203804682307181"/>
        <n v="0.438735177865613"/>
        <n v="0.339849274463839"/>
        <n v="0.287303349097577"/>
        <n v="0.405570652173913"/>
        <n v="0.226103219936309"/>
        <n v="0.447493305311684"/>
        <n v="0.3994163125288"/>
        <n v="0.275732531930879"/>
        <n v="0.235686324030812"/>
        <n v="0.175004189297085"/>
        <n v="0.238351823510361"/>
        <n v="0.248466285465733"/>
        <n v="0.331704187921923"/>
        <n v="0.449599769927623"/>
        <n v="0.413947208674356"/>
        <n v="0.289632625921206"/>
        <n v="0.24746203382953"/>
        <n v="0.324764288738925"/>
        <n v="0.230792016884511"/>
        <n v="0.293423271500843"/>
        <n v="0.427748518762344"/>
        <n v="0.392394775036285"/>
        <n v="0.198001661001567"/>
        <n v="0.232549423779631"/>
        <n v="0.181556052696992"/>
        <n v="0.414733868569729"/>
        <n v="0.152949203001923"/>
        <n v="0.387178431277554"/>
        <n v="0.446474019685128"/>
        <n v="0.150771541387079"/>
        <n v="0.365688066549782"/>
        <n v="0.249594353723553"/>
        <n v="0.396996477409056"/>
        <n v="0.275922550469443"/>
        <n v="0.178781129783357"/>
        <n v="0.353944511676932"/>
        <n v="0.248888888888889"/>
        <n v="0.393624227933851"/>
        <n v="0.262553635625652"/>
        <n v="0.349065271936955"/>
        <n v="0.386637636304747"/>
        <n v="0.356045760016416"/>
        <n v="0.39634588391356"/>
        <n v="0.179415812815415"/>
        <n v="0.330868110582849"/>
        <n v="0.376411389297987"/>
        <n v="0.315474821798115"/>
        <n v="0.353843121797399"/>
        <n v="0.226675119001624"/>
        <n v="0.158624659828344"/>
        <n v="0.318590132907727"/>
        <n v="0.191749919432807"/>
        <n v="0.280241214594489"/>
        <n v="0.402830188679245"/>
        <n v="0.242803557129009"/>
        <n v="0.295968400980659"/>
        <n v="0.254818493555634"/>
        <n v="0.183086991363191"/>
        <n v="0.317870952200133"/>
        <n v="0.179645491592299"/>
        <n v="0.224789169995561"/>
        <n v="0.303161810291383"/>
        <n v="0.269028825758893"/>
        <n v="0.352327073846682"/>
        <n v="0.15492047312122"/>
        <n v="0.249796066346415"/>
        <n v="0.436847209096917"/>
        <n v="0.351994276515829"/>
        <n v="0.263029050157763"/>
        <n v="0.433186813186813"/>
        <n v="0.442809762734926"/>
        <n v="0.314993685791324"/>
        <n v="0.350073855243722"/>
        <n v="0.318564920273349"/>
        <n v="0.371186753095143"/>
        <n v="0.400585710173585"/>
        <n v="0.243293991416309"/>
        <n v="0.295622941822173"/>
        <n v="0.389936162223057"/>
        <n v="0.354119877497448"/>
        <n v="0.272457067371202"/>
        <n v="0.428326390590542"/>
        <n v="0.405781312416022"/>
        <n v="0.427956147220047"/>
        <n v="0.206305506216696"/>
        <n v="0.224333662388944"/>
        <n v="0.223997280761387"/>
        <n v="0.235103465469958"/>
        <n v="0.249172609096182"/>
        <n v="0.306903497527925"/>
        <n v="0.257335077555597"/>
        <n v="0.438479425740572"/>
        <n v="0.263561775637058"/>
        <n v="0.216631504922644"/>
        <n v="0.299892717247574"/>
        <n v="0.342765706585818"/>
        <n v="0.36676895774023"/>
        <n v="0.257153015587867"/>
        <n v="0.242161567409133"/>
        <n v="0.188712194396968"/>
        <n v="0.347287538868758"/>
        <n v="0.219076950948865"/>
        <n v="0.281593051788712"/>
        <n v="0.185149813449466"/>
        <n v="0.291655949931413"/>
        <n v="0.294709038996308"/>
        <n v="0.276617876513857"/>
        <n v="0.225219058050383"/>
        <n v="0.160593875913194"/>
        <n v="0.427931502600275"/>
        <n v="0.433961515572307"/>
        <n v="0.168734732400622"/>
        <n v="0.291037636980228"/>
        <n v="0.265514731478844"/>
        <n v="0.30529262086514"/>
        <n v="0.421888687729954"/>
        <n v="0.219571850632053"/>
        <n v="0.22580058224163"/>
        <n v="0.356495406461645"/>
        <n v="0.358133328176069"/>
        <n v="0.198649089221972"/>
        <n v="0.428286852589641"/>
        <n v="0.185662547933532"/>
        <n v="0.372993630573248"/>
        <n v="0.272012578616352"/>
        <n v="0.169133858267717"/>
        <n v="0.246561942574371"/>
        <n v="0.325664752020876"/>
        <n v="0.243141203905773"/>
        <n v="0.346903792586244"/>
        <n v="0.366810183451891"/>
        <n v="0.150995201038127"/>
        <n v="0.224762188424952"/>
        <n v="0.256571764508272"/>
        <n v="0.34341090891515"/>
        <n v="0.435252380182425"/>
        <n v="0.440684642102625"/>
        <n v="0.283744728538146"/>
        <n v="0.221394318319777"/>
        <n v="0.288786115050654"/>
        <n v="0.197764365732461"/>
        <n v="0.439969256933543"/>
        <n v="0.339964699949571"/>
        <n v="0.378872385571385"/>
        <n v="0.315818564347609"/>
        <n v="0.428289040193279"/>
        <n v="0.163757932910245"/>
        <n v="0.383024222953663"/>
        <n v="0.173314606741573"/>
        <n v="0.322231521833242"/>
        <n v="0.154349838560365"/>
        <n v="0.283784112369204"/>
        <n v="0.170749267475931"/>
        <n v="0.448401613904407"/>
        <n v="0.22552522509647"/>
        <n v="0.179084870116994"/>
        <n v="0.408083419510514"/>
        <n v="0.421154955455381"/>
        <n v="0.322626262626263"/>
        <n v="0.169905679933665"/>
        <n v="0.28728567660248"/>
        <n v="0.291792235419252"/>
        <n v="0.407680845299377"/>
        <n v="0.449766364503434"/>
        <n v="0.206941518707995"/>
        <n v="0.423733416091241"/>
        <n v="0.259847918224882"/>
        <n v="0.175614148056551"/>
        <n v="0.387404880019754"/>
        <n v="0.250426475605595"/>
        <n v="0.426441996111471"/>
        <n v="0.268871795989221"/>
        <n v="0.400830889540567"/>
        <n v="0.229213730784065"/>
        <n v="0.359636685866194"/>
        <n v="0.310980610872347"/>
        <n v="0.270178049621577"/>
        <n v="0.398621319532032"/>
        <n v="0.227511054958939"/>
        <n v="0.359182995682498"/>
        <n v="0.251286343066146"/>
        <n v="0.402516378796903"/>
        <n v="0.243538714642042"/>
        <n v="0.411543060946187"/>
        <n v="0.322389082395934"/>
        <n v="0.375853299424441"/>
        <n v="0.225483379995866"/>
        <n v="0.371390560275754"/>
        <n v="0.185495077314254"/>
        <n v="0.18249694002448"/>
        <n v="0.391066518878924"/>
        <n v="0.265849745769625"/>
        <n v="0.423688359463957"/>
        <n v="0.33250762195122"/>
        <n v="0.23598973957654"/>
        <n v="0.252173968890088"/>
        <n v="0.262593091471764"/>
        <n v="0.365239673180319"/>
        <n v="0.336591989137814"/>
        <n v="0.419114730579349"/>
        <n v="0.234294232603432"/>
        <n v="0.298844869596607"/>
        <n v="0.237371134020619"/>
        <n v="0.375330040692076"/>
        <n v="0.35265351486524"/>
        <n v="0.349765458422175"/>
        <n v="0.442263138641629"/>
        <n v="0.347685134307738"/>
        <n v="0.209009871239859"/>
        <n v="0.180810559934551"/>
        <n v="0.294532693940756"/>
        <n v="0.313341428646851"/>
        <n v="0.440744295946245"/>
        <n v="0.186239814307782"/>
        <n v="0.446098222356131"/>
        <n v="0.166570101235686"/>
        <n v="0.303267973856209"/>
        <n v="0.347392191142191"/>
        <n v="0.172735888248429"/>
        <n v="0.442682956903446"/>
        <n v="0.275574413678128"/>
        <n v="0.285320454094492"/>
        <n v="0.384179977934475"/>
        <n v="0.321397632110887"/>
        <n v="0.254320890994148"/>
        <n v="0.231864304104195"/>
        <n v="0.449776397182872"/>
        <n v="0.168851195065536"/>
        <n v="0.400643497989069"/>
        <n v="0.379931591673055"/>
        <n v="0.370770676691729"/>
        <n v="0.438653315768024"/>
        <n v="0.413084631254393"/>
        <n v="0.154110400379057"/>
        <n v="0.355477400026052"/>
        <n v="0.415418666819972"/>
        <n v="0.417903414521825"/>
        <n v="0.234152198929304"/>
        <n v="0.193631463972865"/>
        <n v="0.372903712078387"/>
        <n v="0.443726002335071"/>
        <n v="0.383070988088869"/>
        <n v="0.433036848792884"/>
        <n v="0.418989247311828"/>
        <n v="0.320554959121315"/>
        <n v="0.381048039947196"/>
        <n v="0.295217072826233"/>
        <n v="0.373927875243665"/>
        <n v="0.167921250723799"/>
        <n v="0.178216320511897"/>
        <n v="0.279939028431308"/>
        <n v="0.34367041951481"/>
        <n v="0.335651132205685"/>
        <n v="0.326450605491786"/>
        <n v="0.231724975031181"/>
        <n v="0.314509437875959"/>
        <n v="0.193022202084277"/>
        <n v="0.166772195115895"/>
        <n v="0.349218132035291"/>
        <n v="0.281791527551086"/>
        <n v="0.421482816619482"/>
        <n v="0.389862772829785"/>
        <n v="0.325961538461539"/>
        <n v="0.388131348267706"/>
        <n v="0.187018585258992"/>
        <n v="0.402544466403162"/>
        <n v="0.313310213855173"/>
        <n v="0.268331477652298"/>
        <n v="0.242443525294305"/>
        <n v="0.335076017066282"/>
        <n v="0.189267446645893"/>
        <n v="0.279501716983832"/>
        <n v="0.318147646210068"/>
        <n v="0.429833789185777"/>
        <n v="0.310737527114967"/>
        <n v="0.20377541142304"/>
        <n v="0.26563795296918"/>
        <n v="0.200349674035413"/>
        <n v="0.301796825442079"/>
        <n v="0.414458927932906"/>
        <n v="0.445912469033856"/>
        <n v="0.359042617555238"/>
        <n v="0.240604174833399"/>
        <n v="0.212902390051169"/>
        <n v="0.361263039188046"/>
        <n v="0.301297943707161"/>
        <n v="0.323663375621257"/>
        <n v="0.326849395814913"/>
        <n v="0.380594662991378"/>
        <n v="0.409090340418611"/>
        <n v="0.391003039513678"/>
        <n v="0.433384694401644"/>
        <n v="0.390561436075674"/>
        <n v="0.447219553847796"/>
        <n v="0.261824760920134"/>
        <n v="0.355086396092857"/>
        <n v="0.158077326881819"/>
        <n v="0.391879964695499"/>
        <n v="0.346257051379784"/>
        <n v="0.342651418890301"/>
        <n v="0.447465213382099"/>
        <n v="0.19824196160074"/>
        <n v="0.440377608479629"/>
        <n v="0.167941585535466"/>
        <n v="0.182374694440382"/>
        <n v="0.289341820151679"/>
        <n v="0.286921358901433"/>
        <n v="0.253850102669405"/>
        <n v="0.333976833976834"/>
        <n v="0.255833884277284"/>
        <n v="0.436527436527437"/>
        <n v="0.433770014556041"/>
        <n v="0.312828112256034"/>
        <n v="0.285117302052786"/>
        <n v="0.183788878416588"/>
        <n v="0.4186023686449"/>
        <n v="0.203215277636994"/>
        <n v="0.386978419665788"/>
        <n v="0.331771471944882"/>
        <n v="0.355019704762541"/>
        <n v="0.329951401161323"/>
        <n v="0.404859659599881"/>
        <n v="0.298795180722892"/>
      </sharedItems>
    </cacheField>
    <cacheField name="Category_manager" numFmtId="0">
      <sharedItems count="5">
        <s v="Sneha"/>
        <s v="Vikram"/>
        <s v="Rahul"/>
        <s v="Priya"/>
        <s v="Amit"/>
      </sharedItems>
    </cacheField>
    <cacheField name="Margin_Status" numFmtId="0">
      <sharedItems count="2">
        <s v="Not Achieved"/>
        <s v="Achive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0"/>
    <x v="1"/>
    <x v="0"/>
    <x v="1"/>
    <x v="1"/>
    <x v="1"/>
    <x v="1"/>
    <x v="1"/>
    <x v="1"/>
    <x v="1"/>
    <x v="0"/>
    <x v="0"/>
    <x v="0"/>
    <x v="1"/>
    <x v="0"/>
    <x v="1"/>
    <x v="1"/>
    <x v="1"/>
    <x v="1"/>
  </r>
  <r>
    <x v="2"/>
    <x v="2"/>
    <x v="1"/>
    <x v="2"/>
    <x v="2"/>
    <x v="1"/>
    <x v="1"/>
    <x v="0"/>
    <x v="2"/>
    <x v="1"/>
    <x v="2"/>
    <x v="0"/>
    <x v="2"/>
    <x v="2"/>
    <x v="2"/>
    <x v="2"/>
    <x v="0"/>
    <x v="0"/>
    <x v="0"/>
    <x v="0"/>
    <x v="1"/>
    <x v="0"/>
    <x v="2"/>
    <x v="2"/>
    <x v="2"/>
    <x v="1"/>
  </r>
  <r>
    <x v="3"/>
    <x v="3"/>
    <x v="1"/>
    <x v="1"/>
    <x v="1"/>
    <x v="2"/>
    <x v="2"/>
    <x v="1"/>
    <x v="1"/>
    <x v="2"/>
    <x v="3"/>
    <x v="1"/>
    <x v="3"/>
    <x v="3"/>
    <x v="3"/>
    <x v="3"/>
    <x v="2"/>
    <x v="0"/>
    <x v="0"/>
    <x v="0"/>
    <x v="0"/>
    <x v="0"/>
    <x v="1"/>
    <x v="3"/>
    <x v="1"/>
    <x v="1"/>
  </r>
  <r>
    <x v="4"/>
    <x v="4"/>
    <x v="0"/>
    <x v="1"/>
    <x v="1"/>
    <x v="3"/>
    <x v="3"/>
    <x v="0"/>
    <x v="1"/>
    <x v="1"/>
    <x v="4"/>
    <x v="2"/>
    <x v="4"/>
    <x v="4"/>
    <x v="4"/>
    <x v="4"/>
    <x v="3"/>
    <x v="0"/>
    <x v="0"/>
    <x v="0"/>
    <x v="0"/>
    <x v="1"/>
    <x v="1"/>
    <x v="4"/>
    <x v="1"/>
    <x v="1"/>
  </r>
  <r>
    <x v="5"/>
    <x v="5"/>
    <x v="2"/>
    <x v="3"/>
    <x v="3"/>
    <x v="1"/>
    <x v="1"/>
    <x v="0"/>
    <x v="3"/>
    <x v="3"/>
    <x v="5"/>
    <x v="3"/>
    <x v="5"/>
    <x v="5"/>
    <x v="5"/>
    <x v="2"/>
    <x v="4"/>
    <x v="0"/>
    <x v="1"/>
    <x v="1"/>
    <x v="1"/>
    <x v="0"/>
    <x v="3"/>
    <x v="5"/>
    <x v="3"/>
    <x v="1"/>
  </r>
  <r>
    <x v="6"/>
    <x v="6"/>
    <x v="0"/>
    <x v="2"/>
    <x v="2"/>
    <x v="4"/>
    <x v="1"/>
    <x v="0"/>
    <x v="0"/>
    <x v="3"/>
    <x v="6"/>
    <x v="4"/>
    <x v="6"/>
    <x v="6"/>
    <x v="6"/>
    <x v="5"/>
    <x v="0"/>
    <x v="0"/>
    <x v="0"/>
    <x v="0"/>
    <x v="1"/>
    <x v="1"/>
    <x v="2"/>
    <x v="6"/>
    <x v="2"/>
    <x v="1"/>
  </r>
  <r>
    <x v="7"/>
    <x v="7"/>
    <x v="1"/>
    <x v="2"/>
    <x v="4"/>
    <x v="5"/>
    <x v="4"/>
    <x v="2"/>
    <x v="2"/>
    <x v="4"/>
    <x v="7"/>
    <x v="0"/>
    <x v="7"/>
    <x v="7"/>
    <x v="7"/>
    <x v="6"/>
    <x v="5"/>
    <x v="0"/>
    <x v="0"/>
    <x v="0"/>
    <x v="0"/>
    <x v="0"/>
    <x v="2"/>
    <x v="7"/>
    <x v="2"/>
    <x v="1"/>
  </r>
  <r>
    <x v="8"/>
    <x v="8"/>
    <x v="1"/>
    <x v="2"/>
    <x v="2"/>
    <x v="2"/>
    <x v="2"/>
    <x v="1"/>
    <x v="3"/>
    <x v="5"/>
    <x v="8"/>
    <x v="0"/>
    <x v="8"/>
    <x v="8"/>
    <x v="8"/>
    <x v="7"/>
    <x v="0"/>
    <x v="0"/>
    <x v="0"/>
    <x v="0"/>
    <x v="1"/>
    <x v="0"/>
    <x v="2"/>
    <x v="8"/>
    <x v="2"/>
    <x v="1"/>
  </r>
  <r>
    <x v="9"/>
    <x v="9"/>
    <x v="2"/>
    <x v="1"/>
    <x v="5"/>
    <x v="6"/>
    <x v="5"/>
    <x v="3"/>
    <x v="3"/>
    <x v="1"/>
    <x v="9"/>
    <x v="0"/>
    <x v="9"/>
    <x v="9"/>
    <x v="9"/>
    <x v="5"/>
    <x v="6"/>
    <x v="0"/>
    <x v="0"/>
    <x v="1"/>
    <x v="1"/>
    <x v="0"/>
    <x v="1"/>
    <x v="9"/>
    <x v="1"/>
    <x v="1"/>
  </r>
  <r>
    <x v="10"/>
    <x v="10"/>
    <x v="1"/>
    <x v="0"/>
    <x v="6"/>
    <x v="7"/>
    <x v="6"/>
    <x v="2"/>
    <x v="3"/>
    <x v="1"/>
    <x v="10"/>
    <x v="1"/>
    <x v="10"/>
    <x v="10"/>
    <x v="10"/>
    <x v="8"/>
    <x v="1"/>
    <x v="0"/>
    <x v="0"/>
    <x v="0"/>
    <x v="1"/>
    <x v="0"/>
    <x v="0"/>
    <x v="10"/>
    <x v="0"/>
    <x v="1"/>
  </r>
  <r>
    <x v="11"/>
    <x v="11"/>
    <x v="2"/>
    <x v="2"/>
    <x v="4"/>
    <x v="2"/>
    <x v="2"/>
    <x v="1"/>
    <x v="1"/>
    <x v="6"/>
    <x v="11"/>
    <x v="3"/>
    <x v="11"/>
    <x v="11"/>
    <x v="11"/>
    <x v="0"/>
    <x v="2"/>
    <x v="0"/>
    <x v="0"/>
    <x v="0"/>
    <x v="0"/>
    <x v="0"/>
    <x v="2"/>
    <x v="11"/>
    <x v="2"/>
    <x v="1"/>
  </r>
  <r>
    <x v="12"/>
    <x v="12"/>
    <x v="0"/>
    <x v="1"/>
    <x v="1"/>
    <x v="2"/>
    <x v="2"/>
    <x v="1"/>
    <x v="0"/>
    <x v="3"/>
    <x v="12"/>
    <x v="1"/>
    <x v="12"/>
    <x v="12"/>
    <x v="12"/>
    <x v="9"/>
    <x v="0"/>
    <x v="0"/>
    <x v="1"/>
    <x v="1"/>
    <x v="1"/>
    <x v="0"/>
    <x v="1"/>
    <x v="12"/>
    <x v="1"/>
    <x v="1"/>
  </r>
  <r>
    <x v="13"/>
    <x v="13"/>
    <x v="2"/>
    <x v="3"/>
    <x v="7"/>
    <x v="0"/>
    <x v="0"/>
    <x v="0"/>
    <x v="0"/>
    <x v="6"/>
    <x v="13"/>
    <x v="0"/>
    <x v="13"/>
    <x v="13"/>
    <x v="13"/>
    <x v="10"/>
    <x v="3"/>
    <x v="0"/>
    <x v="0"/>
    <x v="0"/>
    <x v="0"/>
    <x v="0"/>
    <x v="3"/>
    <x v="13"/>
    <x v="3"/>
    <x v="1"/>
  </r>
  <r>
    <x v="14"/>
    <x v="14"/>
    <x v="0"/>
    <x v="0"/>
    <x v="6"/>
    <x v="8"/>
    <x v="7"/>
    <x v="2"/>
    <x v="2"/>
    <x v="6"/>
    <x v="14"/>
    <x v="3"/>
    <x v="14"/>
    <x v="14"/>
    <x v="14"/>
    <x v="11"/>
    <x v="7"/>
    <x v="0"/>
    <x v="0"/>
    <x v="0"/>
    <x v="1"/>
    <x v="0"/>
    <x v="0"/>
    <x v="14"/>
    <x v="0"/>
    <x v="1"/>
  </r>
  <r>
    <x v="15"/>
    <x v="15"/>
    <x v="2"/>
    <x v="3"/>
    <x v="3"/>
    <x v="3"/>
    <x v="3"/>
    <x v="0"/>
    <x v="0"/>
    <x v="1"/>
    <x v="15"/>
    <x v="2"/>
    <x v="15"/>
    <x v="15"/>
    <x v="15"/>
    <x v="0"/>
    <x v="4"/>
    <x v="0"/>
    <x v="1"/>
    <x v="1"/>
    <x v="0"/>
    <x v="1"/>
    <x v="3"/>
    <x v="15"/>
    <x v="3"/>
    <x v="1"/>
  </r>
  <r>
    <x v="16"/>
    <x v="16"/>
    <x v="1"/>
    <x v="0"/>
    <x v="6"/>
    <x v="8"/>
    <x v="7"/>
    <x v="2"/>
    <x v="0"/>
    <x v="2"/>
    <x v="16"/>
    <x v="1"/>
    <x v="16"/>
    <x v="16"/>
    <x v="16"/>
    <x v="12"/>
    <x v="8"/>
    <x v="0"/>
    <x v="0"/>
    <x v="0"/>
    <x v="1"/>
    <x v="0"/>
    <x v="0"/>
    <x v="16"/>
    <x v="0"/>
    <x v="0"/>
  </r>
  <r>
    <x v="17"/>
    <x v="17"/>
    <x v="2"/>
    <x v="1"/>
    <x v="5"/>
    <x v="4"/>
    <x v="1"/>
    <x v="0"/>
    <x v="3"/>
    <x v="5"/>
    <x v="17"/>
    <x v="1"/>
    <x v="17"/>
    <x v="17"/>
    <x v="17"/>
    <x v="2"/>
    <x v="9"/>
    <x v="0"/>
    <x v="0"/>
    <x v="1"/>
    <x v="1"/>
    <x v="0"/>
    <x v="1"/>
    <x v="17"/>
    <x v="1"/>
    <x v="1"/>
  </r>
  <r>
    <x v="18"/>
    <x v="18"/>
    <x v="1"/>
    <x v="4"/>
    <x v="8"/>
    <x v="6"/>
    <x v="5"/>
    <x v="3"/>
    <x v="3"/>
    <x v="5"/>
    <x v="18"/>
    <x v="3"/>
    <x v="18"/>
    <x v="18"/>
    <x v="18"/>
    <x v="6"/>
    <x v="2"/>
    <x v="0"/>
    <x v="1"/>
    <x v="1"/>
    <x v="0"/>
    <x v="0"/>
    <x v="4"/>
    <x v="18"/>
    <x v="4"/>
    <x v="1"/>
  </r>
  <r>
    <x v="19"/>
    <x v="19"/>
    <x v="1"/>
    <x v="0"/>
    <x v="6"/>
    <x v="0"/>
    <x v="0"/>
    <x v="0"/>
    <x v="1"/>
    <x v="3"/>
    <x v="19"/>
    <x v="2"/>
    <x v="19"/>
    <x v="19"/>
    <x v="19"/>
    <x v="12"/>
    <x v="4"/>
    <x v="0"/>
    <x v="0"/>
    <x v="0"/>
    <x v="1"/>
    <x v="1"/>
    <x v="0"/>
    <x v="19"/>
    <x v="0"/>
    <x v="0"/>
  </r>
  <r>
    <x v="20"/>
    <x v="20"/>
    <x v="1"/>
    <x v="3"/>
    <x v="9"/>
    <x v="6"/>
    <x v="5"/>
    <x v="3"/>
    <x v="3"/>
    <x v="4"/>
    <x v="20"/>
    <x v="0"/>
    <x v="20"/>
    <x v="20"/>
    <x v="20"/>
    <x v="13"/>
    <x v="0"/>
    <x v="0"/>
    <x v="1"/>
    <x v="1"/>
    <x v="1"/>
    <x v="0"/>
    <x v="3"/>
    <x v="20"/>
    <x v="3"/>
    <x v="1"/>
  </r>
  <r>
    <x v="21"/>
    <x v="21"/>
    <x v="1"/>
    <x v="1"/>
    <x v="10"/>
    <x v="4"/>
    <x v="1"/>
    <x v="0"/>
    <x v="3"/>
    <x v="3"/>
    <x v="21"/>
    <x v="3"/>
    <x v="21"/>
    <x v="21"/>
    <x v="21"/>
    <x v="9"/>
    <x v="4"/>
    <x v="0"/>
    <x v="1"/>
    <x v="1"/>
    <x v="1"/>
    <x v="0"/>
    <x v="1"/>
    <x v="21"/>
    <x v="1"/>
    <x v="1"/>
  </r>
  <r>
    <x v="22"/>
    <x v="22"/>
    <x v="0"/>
    <x v="0"/>
    <x v="6"/>
    <x v="8"/>
    <x v="7"/>
    <x v="2"/>
    <x v="3"/>
    <x v="2"/>
    <x v="22"/>
    <x v="0"/>
    <x v="22"/>
    <x v="22"/>
    <x v="22"/>
    <x v="14"/>
    <x v="9"/>
    <x v="0"/>
    <x v="0"/>
    <x v="0"/>
    <x v="1"/>
    <x v="0"/>
    <x v="0"/>
    <x v="22"/>
    <x v="0"/>
    <x v="1"/>
  </r>
  <r>
    <x v="23"/>
    <x v="23"/>
    <x v="0"/>
    <x v="4"/>
    <x v="11"/>
    <x v="2"/>
    <x v="2"/>
    <x v="1"/>
    <x v="3"/>
    <x v="2"/>
    <x v="23"/>
    <x v="1"/>
    <x v="23"/>
    <x v="23"/>
    <x v="23"/>
    <x v="5"/>
    <x v="10"/>
    <x v="0"/>
    <x v="1"/>
    <x v="1"/>
    <x v="1"/>
    <x v="0"/>
    <x v="4"/>
    <x v="23"/>
    <x v="4"/>
    <x v="1"/>
  </r>
  <r>
    <x v="24"/>
    <x v="16"/>
    <x v="0"/>
    <x v="4"/>
    <x v="11"/>
    <x v="1"/>
    <x v="1"/>
    <x v="0"/>
    <x v="1"/>
    <x v="5"/>
    <x v="24"/>
    <x v="4"/>
    <x v="24"/>
    <x v="24"/>
    <x v="24"/>
    <x v="15"/>
    <x v="8"/>
    <x v="0"/>
    <x v="1"/>
    <x v="1"/>
    <x v="0"/>
    <x v="1"/>
    <x v="4"/>
    <x v="24"/>
    <x v="4"/>
    <x v="1"/>
  </r>
  <r>
    <x v="25"/>
    <x v="24"/>
    <x v="0"/>
    <x v="2"/>
    <x v="4"/>
    <x v="1"/>
    <x v="1"/>
    <x v="0"/>
    <x v="3"/>
    <x v="0"/>
    <x v="25"/>
    <x v="0"/>
    <x v="25"/>
    <x v="25"/>
    <x v="25"/>
    <x v="11"/>
    <x v="2"/>
    <x v="0"/>
    <x v="0"/>
    <x v="0"/>
    <x v="1"/>
    <x v="0"/>
    <x v="2"/>
    <x v="25"/>
    <x v="2"/>
    <x v="1"/>
  </r>
  <r>
    <x v="26"/>
    <x v="25"/>
    <x v="2"/>
    <x v="2"/>
    <x v="12"/>
    <x v="9"/>
    <x v="8"/>
    <x v="2"/>
    <x v="2"/>
    <x v="6"/>
    <x v="26"/>
    <x v="3"/>
    <x v="26"/>
    <x v="26"/>
    <x v="26"/>
    <x v="11"/>
    <x v="11"/>
    <x v="0"/>
    <x v="0"/>
    <x v="0"/>
    <x v="1"/>
    <x v="0"/>
    <x v="2"/>
    <x v="26"/>
    <x v="2"/>
    <x v="1"/>
  </r>
  <r>
    <x v="27"/>
    <x v="26"/>
    <x v="0"/>
    <x v="3"/>
    <x v="3"/>
    <x v="7"/>
    <x v="6"/>
    <x v="2"/>
    <x v="2"/>
    <x v="6"/>
    <x v="27"/>
    <x v="0"/>
    <x v="27"/>
    <x v="27"/>
    <x v="27"/>
    <x v="12"/>
    <x v="2"/>
    <x v="0"/>
    <x v="0"/>
    <x v="0"/>
    <x v="1"/>
    <x v="0"/>
    <x v="3"/>
    <x v="27"/>
    <x v="3"/>
    <x v="1"/>
  </r>
  <r>
    <x v="28"/>
    <x v="27"/>
    <x v="2"/>
    <x v="0"/>
    <x v="13"/>
    <x v="3"/>
    <x v="3"/>
    <x v="0"/>
    <x v="2"/>
    <x v="5"/>
    <x v="28"/>
    <x v="1"/>
    <x v="28"/>
    <x v="28"/>
    <x v="28"/>
    <x v="16"/>
    <x v="3"/>
    <x v="0"/>
    <x v="0"/>
    <x v="0"/>
    <x v="0"/>
    <x v="0"/>
    <x v="0"/>
    <x v="28"/>
    <x v="0"/>
    <x v="0"/>
  </r>
  <r>
    <x v="29"/>
    <x v="28"/>
    <x v="0"/>
    <x v="0"/>
    <x v="6"/>
    <x v="4"/>
    <x v="1"/>
    <x v="0"/>
    <x v="2"/>
    <x v="3"/>
    <x v="29"/>
    <x v="4"/>
    <x v="29"/>
    <x v="29"/>
    <x v="29"/>
    <x v="4"/>
    <x v="5"/>
    <x v="0"/>
    <x v="0"/>
    <x v="0"/>
    <x v="0"/>
    <x v="1"/>
    <x v="0"/>
    <x v="29"/>
    <x v="0"/>
    <x v="1"/>
  </r>
  <r>
    <x v="30"/>
    <x v="29"/>
    <x v="0"/>
    <x v="2"/>
    <x v="12"/>
    <x v="7"/>
    <x v="6"/>
    <x v="2"/>
    <x v="3"/>
    <x v="2"/>
    <x v="30"/>
    <x v="1"/>
    <x v="30"/>
    <x v="30"/>
    <x v="30"/>
    <x v="17"/>
    <x v="6"/>
    <x v="0"/>
    <x v="0"/>
    <x v="0"/>
    <x v="1"/>
    <x v="0"/>
    <x v="2"/>
    <x v="30"/>
    <x v="2"/>
    <x v="1"/>
  </r>
  <r>
    <x v="31"/>
    <x v="23"/>
    <x v="1"/>
    <x v="0"/>
    <x v="0"/>
    <x v="3"/>
    <x v="3"/>
    <x v="0"/>
    <x v="2"/>
    <x v="3"/>
    <x v="31"/>
    <x v="0"/>
    <x v="31"/>
    <x v="31"/>
    <x v="31"/>
    <x v="18"/>
    <x v="10"/>
    <x v="0"/>
    <x v="0"/>
    <x v="0"/>
    <x v="1"/>
    <x v="0"/>
    <x v="0"/>
    <x v="31"/>
    <x v="0"/>
    <x v="1"/>
  </r>
  <r>
    <x v="32"/>
    <x v="30"/>
    <x v="1"/>
    <x v="0"/>
    <x v="6"/>
    <x v="7"/>
    <x v="6"/>
    <x v="2"/>
    <x v="3"/>
    <x v="4"/>
    <x v="32"/>
    <x v="1"/>
    <x v="32"/>
    <x v="32"/>
    <x v="32"/>
    <x v="19"/>
    <x v="1"/>
    <x v="0"/>
    <x v="0"/>
    <x v="0"/>
    <x v="0"/>
    <x v="0"/>
    <x v="0"/>
    <x v="32"/>
    <x v="0"/>
    <x v="1"/>
  </r>
  <r>
    <x v="33"/>
    <x v="31"/>
    <x v="1"/>
    <x v="4"/>
    <x v="11"/>
    <x v="8"/>
    <x v="7"/>
    <x v="2"/>
    <x v="1"/>
    <x v="0"/>
    <x v="33"/>
    <x v="0"/>
    <x v="33"/>
    <x v="33"/>
    <x v="33"/>
    <x v="8"/>
    <x v="8"/>
    <x v="0"/>
    <x v="1"/>
    <x v="1"/>
    <x v="1"/>
    <x v="0"/>
    <x v="4"/>
    <x v="33"/>
    <x v="4"/>
    <x v="1"/>
  </r>
  <r>
    <x v="34"/>
    <x v="32"/>
    <x v="1"/>
    <x v="2"/>
    <x v="4"/>
    <x v="3"/>
    <x v="3"/>
    <x v="0"/>
    <x v="2"/>
    <x v="5"/>
    <x v="34"/>
    <x v="2"/>
    <x v="34"/>
    <x v="34"/>
    <x v="34"/>
    <x v="3"/>
    <x v="0"/>
    <x v="0"/>
    <x v="0"/>
    <x v="0"/>
    <x v="0"/>
    <x v="1"/>
    <x v="2"/>
    <x v="34"/>
    <x v="2"/>
    <x v="1"/>
  </r>
  <r>
    <x v="35"/>
    <x v="33"/>
    <x v="1"/>
    <x v="1"/>
    <x v="10"/>
    <x v="8"/>
    <x v="7"/>
    <x v="2"/>
    <x v="0"/>
    <x v="6"/>
    <x v="35"/>
    <x v="0"/>
    <x v="35"/>
    <x v="35"/>
    <x v="35"/>
    <x v="6"/>
    <x v="9"/>
    <x v="0"/>
    <x v="0"/>
    <x v="0"/>
    <x v="0"/>
    <x v="0"/>
    <x v="1"/>
    <x v="35"/>
    <x v="1"/>
    <x v="1"/>
  </r>
  <r>
    <x v="36"/>
    <x v="34"/>
    <x v="0"/>
    <x v="2"/>
    <x v="14"/>
    <x v="2"/>
    <x v="2"/>
    <x v="1"/>
    <x v="2"/>
    <x v="1"/>
    <x v="36"/>
    <x v="0"/>
    <x v="36"/>
    <x v="36"/>
    <x v="36"/>
    <x v="20"/>
    <x v="2"/>
    <x v="0"/>
    <x v="0"/>
    <x v="0"/>
    <x v="0"/>
    <x v="0"/>
    <x v="2"/>
    <x v="36"/>
    <x v="2"/>
    <x v="1"/>
  </r>
  <r>
    <x v="37"/>
    <x v="35"/>
    <x v="2"/>
    <x v="1"/>
    <x v="15"/>
    <x v="0"/>
    <x v="0"/>
    <x v="0"/>
    <x v="2"/>
    <x v="3"/>
    <x v="37"/>
    <x v="2"/>
    <x v="37"/>
    <x v="37"/>
    <x v="37"/>
    <x v="17"/>
    <x v="6"/>
    <x v="0"/>
    <x v="0"/>
    <x v="0"/>
    <x v="1"/>
    <x v="1"/>
    <x v="1"/>
    <x v="37"/>
    <x v="1"/>
    <x v="1"/>
  </r>
  <r>
    <x v="38"/>
    <x v="36"/>
    <x v="2"/>
    <x v="4"/>
    <x v="11"/>
    <x v="8"/>
    <x v="7"/>
    <x v="2"/>
    <x v="3"/>
    <x v="2"/>
    <x v="38"/>
    <x v="1"/>
    <x v="38"/>
    <x v="38"/>
    <x v="38"/>
    <x v="3"/>
    <x v="4"/>
    <x v="0"/>
    <x v="0"/>
    <x v="0"/>
    <x v="0"/>
    <x v="0"/>
    <x v="4"/>
    <x v="38"/>
    <x v="4"/>
    <x v="1"/>
  </r>
  <r>
    <x v="39"/>
    <x v="37"/>
    <x v="1"/>
    <x v="3"/>
    <x v="7"/>
    <x v="1"/>
    <x v="1"/>
    <x v="0"/>
    <x v="2"/>
    <x v="1"/>
    <x v="39"/>
    <x v="3"/>
    <x v="39"/>
    <x v="39"/>
    <x v="39"/>
    <x v="20"/>
    <x v="11"/>
    <x v="0"/>
    <x v="0"/>
    <x v="1"/>
    <x v="0"/>
    <x v="0"/>
    <x v="3"/>
    <x v="39"/>
    <x v="3"/>
    <x v="1"/>
  </r>
  <r>
    <x v="40"/>
    <x v="38"/>
    <x v="0"/>
    <x v="0"/>
    <x v="0"/>
    <x v="7"/>
    <x v="6"/>
    <x v="2"/>
    <x v="0"/>
    <x v="4"/>
    <x v="40"/>
    <x v="1"/>
    <x v="40"/>
    <x v="40"/>
    <x v="40"/>
    <x v="21"/>
    <x v="1"/>
    <x v="0"/>
    <x v="0"/>
    <x v="0"/>
    <x v="0"/>
    <x v="0"/>
    <x v="0"/>
    <x v="40"/>
    <x v="0"/>
    <x v="1"/>
  </r>
  <r>
    <x v="41"/>
    <x v="39"/>
    <x v="1"/>
    <x v="4"/>
    <x v="11"/>
    <x v="9"/>
    <x v="8"/>
    <x v="2"/>
    <x v="3"/>
    <x v="5"/>
    <x v="41"/>
    <x v="4"/>
    <x v="41"/>
    <x v="41"/>
    <x v="41"/>
    <x v="22"/>
    <x v="8"/>
    <x v="0"/>
    <x v="0"/>
    <x v="0"/>
    <x v="1"/>
    <x v="1"/>
    <x v="4"/>
    <x v="41"/>
    <x v="4"/>
    <x v="1"/>
  </r>
  <r>
    <x v="42"/>
    <x v="40"/>
    <x v="0"/>
    <x v="0"/>
    <x v="13"/>
    <x v="5"/>
    <x v="4"/>
    <x v="2"/>
    <x v="3"/>
    <x v="3"/>
    <x v="42"/>
    <x v="3"/>
    <x v="42"/>
    <x v="42"/>
    <x v="42"/>
    <x v="8"/>
    <x v="7"/>
    <x v="0"/>
    <x v="0"/>
    <x v="0"/>
    <x v="1"/>
    <x v="0"/>
    <x v="0"/>
    <x v="42"/>
    <x v="0"/>
    <x v="0"/>
  </r>
  <r>
    <x v="43"/>
    <x v="36"/>
    <x v="0"/>
    <x v="3"/>
    <x v="7"/>
    <x v="3"/>
    <x v="3"/>
    <x v="0"/>
    <x v="1"/>
    <x v="6"/>
    <x v="43"/>
    <x v="0"/>
    <x v="43"/>
    <x v="43"/>
    <x v="43"/>
    <x v="11"/>
    <x v="4"/>
    <x v="0"/>
    <x v="0"/>
    <x v="0"/>
    <x v="1"/>
    <x v="0"/>
    <x v="3"/>
    <x v="43"/>
    <x v="3"/>
    <x v="1"/>
  </r>
  <r>
    <x v="44"/>
    <x v="41"/>
    <x v="0"/>
    <x v="3"/>
    <x v="3"/>
    <x v="4"/>
    <x v="1"/>
    <x v="0"/>
    <x v="1"/>
    <x v="3"/>
    <x v="44"/>
    <x v="0"/>
    <x v="44"/>
    <x v="44"/>
    <x v="44"/>
    <x v="13"/>
    <x v="2"/>
    <x v="0"/>
    <x v="1"/>
    <x v="1"/>
    <x v="1"/>
    <x v="0"/>
    <x v="3"/>
    <x v="44"/>
    <x v="3"/>
    <x v="1"/>
  </r>
  <r>
    <x v="45"/>
    <x v="15"/>
    <x v="1"/>
    <x v="4"/>
    <x v="8"/>
    <x v="9"/>
    <x v="8"/>
    <x v="2"/>
    <x v="2"/>
    <x v="0"/>
    <x v="45"/>
    <x v="1"/>
    <x v="45"/>
    <x v="45"/>
    <x v="45"/>
    <x v="21"/>
    <x v="4"/>
    <x v="0"/>
    <x v="1"/>
    <x v="1"/>
    <x v="0"/>
    <x v="0"/>
    <x v="4"/>
    <x v="45"/>
    <x v="4"/>
    <x v="1"/>
  </r>
  <r>
    <x v="46"/>
    <x v="42"/>
    <x v="2"/>
    <x v="3"/>
    <x v="3"/>
    <x v="1"/>
    <x v="1"/>
    <x v="0"/>
    <x v="1"/>
    <x v="1"/>
    <x v="46"/>
    <x v="1"/>
    <x v="46"/>
    <x v="46"/>
    <x v="46"/>
    <x v="23"/>
    <x v="1"/>
    <x v="0"/>
    <x v="1"/>
    <x v="1"/>
    <x v="1"/>
    <x v="0"/>
    <x v="3"/>
    <x v="46"/>
    <x v="3"/>
    <x v="1"/>
  </r>
  <r>
    <x v="47"/>
    <x v="12"/>
    <x v="1"/>
    <x v="1"/>
    <x v="15"/>
    <x v="8"/>
    <x v="7"/>
    <x v="2"/>
    <x v="1"/>
    <x v="0"/>
    <x v="47"/>
    <x v="3"/>
    <x v="47"/>
    <x v="47"/>
    <x v="47"/>
    <x v="2"/>
    <x v="0"/>
    <x v="0"/>
    <x v="0"/>
    <x v="0"/>
    <x v="1"/>
    <x v="0"/>
    <x v="1"/>
    <x v="47"/>
    <x v="1"/>
    <x v="1"/>
  </r>
  <r>
    <x v="48"/>
    <x v="43"/>
    <x v="1"/>
    <x v="3"/>
    <x v="9"/>
    <x v="0"/>
    <x v="0"/>
    <x v="0"/>
    <x v="1"/>
    <x v="4"/>
    <x v="48"/>
    <x v="3"/>
    <x v="48"/>
    <x v="48"/>
    <x v="48"/>
    <x v="23"/>
    <x v="2"/>
    <x v="0"/>
    <x v="1"/>
    <x v="1"/>
    <x v="1"/>
    <x v="0"/>
    <x v="3"/>
    <x v="48"/>
    <x v="3"/>
    <x v="1"/>
  </r>
  <r>
    <x v="49"/>
    <x v="44"/>
    <x v="0"/>
    <x v="0"/>
    <x v="13"/>
    <x v="2"/>
    <x v="2"/>
    <x v="1"/>
    <x v="3"/>
    <x v="6"/>
    <x v="49"/>
    <x v="1"/>
    <x v="49"/>
    <x v="49"/>
    <x v="49"/>
    <x v="16"/>
    <x v="11"/>
    <x v="0"/>
    <x v="0"/>
    <x v="0"/>
    <x v="0"/>
    <x v="0"/>
    <x v="0"/>
    <x v="49"/>
    <x v="0"/>
    <x v="0"/>
  </r>
  <r>
    <x v="50"/>
    <x v="45"/>
    <x v="0"/>
    <x v="0"/>
    <x v="13"/>
    <x v="5"/>
    <x v="4"/>
    <x v="2"/>
    <x v="3"/>
    <x v="1"/>
    <x v="50"/>
    <x v="1"/>
    <x v="50"/>
    <x v="50"/>
    <x v="50"/>
    <x v="24"/>
    <x v="7"/>
    <x v="0"/>
    <x v="0"/>
    <x v="0"/>
    <x v="0"/>
    <x v="0"/>
    <x v="0"/>
    <x v="50"/>
    <x v="0"/>
    <x v="1"/>
  </r>
  <r>
    <x v="51"/>
    <x v="46"/>
    <x v="0"/>
    <x v="0"/>
    <x v="6"/>
    <x v="6"/>
    <x v="5"/>
    <x v="3"/>
    <x v="3"/>
    <x v="4"/>
    <x v="51"/>
    <x v="2"/>
    <x v="51"/>
    <x v="51"/>
    <x v="51"/>
    <x v="17"/>
    <x v="0"/>
    <x v="0"/>
    <x v="0"/>
    <x v="0"/>
    <x v="1"/>
    <x v="1"/>
    <x v="0"/>
    <x v="51"/>
    <x v="0"/>
    <x v="1"/>
  </r>
  <r>
    <x v="52"/>
    <x v="47"/>
    <x v="2"/>
    <x v="0"/>
    <x v="13"/>
    <x v="9"/>
    <x v="8"/>
    <x v="2"/>
    <x v="1"/>
    <x v="0"/>
    <x v="52"/>
    <x v="4"/>
    <x v="52"/>
    <x v="52"/>
    <x v="52"/>
    <x v="12"/>
    <x v="2"/>
    <x v="0"/>
    <x v="0"/>
    <x v="0"/>
    <x v="1"/>
    <x v="1"/>
    <x v="0"/>
    <x v="52"/>
    <x v="0"/>
    <x v="1"/>
  </r>
  <r>
    <x v="53"/>
    <x v="48"/>
    <x v="0"/>
    <x v="1"/>
    <x v="5"/>
    <x v="0"/>
    <x v="0"/>
    <x v="0"/>
    <x v="3"/>
    <x v="0"/>
    <x v="53"/>
    <x v="3"/>
    <x v="53"/>
    <x v="53"/>
    <x v="53"/>
    <x v="17"/>
    <x v="5"/>
    <x v="0"/>
    <x v="0"/>
    <x v="1"/>
    <x v="1"/>
    <x v="0"/>
    <x v="1"/>
    <x v="53"/>
    <x v="1"/>
    <x v="1"/>
  </r>
  <r>
    <x v="54"/>
    <x v="49"/>
    <x v="2"/>
    <x v="2"/>
    <x v="14"/>
    <x v="6"/>
    <x v="5"/>
    <x v="3"/>
    <x v="1"/>
    <x v="1"/>
    <x v="54"/>
    <x v="3"/>
    <x v="54"/>
    <x v="54"/>
    <x v="54"/>
    <x v="16"/>
    <x v="2"/>
    <x v="0"/>
    <x v="0"/>
    <x v="0"/>
    <x v="0"/>
    <x v="0"/>
    <x v="2"/>
    <x v="54"/>
    <x v="2"/>
    <x v="1"/>
  </r>
  <r>
    <x v="55"/>
    <x v="50"/>
    <x v="1"/>
    <x v="4"/>
    <x v="16"/>
    <x v="5"/>
    <x v="4"/>
    <x v="2"/>
    <x v="3"/>
    <x v="6"/>
    <x v="55"/>
    <x v="1"/>
    <x v="55"/>
    <x v="55"/>
    <x v="55"/>
    <x v="4"/>
    <x v="0"/>
    <x v="0"/>
    <x v="1"/>
    <x v="1"/>
    <x v="0"/>
    <x v="0"/>
    <x v="4"/>
    <x v="55"/>
    <x v="4"/>
    <x v="1"/>
  </r>
  <r>
    <x v="56"/>
    <x v="51"/>
    <x v="0"/>
    <x v="0"/>
    <x v="13"/>
    <x v="4"/>
    <x v="1"/>
    <x v="0"/>
    <x v="3"/>
    <x v="0"/>
    <x v="56"/>
    <x v="0"/>
    <x v="56"/>
    <x v="56"/>
    <x v="56"/>
    <x v="24"/>
    <x v="8"/>
    <x v="0"/>
    <x v="0"/>
    <x v="0"/>
    <x v="0"/>
    <x v="0"/>
    <x v="0"/>
    <x v="56"/>
    <x v="0"/>
    <x v="0"/>
  </r>
  <r>
    <x v="57"/>
    <x v="52"/>
    <x v="1"/>
    <x v="3"/>
    <x v="17"/>
    <x v="4"/>
    <x v="1"/>
    <x v="0"/>
    <x v="0"/>
    <x v="5"/>
    <x v="57"/>
    <x v="2"/>
    <x v="57"/>
    <x v="57"/>
    <x v="57"/>
    <x v="8"/>
    <x v="9"/>
    <x v="0"/>
    <x v="0"/>
    <x v="0"/>
    <x v="1"/>
    <x v="1"/>
    <x v="3"/>
    <x v="57"/>
    <x v="3"/>
    <x v="1"/>
  </r>
  <r>
    <x v="58"/>
    <x v="28"/>
    <x v="1"/>
    <x v="0"/>
    <x v="18"/>
    <x v="7"/>
    <x v="6"/>
    <x v="2"/>
    <x v="2"/>
    <x v="4"/>
    <x v="58"/>
    <x v="1"/>
    <x v="58"/>
    <x v="58"/>
    <x v="58"/>
    <x v="19"/>
    <x v="5"/>
    <x v="0"/>
    <x v="0"/>
    <x v="0"/>
    <x v="0"/>
    <x v="0"/>
    <x v="0"/>
    <x v="58"/>
    <x v="0"/>
    <x v="1"/>
  </r>
  <r>
    <x v="59"/>
    <x v="1"/>
    <x v="2"/>
    <x v="3"/>
    <x v="17"/>
    <x v="5"/>
    <x v="4"/>
    <x v="2"/>
    <x v="1"/>
    <x v="1"/>
    <x v="59"/>
    <x v="1"/>
    <x v="59"/>
    <x v="59"/>
    <x v="59"/>
    <x v="18"/>
    <x v="1"/>
    <x v="0"/>
    <x v="0"/>
    <x v="1"/>
    <x v="1"/>
    <x v="0"/>
    <x v="3"/>
    <x v="59"/>
    <x v="3"/>
    <x v="1"/>
  </r>
  <r>
    <x v="60"/>
    <x v="53"/>
    <x v="2"/>
    <x v="3"/>
    <x v="17"/>
    <x v="5"/>
    <x v="4"/>
    <x v="2"/>
    <x v="0"/>
    <x v="2"/>
    <x v="60"/>
    <x v="2"/>
    <x v="60"/>
    <x v="60"/>
    <x v="60"/>
    <x v="21"/>
    <x v="11"/>
    <x v="0"/>
    <x v="0"/>
    <x v="0"/>
    <x v="0"/>
    <x v="1"/>
    <x v="3"/>
    <x v="60"/>
    <x v="3"/>
    <x v="1"/>
  </r>
  <r>
    <x v="61"/>
    <x v="54"/>
    <x v="0"/>
    <x v="0"/>
    <x v="18"/>
    <x v="6"/>
    <x v="5"/>
    <x v="3"/>
    <x v="3"/>
    <x v="2"/>
    <x v="61"/>
    <x v="0"/>
    <x v="61"/>
    <x v="61"/>
    <x v="61"/>
    <x v="9"/>
    <x v="11"/>
    <x v="0"/>
    <x v="0"/>
    <x v="0"/>
    <x v="1"/>
    <x v="0"/>
    <x v="0"/>
    <x v="61"/>
    <x v="0"/>
    <x v="1"/>
  </r>
  <r>
    <x v="62"/>
    <x v="55"/>
    <x v="0"/>
    <x v="1"/>
    <x v="15"/>
    <x v="0"/>
    <x v="0"/>
    <x v="0"/>
    <x v="1"/>
    <x v="6"/>
    <x v="62"/>
    <x v="1"/>
    <x v="62"/>
    <x v="62"/>
    <x v="62"/>
    <x v="6"/>
    <x v="1"/>
    <x v="0"/>
    <x v="0"/>
    <x v="0"/>
    <x v="0"/>
    <x v="0"/>
    <x v="1"/>
    <x v="62"/>
    <x v="1"/>
    <x v="1"/>
  </r>
  <r>
    <x v="63"/>
    <x v="56"/>
    <x v="1"/>
    <x v="3"/>
    <x v="7"/>
    <x v="3"/>
    <x v="3"/>
    <x v="0"/>
    <x v="3"/>
    <x v="5"/>
    <x v="63"/>
    <x v="0"/>
    <x v="63"/>
    <x v="63"/>
    <x v="63"/>
    <x v="13"/>
    <x v="9"/>
    <x v="0"/>
    <x v="1"/>
    <x v="1"/>
    <x v="1"/>
    <x v="0"/>
    <x v="3"/>
    <x v="63"/>
    <x v="3"/>
    <x v="1"/>
  </r>
  <r>
    <x v="64"/>
    <x v="43"/>
    <x v="2"/>
    <x v="3"/>
    <x v="17"/>
    <x v="6"/>
    <x v="5"/>
    <x v="3"/>
    <x v="2"/>
    <x v="0"/>
    <x v="64"/>
    <x v="3"/>
    <x v="64"/>
    <x v="64"/>
    <x v="64"/>
    <x v="15"/>
    <x v="2"/>
    <x v="0"/>
    <x v="1"/>
    <x v="1"/>
    <x v="0"/>
    <x v="0"/>
    <x v="3"/>
    <x v="64"/>
    <x v="3"/>
    <x v="1"/>
  </r>
  <r>
    <x v="65"/>
    <x v="57"/>
    <x v="0"/>
    <x v="0"/>
    <x v="18"/>
    <x v="2"/>
    <x v="2"/>
    <x v="1"/>
    <x v="0"/>
    <x v="2"/>
    <x v="65"/>
    <x v="3"/>
    <x v="65"/>
    <x v="65"/>
    <x v="65"/>
    <x v="3"/>
    <x v="7"/>
    <x v="0"/>
    <x v="0"/>
    <x v="0"/>
    <x v="0"/>
    <x v="0"/>
    <x v="0"/>
    <x v="65"/>
    <x v="0"/>
    <x v="1"/>
  </r>
  <r>
    <x v="66"/>
    <x v="55"/>
    <x v="1"/>
    <x v="3"/>
    <x v="3"/>
    <x v="4"/>
    <x v="1"/>
    <x v="0"/>
    <x v="2"/>
    <x v="6"/>
    <x v="66"/>
    <x v="2"/>
    <x v="66"/>
    <x v="66"/>
    <x v="66"/>
    <x v="17"/>
    <x v="1"/>
    <x v="0"/>
    <x v="0"/>
    <x v="0"/>
    <x v="1"/>
    <x v="1"/>
    <x v="3"/>
    <x v="66"/>
    <x v="3"/>
    <x v="1"/>
  </r>
  <r>
    <x v="67"/>
    <x v="58"/>
    <x v="1"/>
    <x v="3"/>
    <x v="9"/>
    <x v="4"/>
    <x v="1"/>
    <x v="0"/>
    <x v="0"/>
    <x v="4"/>
    <x v="67"/>
    <x v="2"/>
    <x v="67"/>
    <x v="67"/>
    <x v="67"/>
    <x v="9"/>
    <x v="10"/>
    <x v="0"/>
    <x v="0"/>
    <x v="0"/>
    <x v="1"/>
    <x v="1"/>
    <x v="3"/>
    <x v="67"/>
    <x v="3"/>
    <x v="1"/>
  </r>
  <r>
    <x v="68"/>
    <x v="59"/>
    <x v="1"/>
    <x v="0"/>
    <x v="18"/>
    <x v="7"/>
    <x v="6"/>
    <x v="2"/>
    <x v="3"/>
    <x v="5"/>
    <x v="68"/>
    <x v="3"/>
    <x v="68"/>
    <x v="68"/>
    <x v="68"/>
    <x v="6"/>
    <x v="1"/>
    <x v="0"/>
    <x v="0"/>
    <x v="0"/>
    <x v="0"/>
    <x v="0"/>
    <x v="0"/>
    <x v="68"/>
    <x v="0"/>
    <x v="1"/>
  </r>
  <r>
    <x v="69"/>
    <x v="60"/>
    <x v="0"/>
    <x v="0"/>
    <x v="18"/>
    <x v="2"/>
    <x v="2"/>
    <x v="1"/>
    <x v="2"/>
    <x v="5"/>
    <x v="69"/>
    <x v="2"/>
    <x v="69"/>
    <x v="69"/>
    <x v="69"/>
    <x v="22"/>
    <x v="6"/>
    <x v="0"/>
    <x v="0"/>
    <x v="0"/>
    <x v="1"/>
    <x v="1"/>
    <x v="0"/>
    <x v="69"/>
    <x v="0"/>
    <x v="1"/>
  </r>
  <r>
    <x v="70"/>
    <x v="33"/>
    <x v="1"/>
    <x v="4"/>
    <x v="16"/>
    <x v="4"/>
    <x v="1"/>
    <x v="0"/>
    <x v="2"/>
    <x v="3"/>
    <x v="70"/>
    <x v="3"/>
    <x v="70"/>
    <x v="70"/>
    <x v="70"/>
    <x v="11"/>
    <x v="9"/>
    <x v="0"/>
    <x v="1"/>
    <x v="1"/>
    <x v="1"/>
    <x v="0"/>
    <x v="4"/>
    <x v="70"/>
    <x v="4"/>
    <x v="0"/>
  </r>
  <r>
    <x v="71"/>
    <x v="61"/>
    <x v="2"/>
    <x v="1"/>
    <x v="5"/>
    <x v="6"/>
    <x v="5"/>
    <x v="3"/>
    <x v="3"/>
    <x v="6"/>
    <x v="71"/>
    <x v="2"/>
    <x v="71"/>
    <x v="71"/>
    <x v="71"/>
    <x v="2"/>
    <x v="1"/>
    <x v="0"/>
    <x v="0"/>
    <x v="0"/>
    <x v="1"/>
    <x v="1"/>
    <x v="1"/>
    <x v="71"/>
    <x v="1"/>
    <x v="1"/>
  </r>
  <r>
    <x v="72"/>
    <x v="62"/>
    <x v="0"/>
    <x v="1"/>
    <x v="5"/>
    <x v="2"/>
    <x v="2"/>
    <x v="1"/>
    <x v="2"/>
    <x v="6"/>
    <x v="72"/>
    <x v="0"/>
    <x v="72"/>
    <x v="72"/>
    <x v="72"/>
    <x v="21"/>
    <x v="10"/>
    <x v="0"/>
    <x v="0"/>
    <x v="0"/>
    <x v="0"/>
    <x v="0"/>
    <x v="1"/>
    <x v="72"/>
    <x v="1"/>
    <x v="1"/>
  </r>
  <r>
    <x v="73"/>
    <x v="63"/>
    <x v="0"/>
    <x v="3"/>
    <x v="17"/>
    <x v="6"/>
    <x v="5"/>
    <x v="3"/>
    <x v="1"/>
    <x v="3"/>
    <x v="73"/>
    <x v="2"/>
    <x v="73"/>
    <x v="73"/>
    <x v="73"/>
    <x v="9"/>
    <x v="0"/>
    <x v="0"/>
    <x v="1"/>
    <x v="1"/>
    <x v="1"/>
    <x v="1"/>
    <x v="3"/>
    <x v="73"/>
    <x v="3"/>
    <x v="1"/>
  </r>
  <r>
    <x v="74"/>
    <x v="64"/>
    <x v="2"/>
    <x v="1"/>
    <x v="1"/>
    <x v="3"/>
    <x v="3"/>
    <x v="0"/>
    <x v="0"/>
    <x v="0"/>
    <x v="74"/>
    <x v="2"/>
    <x v="74"/>
    <x v="74"/>
    <x v="74"/>
    <x v="8"/>
    <x v="7"/>
    <x v="0"/>
    <x v="0"/>
    <x v="1"/>
    <x v="1"/>
    <x v="1"/>
    <x v="1"/>
    <x v="74"/>
    <x v="1"/>
    <x v="1"/>
  </r>
  <r>
    <x v="75"/>
    <x v="65"/>
    <x v="0"/>
    <x v="3"/>
    <x v="3"/>
    <x v="3"/>
    <x v="3"/>
    <x v="0"/>
    <x v="0"/>
    <x v="6"/>
    <x v="75"/>
    <x v="1"/>
    <x v="75"/>
    <x v="75"/>
    <x v="75"/>
    <x v="9"/>
    <x v="0"/>
    <x v="0"/>
    <x v="0"/>
    <x v="0"/>
    <x v="1"/>
    <x v="0"/>
    <x v="3"/>
    <x v="75"/>
    <x v="3"/>
    <x v="1"/>
  </r>
  <r>
    <x v="76"/>
    <x v="66"/>
    <x v="2"/>
    <x v="4"/>
    <x v="11"/>
    <x v="4"/>
    <x v="1"/>
    <x v="0"/>
    <x v="0"/>
    <x v="3"/>
    <x v="76"/>
    <x v="2"/>
    <x v="76"/>
    <x v="76"/>
    <x v="76"/>
    <x v="1"/>
    <x v="9"/>
    <x v="0"/>
    <x v="0"/>
    <x v="1"/>
    <x v="1"/>
    <x v="1"/>
    <x v="4"/>
    <x v="76"/>
    <x v="4"/>
    <x v="1"/>
  </r>
  <r>
    <x v="77"/>
    <x v="67"/>
    <x v="1"/>
    <x v="0"/>
    <x v="0"/>
    <x v="4"/>
    <x v="1"/>
    <x v="0"/>
    <x v="1"/>
    <x v="0"/>
    <x v="77"/>
    <x v="2"/>
    <x v="77"/>
    <x v="77"/>
    <x v="77"/>
    <x v="6"/>
    <x v="6"/>
    <x v="0"/>
    <x v="0"/>
    <x v="0"/>
    <x v="0"/>
    <x v="1"/>
    <x v="0"/>
    <x v="77"/>
    <x v="0"/>
    <x v="1"/>
  </r>
  <r>
    <x v="78"/>
    <x v="64"/>
    <x v="0"/>
    <x v="0"/>
    <x v="6"/>
    <x v="0"/>
    <x v="0"/>
    <x v="0"/>
    <x v="0"/>
    <x v="0"/>
    <x v="78"/>
    <x v="2"/>
    <x v="78"/>
    <x v="78"/>
    <x v="78"/>
    <x v="10"/>
    <x v="7"/>
    <x v="0"/>
    <x v="0"/>
    <x v="0"/>
    <x v="0"/>
    <x v="1"/>
    <x v="0"/>
    <x v="78"/>
    <x v="0"/>
    <x v="1"/>
  </r>
  <r>
    <x v="79"/>
    <x v="68"/>
    <x v="2"/>
    <x v="0"/>
    <x v="13"/>
    <x v="3"/>
    <x v="3"/>
    <x v="0"/>
    <x v="3"/>
    <x v="1"/>
    <x v="79"/>
    <x v="1"/>
    <x v="79"/>
    <x v="79"/>
    <x v="79"/>
    <x v="16"/>
    <x v="4"/>
    <x v="0"/>
    <x v="0"/>
    <x v="0"/>
    <x v="0"/>
    <x v="0"/>
    <x v="0"/>
    <x v="79"/>
    <x v="0"/>
    <x v="1"/>
  </r>
  <r>
    <x v="80"/>
    <x v="21"/>
    <x v="0"/>
    <x v="1"/>
    <x v="1"/>
    <x v="9"/>
    <x v="8"/>
    <x v="2"/>
    <x v="2"/>
    <x v="5"/>
    <x v="80"/>
    <x v="2"/>
    <x v="80"/>
    <x v="80"/>
    <x v="80"/>
    <x v="17"/>
    <x v="4"/>
    <x v="0"/>
    <x v="0"/>
    <x v="0"/>
    <x v="1"/>
    <x v="1"/>
    <x v="1"/>
    <x v="80"/>
    <x v="1"/>
    <x v="1"/>
  </r>
  <r>
    <x v="81"/>
    <x v="69"/>
    <x v="1"/>
    <x v="4"/>
    <x v="8"/>
    <x v="9"/>
    <x v="8"/>
    <x v="2"/>
    <x v="1"/>
    <x v="4"/>
    <x v="81"/>
    <x v="2"/>
    <x v="81"/>
    <x v="81"/>
    <x v="81"/>
    <x v="24"/>
    <x v="10"/>
    <x v="0"/>
    <x v="1"/>
    <x v="1"/>
    <x v="0"/>
    <x v="1"/>
    <x v="4"/>
    <x v="81"/>
    <x v="4"/>
    <x v="1"/>
  </r>
  <r>
    <x v="82"/>
    <x v="70"/>
    <x v="0"/>
    <x v="1"/>
    <x v="10"/>
    <x v="7"/>
    <x v="6"/>
    <x v="2"/>
    <x v="0"/>
    <x v="5"/>
    <x v="82"/>
    <x v="3"/>
    <x v="82"/>
    <x v="82"/>
    <x v="82"/>
    <x v="13"/>
    <x v="0"/>
    <x v="0"/>
    <x v="0"/>
    <x v="0"/>
    <x v="1"/>
    <x v="0"/>
    <x v="1"/>
    <x v="82"/>
    <x v="1"/>
    <x v="1"/>
  </r>
  <r>
    <x v="83"/>
    <x v="71"/>
    <x v="1"/>
    <x v="1"/>
    <x v="10"/>
    <x v="3"/>
    <x v="3"/>
    <x v="0"/>
    <x v="3"/>
    <x v="5"/>
    <x v="83"/>
    <x v="4"/>
    <x v="83"/>
    <x v="83"/>
    <x v="83"/>
    <x v="17"/>
    <x v="5"/>
    <x v="0"/>
    <x v="0"/>
    <x v="0"/>
    <x v="1"/>
    <x v="1"/>
    <x v="1"/>
    <x v="83"/>
    <x v="1"/>
    <x v="1"/>
  </r>
  <r>
    <x v="84"/>
    <x v="72"/>
    <x v="0"/>
    <x v="4"/>
    <x v="11"/>
    <x v="6"/>
    <x v="5"/>
    <x v="3"/>
    <x v="2"/>
    <x v="1"/>
    <x v="84"/>
    <x v="1"/>
    <x v="84"/>
    <x v="84"/>
    <x v="84"/>
    <x v="24"/>
    <x v="6"/>
    <x v="0"/>
    <x v="1"/>
    <x v="1"/>
    <x v="0"/>
    <x v="0"/>
    <x v="4"/>
    <x v="84"/>
    <x v="4"/>
    <x v="1"/>
  </r>
  <r>
    <x v="85"/>
    <x v="73"/>
    <x v="0"/>
    <x v="4"/>
    <x v="11"/>
    <x v="6"/>
    <x v="5"/>
    <x v="3"/>
    <x v="2"/>
    <x v="0"/>
    <x v="85"/>
    <x v="1"/>
    <x v="85"/>
    <x v="85"/>
    <x v="85"/>
    <x v="20"/>
    <x v="11"/>
    <x v="0"/>
    <x v="1"/>
    <x v="1"/>
    <x v="0"/>
    <x v="0"/>
    <x v="4"/>
    <x v="85"/>
    <x v="4"/>
    <x v="1"/>
  </r>
  <r>
    <x v="86"/>
    <x v="74"/>
    <x v="2"/>
    <x v="4"/>
    <x v="19"/>
    <x v="1"/>
    <x v="1"/>
    <x v="0"/>
    <x v="1"/>
    <x v="0"/>
    <x v="86"/>
    <x v="0"/>
    <x v="86"/>
    <x v="86"/>
    <x v="86"/>
    <x v="4"/>
    <x v="4"/>
    <x v="0"/>
    <x v="0"/>
    <x v="0"/>
    <x v="0"/>
    <x v="0"/>
    <x v="4"/>
    <x v="86"/>
    <x v="4"/>
    <x v="1"/>
  </r>
  <r>
    <x v="87"/>
    <x v="75"/>
    <x v="0"/>
    <x v="4"/>
    <x v="19"/>
    <x v="2"/>
    <x v="2"/>
    <x v="1"/>
    <x v="1"/>
    <x v="6"/>
    <x v="87"/>
    <x v="0"/>
    <x v="87"/>
    <x v="87"/>
    <x v="87"/>
    <x v="4"/>
    <x v="1"/>
    <x v="0"/>
    <x v="0"/>
    <x v="0"/>
    <x v="0"/>
    <x v="0"/>
    <x v="4"/>
    <x v="87"/>
    <x v="4"/>
    <x v="1"/>
  </r>
  <r>
    <x v="88"/>
    <x v="0"/>
    <x v="1"/>
    <x v="0"/>
    <x v="0"/>
    <x v="8"/>
    <x v="7"/>
    <x v="2"/>
    <x v="1"/>
    <x v="1"/>
    <x v="88"/>
    <x v="0"/>
    <x v="88"/>
    <x v="88"/>
    <x v="88"/>
    <x v="25"/>
    <x v="0"/>
    <x v="0"/>
    <x v="0"/>
    <x v="0"/>
    <x v="1"/>
    <x v="0"/>
    <x v="0"/>
    <x v="88"/>
    <x v="0"/>
    <x v="1"/>
  </r>
  <r>
    <x v="89"/>
    <x v="76"/>
    <x v="0"/>
    <x v="2"/>
    <x v="12"/>
    <x v="9"/>
    <x v="8"/>
    <x v="2"/>
    <x v="3"/>
    <x v="6"/>
    <x v="89"/>
    <x v="1"/>
    <x v="89"/>
    <x v="89"/>
    <x v="89"/>
    <x v="25"/>
    <x v="2"/>
    <x v="0"/>
    <x v="0"/>
    <x v="0"/>
    <x v="1"/>
    <x v="0"/>
    <x v="2"/>
    <x v="89"/>
    <x v="2"/>
    <x v="1"/>
  </r>
  <r>
    <x v="90"/>
    <x v="77"/>
    <x v="1"/>
    <x v="2"/>
    <x v="4"/>
    <x v="4"/>
    <x v="1"/>
    <x v="0"/>
    <x v="3"/>
    <x v="1"/>
    <x v="90"/>
    <x v="4"/>
    <x v="90"/>
    <x v="90"/>
    <x v="90"/>
    <x v="15"/>
    <x v="8"/>
    <x v="0"/>
    <x v="0"/>
    <x v="0"/>
    <x v="0"/>
    <x v="1"/>
    <x v="2"/>
    <x v="90"/>
    <x v="2"/>
    <x v="1"/>
  </r>
  <r>
    <x v="91"/>
    <x v="78"/>
    <x v="0"/>
    <x v="4"/>
    <x v="8"/>
    <x v="7"/>
    <x v="6"/>
    <x v="2"/>
    <x v="1"/>
    <x v="6"/>
    <x v="91"/>
    <x v="1"/>
    <x v="91"/>
    <x v="91"/>
    <x v="91"/>
    <x v="25"/>
    <x v="2"/>
    <x v="0"/>
    <x v="0"/>
    <x v="0"/>
    <x v="1"/>
    <x v="0"/>
    <x v="4"/>
    <x v="91"/>
    <x v="4"/>
    <x v="1"/>
  </r>
  <r>
    <x v="92"/>
    <x v="79"/>
    <x v="2"/>
    <x v="2"/>
    <x v="14"/>
    <x v="8"/>
    <x v="7"/>
    <x v="2"/>
    <x v="0"/>
    <x v="2"/>
    <x v="92"/>
    <x v="1"/>
    <x v="92"/>
    <x v="92"/>
    <x v="92"/>
    <x v="1"/>
    <x v="10"/>
    <x v="0"/>
    <x v="0"/>
    <x v="0"/>
    <x v="1"/>
    <x v="0"/>
    <x v="2"/>
    <x v="92"/>
    <x v="2"/>
    <x v="1"/>
  </r>
  <r>
    <x v="93"/>
    <x v="80"/>
    <x v="1"/>
    <x v="2"/>
    <x v="4"/>
    <x v="5"/>
    <x v="4"/>
    <x v="2"/>
    <x v="2"/>
    <x v="3"/>
    <x v="93"/>
    <x v="1"/>
    <x v="93"/>
    <x v="93"/>
    <x v="93"/>
    <x v="0"/>
    <x v="11"/>
    <x v="0"/>
    <x v="0"/>
    <x v="0"/>
    <x v="0"/>
    <x v="0"/>
    <x v="2"/>
    <x v="93"/>
    <x v="2"/>
    <x v="1"/>
  </r>
  <r>
    <x v="94"/>
    <x v="4"/>
    <x v="0"/>
    <x v="4"/>
    <x v="16"/>
    <x v="7"/>
    <x v="6"/>
    <x v="2"/>
    <x v="2"/>
    <x v="5"/>
    <x v="94"/>
    <x v="0"/>
    <x v="94"/>
    <x v="94"/>
    <x v="94"/>
    <x v="0"/>
    <x v="3"/>
    <x v="0"/>
    <x v="1"/>
    <x v="1"/>
    <x v="0"/>
    <x v="0"/>
    <x v="4"/>
    <x v="94"/>
    <x v="4"/>
    <x v="1"/>
  </r>
  <r>
    <x v="95"/>
    <x v="81"/>
    <x v="0"/>
    <x v="2"/>
    <x v="4"/>
    <x v="5"/>
    <x v="4"/>
    <x v="2"/>
    <x v="3"/>
    <x v="5"/>
    <x v="95"/>
    <x v="2"/>
    <x v="95"/>
    <x v="95"/>
    <x v="95"/>
    <x v="1"/>
    <x v="7"/>
    <x v="0"/>
    <x v="0"/>
    <x v="0"/>
    <x v="1"/>
    <x v="1"/>
    <x v="2"/>
    <x v="95"/>
    <x v="2"/>
    <x v="1"/>
  </r>
  <r>
    <x v="96"/>
    <x v="20"/>
    <x v="0"/>
    <x v="1"/>
    <x v="10"/>
    <x v="3"/>
    <x v="3"/>
    <x v="0"/>
    <x v="2"/>
    <x v="4"/>
    <x v="96"/>
    <x v="0"/>
    <x v="96"/>
    <x v="96"/>
    <x v="96"/>
    <x v="0"/>
    <x v="0"/>
    <x v="0"/>
    <x v="0"/>
    <x v="0"/>
    <x v="0"/>
    <x v="0"/>
    <x v="1"/>
    <x v="96"/>
    <x v="1"/>
    <x v="1"/>
  </r>
  <r>
    <x v="97"/>
    <x v="82"/>
    <x v="1"/>
    <x v="3"/>
    <x v="9"/>
    <x v="5"/>
    <x v="4"/>
    <x v="2"/>
    <x v="0"/>
    <x v="3"/>
    <x v="97"/>
    <x v="2"/>
    <x v="97"/>
    <x v="97"/>
    <x v="97"/>
    <x v="3"/>
    <x v="2"/>
    <x v="0"/>
    <x v="1"/>
    <x v="1"/>
    <x v="0"/>
    <x v="1"/>
    <x v="3"/>
    <x v="97"/>
    <x v="3"/>
    <x v="1"/>
  </r>
  <r>
    <x v="98"/>
    <x v="83"/>
    <x v="0"/>
    <x v="3"/>
    <x v="17"/>
    <x v="5"/>
    <x v="4"/>
    <x v="2"/>
    <x v="2"/>
    <x v="0"/>
    <x v="98"/>
    <x v="1"/>
    <x v="98"/>
    <x v="98"/>
    <x v="98"/>
    <x v="16"/>
    <x v="4"/>
    <x v="0"/>
    <x v="0"/>
    <x v="1"/>
    <x v="0"/>
    <x v="0"/>
    <x v="3"/>
    <x v="98"/>
    <x v="3"/>
    <x v="1"/>
  </r>
  <r>
    <x v="99"/>
    <x v="84"/>
    <x v="2"/>
    <x v="4"/>
    <x v="19"/>
    <x v="0"/>
    <x v="0"/>
    <x v="0"/>
    <x v="3"/>
    <x v="4"/>
    <x v="99"/>
    <x v="0"/>
    <x v="99"/>
    <x v="99"/>
    <x v="99"/>
    <x v="5"/>
    <x v="1"/>
    <x v="0"/>
    <x v="1"/>
    <x v="1"/>
    <x v="1"/>
    <x v="0"/>
    <x v="4"/>
    <x v="99"/>
    <x v="4"/>
    <x v="1"/>
  </r>
  <r>
    <x v="100"/>
    <x v="85"/>
    <x v="0"/>
    <x v="0"/>
    <x v="0"/>
    <x v="0"/>
    <x v="0"/>
    <x v="0"/>
    <x v="3"/>
    <x v="2"/>
    <x v="100"/>
    <x v="0"/>
    <x v="100"/>
    <x v="100"/>
    <x v="100"/>
    <x v="8"/>
    <x v="11"/>
    <x v="0"/>
    <x v="0"/>
    <x v="0"/>
    <x v="1"/>
    <x v="0"/>
    <x v="0"/>
    <x v="100"/>
    <x v="0"/>
    <x v="1"/>
  </r>
  <r>
    <x v="101"/>
    <x v="86"/>
    <x v="0"/>
    <x v="4"/>
    <x v="11"/>
    <x v="0"/>
    <x v="0"/>
    <x v="0"/>
    <x v="0"/>
    <x v="4"/>
    <x v="101"/>
    <x v="0"/>
    <x v="101"/>
    <x v="101"/>
    <x v="101"/>
    <x v="22"/>
    <x v="6"/>
    <x v="0"/>
    <x v="1"/>
    <x v="1"/>
    <x v="1"/>
    <x v="0"/>
    <x v="4"/>
    <x v="101"/>
    <x v="4"/>
    <x v="1"/>
  </r>
  <r>
    <x v="102"/>
    <x v="20"/>
    <x v="1"/>
    <x v="0"/>
    <x v="13"/>
    <x v="3"/>
    <x v="3"/>
    <x v="0"/>
    <x v="0"/>
    <x v="5"/>
    <x v="102"/>
    <x v="1"/>
    <x v="102"/>
    <x v="102"/>
    <x v="102"/>
    <x v="11"/>
    <x v="0"/>
    <x v="0"/>
    <x v="0"/>
    <x v="0"/>
    <x v="1"/>
    <x v="0"/>
    <x v="0"/>
    <x v="102"/>
    <x v="0"/>
    <x v="0"/>
  </r>
  <r>
    <x v="103"/>
    <x v="87"/>
    <x v="1"/>
    <x v="3"/>
    <x v="9"/>
    <x v="8"/>
    <x v="7"/>
    <x v="2"/>
    <x v="2"/>
    <x v="0"/>
    <x v="103"/>
    <x v="0"/>
    <x v="103"/>
    <x v="103"/>
    <x v="103"/>
    <x v="8"/>
    <x v="10"/>
    <x v="0"/>
    <x v="0"/>
    <x v="0"/>
    <x v="1"/>
    <x v="0"/>
    <x v="3"/>
    <x v="103"/>
    <x v="3"/>
    <x v="1"/>
  </r>
  <r>
    <x v="104"/>
    <x v="88"/>
    <x v="0"/>
    <x v="4"/>
    <x v="8"/>
    <x v="7"/>
    <x v="6"/>
    <x v="2"/>
    <x v="2"/>
    <x v="2"/>
    <x v="104"/>
    <x v="0"/>
    <x v="104"/>
    <x v="104"/>
    <x v="104"/>
    <x v="25"/>
    <x v="1"/>
    <x v="0"/>
    <x v="0"/>
    <x v="0"/>
    <x v="1"/>
    <x v="0"/>
    <x v="4"/>
    <x v="104"/>
    <x v="4"/>
    <x v="1"/>
  </r>
  <r>
    <x v="105"/>
    <x v="57"/>
    <x v="0"/>
    <x v="1"/>
    <x v="5"/>
    <x v="7"/>
    <x v="6"/>
    <x v="2"/>
    <x v="3"/>
    <x v="5"/>
    <x v="105"/>
    <x v="2"/>
    <x v="105"/>
    <x v="105"/>
    <x v="105"/>
    <x v="1"/>
    <x v="7"/>
    <x v="0"/>
    <x v="0"/>
    <x v="0"/>
    <x v="1"/>
    <x v="1"/>
    <x v="1"/>
    <x v="105"/>
    <x v="1"/>
    <x v="1"/>
  </r>
  <r>
    <x v="106"/>
    <x v="89"/>
    <x v="0"/>
    <x v="2"/>
    <x v="4"/>
    <x v="4"/>
    <x v="1"/>
    <x v="0"/>
    <x v="0"/>
    <x v="3"/>
    <x v="106"/>
    <x v="0"/>
    <x v="106"/>
    <x v="106"/>
    <x v="106"/>
    <x v="24"/>
    <x v="9"/>
    <x v="0"/>
    <x v="0"/>
    <x v="0"/>
    <x v="0"/>
    <x v="0"/>
    <x v="2"/>
    <x v="106"/>
    <x v="2"/>
    <x v="1"/>
  </r>
  <r>
    <x v="107"/>
    <x v="34"/>
    <x v="1"/>
    <x v="0"/>
    <x v="0"/>
    <x v="0"/>
    <x v="0"/>
    <x v="0"/>
    <x v="0"/>
    <x v="6"/>
    <x v="107"/>
    <x v="1"/>
    <x v="107"/>
    <x v="107"/>
    <x v="107"/>
    <x v="11"/>
    <x v="2"/>
    <x v="0"/>
    <x v="0"/>
    <x v="0"/>
    <x v="1"/>
    <x v="0"/>
    <x v="0"/>
    <x v="107"/>
    <x v="0"/>
    <x v="1"/>
  </r>
  <r>
    <x v="108"/>
    <x v="53"/>
    <x v="1"/>
    <x v="2"/>
    <x v="4"/>
    <x v="3"/>
    <x v="3"/>
    <x v="0"/>
    <x v="0"/>
    <x v="1"/>
    <x v="108"/>
    <x v="0"/>
    <x v="108"/>
    <x v="108"/>
    <x v="108"/>
    <x v="4"/>
    <x v="11"/>
    <x v="0"/>
    <x v="0"/>
    <x v="0"/>
    <x v="0"/>
    <x v="0"/>
    <x v="2"/>
    <x v="108"/>
    <x v="2"/>
    <x v="1"/>
  </r>
  <r>
    <x v="109"/>
    <x v="25"/>
    <x v="1"/>
    <x v="2"/>
    <x v="12"/>
    <x v="4"/>
    <x v="1"/>
    <x v="0"/>
    <x v="2"/>
    <x v="2"/>
    <x v="109"/>
    <x v="1"/>
    <x v="109"/>
    <x v="109"/>
    <x v="109"/>
    <x v="15"/>
    <x v="11"/>
    <x v="0"/>
    <x v="0"/>
    <x v="0"/>
    <x v="0"/>
    <x v="0"/>
    <x v="2"/>
    <x v="109"/>
    <x v="2"/>
    <x v="1"/>
  </r>
  <r>
    <x v="110"/>
    <x v="90"/>
    <x v="2"/>
    <x v="4"/>
    <x v="11"/>
    <x v="2"/>
    <x v="2"/>
    <x v="1"/>
    <x v="0"/>
    <x v="0"/>
    <x v="110"/>
    <x v="2"/>
    <x v="110"/>
    <x v="110"/>
    <x v="110"/>
    <x v="18"/>
    <x v="9"/>
    <x v="0"/>
    <x v="1"/>
    <x v="1"/>
    <x v="1"/>
    <x v="1"/>
    <x v="4"/>
    <x v="110"/>
    <x v="4"/>
    <x v="1"/>
  </r>
  <r>
    <x v="111"/>
    <x v="91"/>
    <x v="2"/>
    <x v="2"/>
    <x v="14"/>
    <x v="4"/>
    <x v="1"/>
    <x v="0"/>
    <x v="3"/>
    <x v="4"/>
    <x v="111"/>
    <x v="0"/>
    <x v="111"/>
    <x v="111"/>
    <x v="111"/>
    <x v="24"/>
    <x v="6"/>
    <x v="0"/>
    <x v="0"/>
    <x v="0"/>
    <x v="0"/>
    <x v="0"/>
    <x v="2"/>
    <x v="111"/>
    <x v="2"/>
    <x v="1"/>
  </r>
  <r>
    <x v="112"/>
    <x v="92"/>
    <x v="1"/>
    <x v="1"/>
    <x v="5"/>
    <x v="8"/>
    <x v="7"/>
    <x v="2"/>
    <x v="3"/>
    <x v="3"/>
    <x v="112"/>
    <x v="1"/>
    <x v="112"/>
    <x v="112"/>
    <x v="112"/>
    <x v="7"/>
    <x v="9"/>
    <x v="0"/>
    <x v="1"/>
    <x v="1"/>
    <x v="1"/>
    <x v="0"/>
    <x v="1"/>
    <x v="112"/>
    <x v="1"/>
    <x v="1"/>
  </r>
  <r>
    <x v="113"/>
    <x v="93"/>
    <x v="2"/>
    <x v="2"/>
    <x v="2"/>
    <x v="9"/>
    <x v="8"/>
    <x v="2"/>
    <x v="2"/>
    <x v="4"/>
    <x v="113"/>
    <x v="4"/>
    <x v="113"/>
    <x v="113"/>
    <x v="113"/>
    <x v="23"/>
    <x v="1"/>
    <x v="0"/>
    <x v="0"/>
    <x v="0"/>
    <x v="1"/>
    <x v="1"/>
    <x v="2"/>
    <x v="113"/>
    <x v="2"/>
    <x v="1"/>
  </r>
  <r>
    <x v="114"/>
    <x v="94"/>
    <x v="0"/>
    <x v="4"/>
    <x v="11"/>
    <x v="5"/>
    <x v="4"/>
    <x v="2"/>
    <x v="1"/>
    <x v="2"/>
    <x v="114"/>
    <x v="0"/>
    <x v="114"/>
    <x v="114"/>
    <x v="114"/>
    <x v="20"/>
    <x v="0"/>
    <x v="0"/>
    <x v="1"/>
    <x v="1"/>
    <x v="0"/>
    <x v="0"/>
    <x v="4"/>
    <x v="114"/>
    <x v="4"/>
    <x v="1"/>
  </r>
  <r>
    <x v="115"/>
    <x v="95"/>
    <x v="0"/>
    <x v="1"/>
    <x v="15"/>
    <x v="0"/>
    <x v="0"/>
    <x v="0"/>
    <x v="2"/>
    <x v="3"/>
    <x v="115"/>
    <x v="1"/>
    <x v="115"/>
    <x v="115"/>
    <x v="115"/>
    <x v="5"/>
    <x v="4"/>
    <x v="0"/>
    <x v="0"/>
    <x v="0"/>
    <x v="1"/>
    <x v="0"/>
    <x v="1"/>
    <x v="115"/>
    <x v="1"/>
    <x v="1"/>
  </r>
  <r>
    <x v="116"/>
    <x v="2"/>
    <x v="0"/>
    <x v="3"/>
    <x v="9"/>
    <x v="9"/>
    <x v="8"/>
    <x v="2"/>
    <x v="1"/>
    <x v="0"/>
    <x v="116"/>
    <x v="0"/>
    <x v="116"/>
    <x v="116"/>
    <x v="116"/>
    <x v="15"/>
    <x v="0"/>
    <x v="0"/>
    <x v="1"/>
    <x v="1"/>
    <x v="0"/>
    <x v="0"/>
    <x v="3"/>
    <x v="116"/>
    <x v="3"/>
    <x v="1"/>
  </r>
  <r>
    <x v="117"/>
    <x v="96"/>
    <x v="0"/>
    <x v="2"/>
    <x v="12"/>
    <x v="4"/>
    <x v="1"/>
    <x v="0"/>
    <x v="0"/>
    <x v="2"/>
    <x v="117"/>
    <x v="3"/>
    <x v="117"/>
    <x v="117"/>
    <x v="117"/>
    <x v="9"/>
    <x v="11"/>
    <x v="0"/>
    <x v="0"/>
    <x v="0"/>
    <x v="1"/>
    <x v="0"/>
    <x v="2"/>
    <x v="117"/>
    <x v="2"/>
    <x v="1"/>
  </r>
  <r>
    <x v="118"/>
    <x v="73"/>
    <x v="1"/>
    <x v="4"/>
    <x v="8"/>
    <x v="3"/>
    <x v="3"/>
    <x v="0"/>
    <x v="2"/>
    <x v="0"/>
    <x v="118"/>
    <x v="2"/>
    <x v="118"/>
    <x v="118"/>
    <x v="118"/>
    <x v="3"/>
    <x v="11"/>
    <x v="0"/>
    <x v="1"/>
    <x v="1"/>
    <x v="0"/>
    <x v="1"/>
    <x v="4"/>
    <x v="118"/>
    <x v="4"/>
    <x v="1"/>
  </r>
  <r>
    <x v="119"/>
    <x v="87"/>
    <x v="2"/>
    <x v="3"/>
    <x v="3"/>
    <x v="5"/>
    <x v="4"/>
    <x v="2"/>
    <x v="3"/>
    <x v="4"/>
    <x v="119"/>
    <x v="2"/>
    <x v="119"/>
    <x v="119"/>
    <x v="119"/>
    <x v="1"/>
    <x v="10"/>
    <x v="0"/>
    <x v="0"/>
    <x v="1"/>
    <x v="1"/>
    <x v="1"/>
    <x v="3"/>
    <x v="119"/>
    <x v="3"/>
    <x v="1"/>
  </r>
  <r>
    <x v="120"/>
    <x v="97"/>
    <x v="0"/>
    <x v="3"/>
    <x v="3"/>
    <x v="7"/>
    <x v="6"/>
    <x v="2"/>
    <x v="0"/>
    <x v="5"/>
    <x v="120"/>
    <x v="4"/>
    <x v="120"/>
    <x v="120"/>
    <x v="120"/>
    <x v="16"/>
    <x v="9"/>
    <x v="0"/>
    <x v="0"/>
    <x v="1"/>
    <x v="0"/>
    <x v="1"/>
    <x v="3"/>
    <x v="120"/>
    <x v="3"/>
    <x v="1"/>
  </r>
  <r>
    <x v="121"/>
    <x v="98"/>
    <x v="0"/>
    <x v="0"/>
    <x v="13"/>
    <x v="6"/>
    <x v="5"/>
    <x v="3"/>
    <x v="3"/>
    <x v="3"/>
    <x v="121"/>
    <x v="0"/>
    <x v="121"/>
    <x v="121"/>
    <x v="121"/>
    <x v="5"/>
    <x v="4"/>
    <x v="0"/>
    <x v="0"/>
    <x v="0"/>
    <x v="1"/>
    <x v="0"/>
    <x v="0"/>
    <x v="121"/>
    <x v="0"/>
    <x v="1"/>
  </r>
  <r>
    <x v="122"/>
    <x v="58"/>
    <x v="1"/>
    <x v="1"/>
    <x v="15"/>
    <x v="5"/>
    <x v="4"/>
    <x v="2"/>
    <x v="0"/>
    <x v="6"/>
    <x v="122"/>
    <x v="0"/>
    <x v="122"/>
    <x v="122"/>
    <x v="122"/>
    <x v="15"/>
    <x v="10"/>
    <x v="0"/>
    <x v="0"/>
    <x v="0"/>
    <x v="0"/>
    <x v="0"/>
    <x v="1"/>
    <x v="122"/>
    <x v="1"/>
    <x v="1"/>
  </r>
  <r>
    <x v="123"/>
    <x v="99"/>
    <x v="2"/>
    <x v="2"/>
    <x v="2"/>
    <x v="8"/>
    <x v="7"/>
    <x v="2"/>
    <x v="2"/>
    <x v="5"/>
    <x v="123"/>
    <x v="2"/>
    <x v="123"/>
    <x v="123"/>
    <x v="123"/>
    <x v="20"/>
    <x v="1"/>
    <x v="0"/>
    <x v="0"/>
    <x v="0"/>
    <x v="0"/>
    <x v="1"/>
    <x v="2"/>
    <x v="123"/>
    <x v="2"/>
    <x v="1"/>
  </r>
  <r>
    <x v="124"/>
    <x v="100"/>
    <x v="0"/>
    <x v="4"/>
    <x v="16"/>
    <x v="8"/>
    <x v="7"/>
    <x v="2"/>
    <x v="1"/>
    <x v="6"/>
    <x v="124"/>
    <x v="1"/>
    <x v="124"/>
    <x v="124"/>
    <x v="124"/>
    <x v="2"/>
    <x v="3"/>
    <x v="0"/>
    <x v="0"/>
    <x v="0"/>
    <x v="1"/>
    <x v="0"/>
    <x v="4"/>
    <x v="124"/>
    <x v="4"/>
    <x v="1"/>
  </r>
  <r>
    <x v="125"/>
    <x v="101"/>
    <x v="1"/>
    <x v="0"/>
    <x v="18"/>
    <x v="4"/>
    <x v="1"/>
    <x v="0"/>
    <x v="0"/>
    <x v="4"/>
    <x v="125"/>
    <x v="0"/>
    <x v="125"/>
    <x v="125"/>
    <x v="125"/>
    <x v="21"/>
    <x v="1"/>
    <x v="0"/>
    <x v="0"/>
    <x v="0"/>
    <x v="0"/>
    <x v="0"/>
    <x v="0"/>
    <x v="125"/>
    <x v="0"/>
    <x v="1"/>
  </r>
  <r>
    <x v="126"/>
    <x v="102"/>
    <x v="0"/>
    <x v="1"/>
    <x v="15"/>
    <x v="2"/>
    <x v="2"/>
    <x v="1"/>
    <x v="1"/>
    <x v="3"/>
    <x v="126"/>
    <x v="0"/>
    <x v="126"/>
    <x v="126"/>
    <x v="126"/>
    <x v="1"/>
    <x v="9"/>
    <x v="0"/>
    <x v="0"/>
    <x v="0"/>
    <x v="1"/>
    <x v="0"/>
    <x v="1"/>
    <x v="126"/>
    <x v="1"/>
    <x v="1"/>
  </r>
  <r>
    <x v="127"/>
    <x v="52"/>
    <x v="0"/>
    <x v="0"/>
    <x v="13"/>
    <x v="8"/>
    <x v="7"/>
    <x v="2"/>
    <x v="0"/>
    <x v="5"/>
    <x v="127"/>
    <x v="1"/>
    <x v="127"/>
    <x v="127"/>
    <x v="127"/>
    <x v="6"/>
    <x v="9"/>
    <x v="0"/>
    <x v="0"/>
    <x v="0"/>
    <x v="0"/>
    <x v="0"/>
    <x v="0"/>
    <x v="127"/>
    <x v="0"/>
    <x v="1"/>
  </r>
  <r>
    <x v="128"/>
    <x v="45"/>
    <x v="2"/>
    <x v="1"/>
    <x v="15"/>
    <x v="8"/>
    <x v="7"/>
    <x v="2"/>
    <x v="3"/>
    <x v="5"/>
    <x v="128"/>
    <x v="3"/>
    <x v="128"/>
    <x v="128"/>
    <x v="128"/>
    <x v="2"/>
    <x v="7"/>
    <x v="0"/>
    <x v="0"/>
    <x v="0"/>
    <x v="1"/>
    <x v="0"/>
    <x v="1"/>
    <x v="128"/>
    <x v="1"/>
    <x v="1"/>
  </r>
  <r>
    <x v="129"/>
    <x v="34"/>
    <x v="2"/>
    <x v="1"/>
    <x v="5"/>
    <x v="3"/>
    <x v="3"/>
    <x v="0"/>
    <x v="3"/>
    <x v="2"/>
    <x v="129"/>
    <x v="2"/>
    <x v="129"/>
    <x v="129"/>
    <x v="129"/>
    <x v="3"/>
    <x v="2"/>
    <x v="0"/>
    <x v="0"/>
    <x v="0"/>
    <x v="0"/>
    <x v="1"/>
    <x v="1"/>
    <x v="129"/>
    <x v="1"/>
    <x v="1"/>
  </r>
  <r>
    <x v="130"/>
    <x v="7"/>
    <x v="0"/>
    <x v="2"/>
    <x v="14"/>
    <x v="4"/>
    <x v="1"/>
    <x v="0"/>
    <x v="0"/>
    <x v="1"/>
    <x v="130"/>
    <x v="2"/>
    <x v="130"/>
    <x v="130"/>
    <x v="130"/>
    <x v="0"/>
    <x v="5"/>
    <x v="0"/>
    <x v="0"/>
    <x v="0"/>
    <x v="0"/>
    <x v="1"/>
    <x v="2"/>
    <x v="130"/>
    <x v="2"/>
    <x v="1"/>
  </r>
  <r>
    <x v="131"/>
    <x v="103"/>
    <x v="2"/>
    <x v="1"/>
    <x v="15"/>
    <x v="5"/>
    <x v="4"/>
    <x v="2"/>
    <x v="1"/>
    <x v="4"/>
    <x v="131"/>
    <x v="1"/>
    <x v="131"/>
    <x v="131"/>
    <x v="131"/>
    <x v="12"/>
    <x v="10"/>
    <x v="0"/>
    <x v="1"/>
    <x v="1"/>
    <x v="1"/>
    <x v="0"/>
    <x v="1"/>
    <x v="131"/>
    <x v="1"/>
    <x v="1"/>
  </r>
  <r>
    <x v="132"/>
    <x v="104"/>
    <x v="1"/>
    <x v="0"/>
    <x v="6"/>
    <x v="2"/>
    <x v="2"/>
    <x v="1"/>
    <x v="2"/>
    <x v="0"/>
    <x v="132"/>
    <x v="1"/>
    <x v="132"/>
    <x v="132"/>
    <x v="132"/>
    <x v="5"/>
    <x v="0"/>
    <x v="0"/>
    <x v="0"/>
    <x v="0"/>
    <x v="1"/>
    <x v="0"/>
    <x v="0"/>
    <x v="132"/>
    <x v="0"/>
    <x v="1"/>
  </r>
  <r>
    <x v="133"/>
    <x v="105"/>
    <x v="2"/>
    <x v="1"/>
    <x v="15"/>
    <x v="9"/>
    <x v="8"/>
    <x v="2"/>
    <x v="2"/>
    <x v="4"/>
    <x v="133"/>
    <x v="3"/>
    <x v="133"/>
    <x v="133"/>
    <x v="133"/>
    <x v="12"/>
    <x v="5"/>
    <x v="0"/>
    <x v="1"/>
    <x v="1"/>
    <x v="1"/>
    <x v="0"/>
    <x v="1"/>
    <x v="133"/>
    <x v="1"/>
    <x v="1"/>
  </r>
  <r>
    <x v="134"/>
    <x v="106"/>
    <x v="1"/>
    <x v="2"/>
    <x v="2"/>
    <x v="6"/>
    <x v="5"/>
    <x v="3"/>
    <x v="3"/>
    <x v="0"/>
    <x v="134"/>
    <x v="2"/>
    <x v="134"/>
    <x v="134"/>
    <x v="134"/>
    <x v="3"/>
    <x v="6"/>
    <x v="0"/>
    <x v="0"/>
    <x v="0"/>
    <x v="0"/>
    <x v="1"/>
    <x v="2"/>
    <x v="134"/>
    <x v="2"/>
    <x v="1"/>
  </r>
  <r>
    <x v="135"/>
    <x v="107"/>
    <x v="1"/>
    <x v="2"/>
    <x v="4"/>
    <x v="0"/>
    <x v="0"/>
    <x v="0"/>
    <x v="2"/>
    <x v="3"/>
    <x v="135"/>
    <x v="1"/>
    <x v="135"/>
    <x v="135"/>
    <x v="135"/>
    <x v="5"/>
    <x v="1"/>
    <x v="0"/>
    <x v="0"/>
    <x v="0"/>
    <x v="1"/>
    <x v="0"/>
    <x v="2"/>
    <x v="135"/>
    <x v="2"/>
    <x v="1"/>
  </r>
  <r>
    <x v="136"/>
    <x v="108"/>
    <x v="1"/>
    <x v="0"/>
    <x v="6"/>
    <x v="7"/>
    <x v="6"/>
    <x v="2"/>
    <x v="3"/>
    <x v="0"/>
    <x v="136"/>
    <x v="0"/>
    <x v="136"/>
    <x v="136"/>
    <x v="136"/>
    <x v="13"/>
    <x v="8"/>
    <x v="0"/>
    <x v="0"/>
    <x v="0"/>
    <x v="1"/>
    <x v="0"/>
    <x v="0"/>
    <x v="136"/>
    <x v="0"/>
    <x v="1"/>
  </r>
  <r>
    <x v="137"/>
    <x v="109"/>
    <x v="1"/>
    <x v="3"/>
    <x v="17"/>
    <x v="8"/>
    <x v="7"/>
    <x v="2"/>
    <x v="2"/>
    <x v="6"/>
    <x v="137"/>
    <x v="1"/>
    <x v="137"/>
    <x v="137"/>
    <x v="137"/>
    <x v="0"/>
    <x v="2"/>
    <x v="0"/>
    <x v="0"/>
    <x v="0"/>
    <x v="0"/>
    <x v="0"/>
    <x v="3"/>
    <x v="137"/>
    <x v="3"/>
    <x v="1"/>
  </r>
  <r>
    <x v="138"/>
    <x v="110"/>
    <x v="0"/>
    <x v="3"/>
    <x v="17"/>
    <x v="4"/>
    <x v="1"/>
    <x v="0"/>
    <x v="0"/>
    <x v="0"/>
    <x v="138"/>
    <x v="0"/>
    <x v="138"/>
    <x v="138"/>
    <x v="138"/>
    <x v="23"/>
    <x v="3"/>
    <x v="0"/>
    <x v="1"/>
    <x v="1"/>
    <x v="1"/>
    <x v="0"/>
    <x v="3"/>
    <x v="138"/>
    <x v="3"/>
    <x v="1"/>
  </r>
  <r>
    <x v="139"/>
    <x v="111"/>
    <x v="0"/>
    <x v="1"/>
    <x v="5"/>
    <x v="0"/>
    <x v="0"/>
    <x v="0"/>
    <x v="3"/>
    <x v="0"/>
    <x v="139"/>
    <x v="3"/>
    <x v="139"/>
    <x v="139"/>
    <x v="139"/>
    <x v="16"/>
    <x v="11"/>
    <x v="0"/>
    <x v="1"/>
    <x v="1"/>
    <x v="0"/>
    <x v="0"/>
    <x v="1"/>
    <x v="139"/>
    <x v="1"/>
    <x v="1"/>
  </r>
  <r>
    <x v="140"/>
    <x v="112"/>
    <x v="0"/>
    <x v="4"/>
    <x v="11"/>
    <x v="7"/>
    <x v="6"/>
    <x v="2"/>
    <x v="3"/>
    <x v="2"/>
    <x v="140"/>
    <x v="2"/>
    <x v="140"/>
    <x v="140"/>
    <x v="140"/>
    <x v="5"/>
    <x v="11"/>
    <x v="0"/>
    <x v="1"/>
    <x v="1"/>
    <x v="1"/>
    <x v="1"/>
    <x v="4"/>
    <x v="140"/>
    <x v="4"/>
    <x v="1"/>
  </r>
  <r>
    <x v="141"/>
    <x v="14"/>
    <x v="1"/>
    <x v="1"/>
    <x v="1"/>
    <x v="7"/>
    <x v="6"/>
    <x v="2"/>
    <x v="0"/>
    <x v="5"/>
    <x v="141"/>
    <x v="1"/>
    <x v="141"/>
    <x v="141"/>
    <x v="141"/>
    <x v="11"/>
    <x v="7"/>
    <x v="0"/>
    <x v="0"/>
    <x v="0"/>
    <x v="1"/>
    <x v="0"/>
    <x v="1"/>
    <x v="141"/>
    <x v="1"/>
    <x v="1"/>
  </r>
  <r>
    <x v="142"/>
    <x v="113"/>
    <x v="0"/>
    <x v="0"/>
    <x v="13"/>
    <x v="9"/>
    <x v="8"/>
    <x v="2"/>
    <x v="3"/>
    <x v="4"/>
    <x v="142"/>
    <x v="0"/>
    <x v="142"/>
    <x v="142"/>
    <x v="142"/>
    <x v="0"/>
    <x v="8"/>
    <x v="0"/>
    <x v="0"/>
    <x v="0"/>
    <x v="0"/>
    <x v="0"/>
    <x v="0"/>
    <x v="142"/>
    <x v="0"/>
    <x v="1"/>
  </r>
  <r>
    <x v="143"/>
    <x v="114"/>
    <x v="1"/>
    <x v="0"/>
    <x v="0"/>
    <x v="9"/>
    <x v="8"/>
    <x v="2"/>
    <x v="2"/>
    <x v="4"/>
    <x v="143"/>
    <x v="1"/>
    <x v="143"/>
    <x v="143"/>
    <x v="143"/>
    <x v="18"/>
    <x v="7"/>
    <x v="0"/>
    <x v="0"/>
    <x v="0"/>
    <x v="1"/>
    <x v="0"/>
    <x v="0"/>
    <x v="143"/>
    <x v="0"/>
    <x v="0"/>
  </r>
  <r>
    <x v="144"/>
    <x v="35"/>
    <x v="2"/>
    <x v="0"/>
    <x v="13"/>
    <x v="9"/>
    <x v="8"/>
    <x v="2"/>
    <x v="2"/>
    <x v="3"/>
    <x v="144"/>
    <x v="0"/>
    <x v="144"/>
    <x v="144"/>
    <x v="144"/>
    <x v="8"/>
    <x v="6"/>
    <x v="0"/>
    <x v="0"/>
    <x v="0"/>
    <x v="1"/>
    <x v="0"/>
    <x v="0"/>
    <x v="144"/>
    <x v="0"/>
    <x v="1"/>
  </r>
  <r>
    <x v="145"/>
    <x v="43"/>
    <x v="0"/>
    <x v="0"/>
    <x v="18"/>
    <x v="1"/>
    <x v="1"/>
    <x v="0"/>
    <x v="3"/>
    <x v="3"/>
    <x v="145"/>
    <x v="2"/>
    <x v="145"/>
    <x v="145"/>
    <x v="145"/>
    <x v="3"/>
    <x v="2"/>
    <x v="0"/>
    <x v="0"/>
    <x v="0"/>
    <x v="0"/>
    <x v="1"/>
    <x v="0"/>
    <x v="145"/>
    <x v="0"/>
    <x v="1"/>
  </r>
  <r>
    <x v="146"/>
    <x v="21"/>
    <x v="1"/>
    <x v="0"/>
    <x v="18"/>
    <x v="1"/>
    <x v="1"/>
    <x v="0"/>
    <x v="2"/>
    <x v="0"/>
    <x v="146"/>
    <x v="1"/>
    <x v="146"/>
    <x v="146"/>
    <x v="146"/>
    <x v="23"/>
    <x v="4"/>
    <x v="0"/>
    <x v="0"/>
    <x v="0"/>
    <x v="1"/>
    <x v="0"/>
    <x v="0"/>
    <x v="146"/>
    <x v="0"/>
    <x v="1"/>
  </r>
  <r>
    <x v="147"/>
    <x v="35"/>
    <x v="0"/>
    <x v="2"/>
    <x v="14"/>
    <x v="7"/>
    <x v="6"/>
    <x v="2"/>
    <x v="1"/>
    <x v="1"/>
    <x v="147"/>
    <x v="2"/>
    <x v="147"/>
    <x v="147"/>
    <x v="147"/>
    <x v="19"/>
    <x v="6"/>
    <x v="0"/>
    <x v="0"/>
    <x v="0"/>
    <x v="0"/>
    <x v="1"/>
    <x v="2"/>
    <x v="147"/>
    <x v="2"/>
    <x v="1"/>
  </r>
  <r>
    <x v="148"/>
    <x v="77"/>
    <x v="2"/>
    <x v="3"/>
    <x v="9"/>
    <x v="9"/>
    <x v="8"/>
    <x v="2"/>
    <x v="3"/>
    <x v="4"/>
    <x v="148"/>
    <x v="0"/>
    <x v="148"/>
    <x v="148"/>
    <x v="148"/>
    <x v="19"/>
    <x v="8"/>
    <x v="0"/>
    <x v="1"/>
    <x v="1"/>
    <x v="0"/>
    <x v="0"/>
    <x v="3"/>
    <x v="148"/>
    <x v="3"/>
    <x v="1"/>
  </r>
  <r>
    <x v="149"/>
    <x v="115"/>
    <x v="0"/>
    <x v="0"/>
    <x v="6"/>
    <x v="3"/>
    <x v="3"/>
    <x v="0"/>
    <x v="0"/>
    <x v="3"/>
    <x v="149"/>
    <x v="1"/>
    <x v="149"/>
    <x v="149"/>
    <x v="149"/>
    <x v="8"/>
    <x v="1"/>
    <x v="0"/>
    <x v="0"/>
    <x v="0"/>
    <x v="1"/>
    <x v="0"/>
    <x v="0"/>
    <x v="149"/>
    <x v="0"/>
    <x v="1"/>
  </r>
  <r>
    <x v="150"/>
    <x v="116"/>
    <x v="1"/>
    <x v="4"/>
    <x v="19"/>
    <x v="8"/>
    <x v="7"/>
    <x v="2"/>
    <x v="1"/>
    <x v="0"/>
    <x v="150"/>
    <x v="3"/>
    <x v="150"/>
    <x v="150"/>
    <x v="150"/>
    <x v="9"/>
    <x v="11"/>
    <x v="0"/>
    <x v="1"/>
    <x v="1"/>
    <x v="1"/>
    <x v="0"/>
    <x v="4"/>
    <x v="150"/>
    <x v="4"/>
    <x v="1"/>
  </r>
  <r>
    <x v="151"/>
    <x v="3"/>
    <x v="2"/>
    <x v="4"/>
    <x v="11"/>
    <x v="0"/>
    <x v="0"/>
    <x v="0"/>
    <x v="3"/>
    <x v="3"/>
    <x v="151"/>
    <x v="1"/>
    <x v="151"/>
    <x v="151"/>
    <x v="151"/>
    <x v="4"/>
    <x v="2"/>
    <x v="0"/>
    <x v="1"/>
    <x v="1"/>
    <x v="0"/>
    <x v="0"/>
    <x v="4"/>
    <x v="151"/>
    <x v="4"/>
    <x v="1"/>
  </r>
  <r>
    <x v="152"/>
    <x v="117"/>
    <x v="2"/>
    <x v="4"/>
    <x v="19"/>
    <x v="0"/>
    <x v="0"/>
    <x v="0"/>
    <x v="0"/>
    <x v="6"/>
    <x v="152"/>
    <x v="0"/>
    <x v="152"/>
    <x v="152"/>
    <x v="152"/>
    <x v="1"/>
    <x v="0"/>
    <x v="0"/>
    <x v="0"/>
    <x v="0"/>
    <x v="1"/>
    <x v="0"/>
    <x v="4"/>
    <x v="152"/>
    <x v="4"/>
    <x v="0"/>
  </r>
  <r>
    <x v="153"/>
    <x v="118"/>
    <x v="1"/>
    <x v="4"/>
    <x v="19"/>
    <x v="1"/>
    <x v="1"/>
    <x v="0"/>
    <x v="2"/>
    <x v="6"/>
    <x v="153"/>
    <x v="2"/>
    <x v="153"/>
    <x v="153"/>
    <x v="153"/>
    <x v="11"/>
    <x v="3"/>
    <x v="0"/>
    <x v="0"/>
    <x v="0"/>
    <x v="1"/>
    <x v="1"/>
    <x v="4"/>
    <x v="153"/>
    <x v="4"/>
    <x v="1"/>
  </r>
  <r>
    <x v="154"/>
    <x v="119"/>
    <x v="1"/>
    <x v="2"/>
    <x v="2"/>
    <x v="7"/>
    <x v="6"/>
    <x v="2"/>
    <x v="0"/>
    <x v="3"/>
    <x v="154"/>
    <x v="1"/>
    <x v="154"/>
    <x v="154"/>
    <x v="154"/>
    <x v="4"/>
    <x v="0"/>
    <x v="0"/>
    <x v="0"/>
    <x v="0"/>
    <x v="0"/>
    <x v="0"/>
    <x v="2"/>
    <x v="154"/>
    <x v="2"/>
    <x v="1"/>
  </r>
  <r>
    <x v="155"/>
    <x v="120"/>
    <x v="1"/>
    <x v="4"/>
    <x v="8"/>
    <x v="4"/>
    <x v="1"/>
    <x v="0"/>
    <x v="1"/>
    <x v="6"/>
    <x v="155"/>
    <x v="0"/>
    <x v="155"/>
    <x v="155"/>
    <x v="155"/>
    <x v="9"/>
    <x v="2"/>
    <x v="0"/>
    <x v="0"/>
    <x v="0"/>
    <x v="1"/>
    <x v="0"/>
    <x v="4"/>
    <x v="155"/>
    <x v="4"/>
    <x v="1"/>
  </r>
  <r>
    <x v="156"/>
    <x v="121"/>
    <x v="2"/>
    <x v="0"/>
    <x v="18"/>
    <x v="5"/>
    <x v="4"/>
    <x v="2"/>
    <x v="2"/>
    <x v="3"/>
    <x v="156"/>
    <x v="2"/>
    <x v="156"/>
    <x v="156"/>
    <x v="156"/>
    <x v="6"/>
    <x v="9"/>
    <x v="0"/>
    <x v="0"/>
    <x v="0"/>
    <x v="0"/>
    <x v="1"/>
    <x v="0"/>
    <x v="156"/>
    <x v="0"/>
    <x v="1"/>
  </r>
  <r>
    <x v="157"/>
    <x v="54"/>
    <x v="1"/>
    <x v="1"/>
    <x v="5"/>
    <x v="5"/>
    <x v="4"/>
    <x v="2"/>
    <x v="3"/>
    <x v="0"/>
    <x v="157"/>
    <x v="2"/>
    <x v="157"/>
    <x v="157"/>
    <x v="157"/>
    <x v="11"/>
    <x v="11"/>
    <x v="0"/>
    <x v="0"/>
    <x v="1"/>
    <x v="1"/>
    <x v="1"/>
    <x v="1"/>
    <x v="157"/>
    <x v="1"/>
    <x v="1"/>
  </r>
  <r>
    <x v="158"/>
    <x v="122"/>
    <x v="0"/>
    <x v="4"/>
    <x v="16"/>
    <x v="1"/>
    <x v="1"/>
    <x v="0"/>
    <x v="2"/>
    <x v="2"/>
    <x v="158"/>
    <x v="0"/>
    <x v="158"/>
    <x v="158"/>
    <x v="158"/>
    <x v="11"/>
    <x v="9"/>
    <x v="0"/>
    <x v="0"/>
    <x v="1"/>
    <x v="1"/>
    <x v="0"/>
    <x v="4"/>
    <x v="158"/>
    <x v="4"/>
    <x v="1"/>
  </r>
  <r>
    <x v="159"/>
    <x v="104"/>
    <x v="2"/>
    <x v="2"/>
    <x v="2"/>
    <x v="4"/>
    <x v="1"/>
    <x v="0"/>
    <x v="3"/>
    <x v="1"/>
    <x v="159"/>
    <x v="4"/>
    <x v="159"/>
    <x v="159"/>
    <x v="159"/>
    <x v="17"/>
    <x v="0"/>
    <x v="0"/>
    <x v="0"/>
    <x v="0"/>
    <x v="1"/>
    <x v="1"/>
    <x v="2"/>
    <x v="159"/>
    <x v="2"/>
    <x v="1"/>
  </r>
  <r>
    <x v="160"/>
    <x v="123"/>
    <x v="1"/>
    <x v="2"/>
    <x v="12"/>
    <x v="1"/>
    <x v="1"/>
    <x v="0"/>
    <x v="3"/>
    <x v="0"/>
    <x v="160"/>
    <x v="0"/>
    <x v="160"/>
    <x v="160"/>
    <x v="160"/>
    <x v="19"/>
    <x v="8"/>
    <x v="0"/>
    <x v="0"/>
    <x v="0"/>
    <x v="0"/>
    <x v="0"/>
    <x v="2"/>
    <x v="160"/>
    <x v="2"/>
    <x v="1"/>
  </r>
  <r>
    <x v="161"/>
    <x v="50"/>
    <x v="1"/>
    <x v="4"/>
    <x v="11"/>
    <x v="5"/>
    <x v="4"/>
    <x v="2"/>
    <x v="0"/>
    <x v="2"/>
    <x v="161"/>
    <x v="3"/>
    <x v="161"/>
    <x v="161"/>
    <x v="161"/>
    <x v="15"/>
    <x v="0"/>
    <x v="0"/>
    <x v="1"/>
    <x v="1"/>
    <x v="0"/>
    <x v="0"/>
    <x v="4"/>
    <x v="161"/>
    <x v="4"/>
    <x v="1"/>
  </r>
  <r>
    <x v="162"/>
    <x v="124"/>
    <x v="0"/>
    <x v="1"/>
    <x v="10"/>
    <x v="4"/>
    <x v="1"/>
    <x v="0"/>
    <x v="0"/>
    <x v="2"/>
    <x v="162"/>
    <x v="2"/>
    <x v="162"/>
    <x v="162"/>
    <x v="162"/>
    <x v="0"/>
    <x v="8"/>
    <x v="0"/>
    <x v="0"/>
    <x v="0"/>
    <x v="0"/>
    <x v="1"/>
    <x v="1"/>
    <x v="162"/>
    <x v="1"/>
    <x v="1"/>
  </r>
  <r>
    <x v="163"/>
    <x v="125"/>
    <x v="1"/>
    <x v="4"/>
    <x v="16"/>
    <x v="9"/>
    <x v="8"/>
    <x v="2"/>
    <x v="0"/>
    <x v="4"/>
    <x v="163"/>
    <x v="0"/>
    <x v="163"/>
    <x v="163"/>
    <x v="163"/>
    <x v="12"/>
    <x v="8"/>
    <x v="0"/>
    <x v="1"/>
    <x v="1"/>
    <x v="1"/>
    <x v="0"/>
    <x v="4"/>
    <x v="163"/>
    <x v="4"/>
    <x v="1"/>
  </r>
  <r>
    <x v="164"/>
    <x v="126"/>
    <x v="0"/>
    <x v="2"/>
    <x v="4"/>
    <x v="7"/>
    <x v="6"/>
    <x v="2"/>
    <x v="1"/>
    <x v="0"/>
    <x v="164"/>
    <x v="0"/>
    <x v="164"/>
    <x v="164"/>
    <x v="164"/>
    <x v="22"/>
    <x v="1"/>
    <x v="0"/>
    <x v="0"/>
    <x v="0"/>
    <x v="1"/>
    <x v="0"/>
    <x v="2"/>
    <x v="164"/>
    <x v="2"/>
    <x v="1"/>
  </r>
  <r>
    <x v="165"/>
    <x v="0"/>
    <x v="1"/>
    <x v="3"/>
    <x v="3"/>
    <x v="0"/>
    <x v="0"/>
    <x v="0"/>
    <x v="1"/>
    <x v="0"/>
    <x v="165"/>
    <x v="0"/>
    <x v="165"/>
    <x v="165"/>
    <x v="165"/>
    <x v="5"/>
    <x v="0"/>
    <x v="0"/>
    <x v="1"/>
    <x v="1"/>
    <x v="1"/>
    <x v="0"/>
    <x v="3"/>
    <x v="165"/>
    <x v="3"/>
    <x v="1"/>
  </r>
  <r>
    <x v="166"/>
    <x v="69"/>
    <x v="0"/>
    <x v="0"/>
    <x v="18"/>
    <x v="3"/>
    <x v="3"/>
    <x v="0"/>
    <x v="0"/>
    <x v="3"/>
    <x v="166"/>
    <x v="2"/>
    <x v="166"/>
    <x v="166"/>
    <x v="166"/>
    <x v="2"/>
    <x v="10"/>
    <x v="0"/>
    <x v="0"/>
    <x v="0"/>
    <x v="1"/>
    <x v="1"/>
    <x v="0"/>
    <x v="166"/>
    <x v="0"/>
    <x v="0"/>
  </r>
  <r>
    <x v="167"/>
    <x v="104"/>
    <x v="1"/>
    <x v="2"/>
    <x v="14"/>
    <x v="2"/>
    <x v="2"/>
    <x v="1"/>
    <x v="1"/>
    <x v="2"/>
    <x v="167"/>
    <x v="2"/>
    <x v="167"/>
    <x v="167"/>
    <x v="167"/>
    <x v="7"/>
    <x v="0"/>
    <x v="0"/>
    <x v="0"/>
    <x v="0"/>
    <x v="1"/>
    <x v="1"/>
    <x v="2"/>
    <x v="167"/>
    <x v="2"/>
    <x v="1"/>
  </r>
  <r>
    <x v="168"/>
    <x v="13"/>
    <x v="2"/>
    <x v="4"/>
    <x v="16"/>
    <x v="7"/>
    <x v="6"/>
    <x v="2"/>
    <x v="2"/>
    <x v="2"/>
    <x v="168"/>
    <x v="3"/>
    <x v="168"/>
    <x v="168"/>
    <x v="168"/>
    <x v="16"/>
    <x v="3"/>
    <x v="0"/>
    <x v="0"/>
    <x v="1"/>
    <x v="0"/>
    <x v="0"/>
    <x v="4"/>
    <x v="168"/>
    <x v="4"/>
    <x v="0"/>
  </r>
  <r>
    <x v="169"/>
    <x v="16"/>
    <x v="0"/>
    <x v="0"/>
    <x v="18"/>
    <x v="9"/>
    <x v="8"/>
    <x v="2"/>
    <x v="2"/>
    <x v="2"/>
    <x v="169"/>
    <x v="3"/>
    <x v="169"/>
    <x v="169"/>
    <x v="169"/>
    <x v="5"/>
    <x v="8"/>
    <x v="0"/>
    <x v="0"/>
    <x v="0"/>
    <x v="1"/>
    <x v="0"/>
    <x v="0"/>
    <x v="169"/>
    <x v="0"/>
    <x v="1"/>
  </r>
  <r>
    <x v="170"/>
    <x v="127"/>
    <x v="2"/>
    <x v="4"/>
    <x v="11"/>
    <x v="5"/>
    <x v="4"/>
    <x v="2"/>
    <x v="1"/>
    <x v="3"/>
    <x v="170"/>
    <x v="0"/>
    <x v="170"/>
    <x v="170"/>
    <x v="170"/>
    <x v="19"/>
    <x v="10"/>
    <x v="0"/>
    <x v="1"/>
    <x v="1"/>
    <x v="0"/>
    <x v="0"/>
    <x v="4"/>
    <x v="170"/>
    <x v="4"/>
    <x v="1"/>
  </r>
  <r>
    <x v="171"/>
    <x v="80"/>
    <x v="0"/>
    <x v="4"/>
    <x v="11"/>
    <x v="9"/>
    <x v="8"/>
    <x v="2"/>
    <x v="1"/>
    <x v="4"/>
    <x v="171"/>
    <x v="0"/>
    <x v="171"/>
    <x v="171"/>
    <x v="171"/>
    <x v="17"/>
    <x v="11"/>
    <x v="0"/>
    <x v="1"/>
    <x v="1"/>
    <x v="1"/>
    <x v="0"/>
    <x v="4"/>
    <x v="171"/>
    <x v="4"/>
    <x v="1"/>
  </r>
  <r>
    <x v="172"/>
    <x v="128"/>
    <x v="2"/>
    <x v="3"/>
    <x v="3"/>
    <x v="1"/>
    <x v="1"/>
    <x v="0"/>
    <x v="2"/>
    <x v="0"/>
    <x v="172"/>
    <x v="1"/>
    <x v="172"/>
    <x v="172"/>
    <x v="172"/>
    <x v="19"/>
    <x v="5"/>
    <x v="0"/>
    <x v="0"/>
    <x v="0"/>
    <x v="0"/>
    <x v="0"/>
    <x v="3"/>
    <x v="172"/>
    <x v="3"/>
    <x v="1"/>
  </r>
  <r>
    <x v="173"/>
    <x v="129"/>
    <x v="1"/>
    <x v="0"/>
    <x v="0"/>
    <x v="4"/>
    <x v="1"/>
    <x v="0"/>
    <x v="3"/>
    <x v="2"/>
    <x v="173"/>
    <x v="2"/>
    <x v="173"/>
    <x v="173"/>
    <x v="173"/>
    <x v="14"/>
    <x v="8"/>
    <x v="0"/>
    <x v="0"/>
    <x v="0"/>
    <x v="1"/>
    <x v="1"/>
    <x v="0"/>
    <x v="173"/>
    <x v="0"/>
    <x v="1"/>
  </r>
  <r>
    <x v="174"/>
    <x v="130"/>
    <x v="1"/>
    <x v="0"/>
    <x v="6"/>
    <x v="0"/>
    <x v="0"/>
    <x v="0"/>
    <x v="2"/>
    <x v="6"/>
    <x v="174"/>
    <x v="0"/>
    <x v="174"/>
    <x v="174"/>
    <x v="174"/>
    <x v="2"/>
    <x v="3"/>
    <x v="0"/>
    <x v="0"/>
    <x v="0"/>
    <x v="1"/>
    <x v="0"/>
    <x v="0"/>
    <x v="174"/>
    <x v="0"/>
    <x v="1"/>
  </r>
  <r>
    <x v="175"/>
    <x v="26"/>
    <x v="1"/>
    <x v="3"/>
    <x v="3"/>
    <x v="8"/>
    <x v="7"/>
    <x v="2"/>
    <x v="2"/>
    <x v="0"/>
    <x v="175"/>
    <x v="3"/>
    <x v="175"/>
    <x v="175"/>
    <x v="175"/>
    <x v="22"/>
    <x v="2"/>
    <x v="0"/>
    <x v="1"/>
    <x v="1"/>
    <x v="1"/>
    <x v="0"/>
    <x v="3"/>
    <x v="175"/>
    <x v="3"/>
    <x v="1"/>
  </r>
  <r>
    <x v="176"/>
    <x v="131"/>
    <x v="2"/>
    <x v="2"/>
    <x v="14"/>
    <x v="1"/>
    <x v="1"/>
    <x v="0"/>
    <x v="1"/>
    <x v="3"/>
    <x v="176"/>
    <x v="1"/>
    <x v="176"/>
    <x v="176"/>
    <x v="176"/>
    <x v="1"/>
    <x v="1"/>
    <x v="0"/>
    <x v="0"/>
    <x v="0"/>
    <x v="1"/>
    <x v="0"/>
    <x v="2"/>
    <x v="176"/>
    <x v="2"/>
    <x v="1"/>
  </r>
  <r>
    <x v="177"/>
    <x v="132"/>
    <x v="0"/>
    <x v="4"/>
    <x v="8"/>
    <x v="7"/>
    <x v="6"/>
    <x v="2"/>
    <x v="2"/>
    <x v="4"/>
    <x v="177"/>
    <x v="1"/>
    <x v="177"/>
    <x v="177"/>
    <x v="177"/>
    <x v="7"/>
    <x v="3"/>
    <x v="0"/>
    <x v="1"/>
    <x v="1"/>
    <x v="1"/>
    <x v="0"/>
    <x v="4"/>
    <x v="177"/>
    <x v="4"/>
    <x v="1"/>
  </r>
  <r>
    <x v="178"/>
    <x v="133"/>
    <x v="0"/>
    <x v="1"/>
    <x v="5"/>
    <x v="1"/>
    <x v="1"/>
    <x v="0"/>
    <x v="1"/>
    <x v="6"/>
    <x v="178"/>
    <x v="2"/>
    <x v="178"/>
    <x v="178"/>
    <x v="178"/>
    <x v="1"/>
    <x v="8"/>
    <x v="0"/>
    <x v="0"/>
    <x v="0"/>
    <x v="1"/>
    <x v="1"/>
    <x v="1"/>
    <x v="178"/>
    <x v="1"/>
    <x v="1"/>
  </r>
  <r>
    <x v="179"/>
    <x v="122"/>
    <x v="1"/>
    <x v="4"/>
    <x v="11"/>
    <x v="7"/>
    <x v="6"/>
    <x v="2"/>
    <x v="1"/>
    <x v="3"/>
    <x v="179"/>
    <x v="3"/>
    <x v="179"/>
    <x v="179"/>
    <x v="179"/>
    <x v="12"/>
    <x v="9"/>
    <x v="0"/>
    <x v="1"/>
    <x v="1"/>
    <x v="1"/>
    <x v="0"/>
    <x v="4"/>
    <x v="179"/>
    <x v="4"/>
    <x v="1"/>
  </r>
  <r>
    <x v="180"/>
    <x v="134"/>
    <x v="2"/>
    <x v="4"/>
    <x v="8"/>
    <x v="8"/>
    <x v="7"/>
    <x v="2"/>
    <x v="0"/>
    <x v="5"/>
    <x v="180"/>
    <x v="1"/>
    <x v="180"/>
    <x v="180"/>
    <x v="180"/>
    <x v="4"/>
    <x v="5"/>
    <x v="0"/>
    <x v="1"/>
    <x v="1"/>
    <x v="0"/>
    <x v="0"/>
    <x v="4"/>
    <x v="180"/>
    <x v="4"/>
    <x v="1"/>
  </r>
  <r>
    <x v="181"/>
    <x v="135"/>
    <x v="1"/>
    <x v="2"/>
    <x v="2"/>
    <x v="6"/>
    <x v="5"/>
    <x v="3"/>
    <x v="2"/>
    <x v="0"/>
    <x v="181"/>
    <x v="0"/>
    <x v="181"/>
    <x v="181"/>
    <x v="181"/>
    <x v="15"/>
    <x v="0"/>
    <x v="0"/>
    <x v="0"/>
    <x v="0"/>
    <x v="0"/>
    <x v="0"/>
    <x v="2"/>
    <x v="181"/>
    <x v="2"/>
    <x v="1"/>
  </r>
  <r>
    <x v="182"/>
    <x v="136"/>
    <x v="1"/>
    <x v="4"/>
    <x v="11"/>
    <x v="0"/>
    <x v="0"/>
    <x v="0"/>
    <x v="3"/>
    <x v="5"/>
    <x v="182"/>
    <x v="3"/>
    <x v="182"/>
    <x v="182"/>
    <x v="182"/>
    <x v="3"/>
    <x v="4"/>
    <x v="0"/>
    <x v="1"/>
    <x v="1"/>
    <x v="0"/>
    <x v="0"/>
    <x v="4"/>
    <x v="182"/>
    <x v="4"/>
    <x v="1"/>
  </r>
  <r>
    <x v="183"/>
    <x v="137"/>
    <x v="0"/>
    <x v="3"/>
    <x v="9"/>
    <x v="3"/>
    <x v="3"/>
    <x v="0"/>
    <x v="0"/>
    <x v="3"/>
    <x v="183"/>
    <x v="1"/>
    <x v="183"/>
    <x v="183"/>
    <x v="183"/>
    <x v="5"/>
    <x v="7"/>
    <x v="0"/>
    <x v="1"/>
    <x v="1"/>
    <x v="1"/>
    <x v="0"/>
    <x v="3"/>
    <x v="183"/>
    <x v="3"/>
    <x v="1"/>
  </r>
  <r>
    <x v="184"/>
    <x v="138"/>
    <x v="2"/>
    <x v="3"/>
    <x v="17"/>
    <x v="3"/>
    <x v="3"/>
    <x v="0"/>
    <x v="1"/>
    <x v="3"/>
    <x v="184"/>
    <x v="3"/>
    <x v="184"/>
    <x v="184"/>
    <x v="184"/>
    <x v="21"/>
    <x v="5"/>
    <x v="0"/>
    <x v="1"/>
    <x v="1"/>
    <x v="0"/>
    <x v="0"/>
    <x v="3"/>
    <x v="184"/>
    <x v="3"/>
    <x v="1"/>
  </r>
  <r>
    <x v="185"/>
    <x v="139"/>
    <x v="0"/>
    <x v="0"/>
    <x v="18"/>
    <x v="2"/>
    <x v="2"/>
    <x v="1"/>
    <x v="1"/>
    <x v="3"/>
    <x v="185"/>
    <x v="0"/>
    <x v="185"/>
    <x v="185"/>
    <x v="185"/>
    <x v="21"/>
    <x v="0"/>
    <x v="0"/>
    <x v="0"/>
    <x v="0"/>
    <x v="0"/>
    <x v="0"/>
    <x v="0"/>
    <x v="185"/>
    <x v="0"/>
    <x v="1"/>
  </r>
  <r>
    <x v="186"/>
    <x v="140"/>
    <x v="1"/>
    <x v="1"/>
    <x v="1"/>
    <x v="9"/>
    <x v="8"/>
    <x v="2"/>
    <x v="3"/>
    <x v="2"/>
    <x v="186"/>
    <x v="0"/>
    <x v="186"/>
    <x v="186"/>
    <x v="186"/>
    <x v="23"/>
    <x v="8"/>
    <x v="0"/>
    <x v="0"/>
    <x v="0"/>
    <x v="1"/>
    <x v="0"/>
    <x v="1"/>
    <x v="186"/>
    <x v="1"/>
    <x v="1"/>
  </r>
  <r>
    <x v="187"/>
    <x v="141"/>
    <x v="0"/>
    <x v="4"/>
    <x v="16"/>
    <x v="6"/>
    <x v="5"/>
    <x v="3"/>
    <x v="1"/>
    <x v="4"/>
    <x v="187"/>
    <x v="3"/>
    <x v="187"/>
    <x v="187"/>
    <x v="187"/>
    <x v="2"/>
    <x v="1"/>
    <x v="0"/>
    <x v="0"/>
    <x v="1"/>
    <x v="1"/>
    <x v="0"/>
    <x v="4"/>
    <x v="187"/>
    <x v="4"/>
    <x v="1"/>
  </r>
  <r>
    <x v="188"/>
    <x v="78"/>
    <x v="0"/>
    <x v="4"/>
    <x v="19"/>
    <x v="3"/>
    <x v="3"/>
    <x v="0"/>
    <x v="2"/>
    <x v="2"/>
    <x v="188"/>
    <x v="3"/>
    <x v="188"/>
    <x v="188"/>
    <x v="188"/>
    <x v="22"/>
    <x v="2"/>
    <x v="0"/>
    <x v="0"/>
    <x v="0"/>
    <x v="1"/>
    <x v="0"/>
    <x v="4"/>
    <x v="188"/>
    <x v="4"/>
    <x v="1"/>
  </r>
  <r>
    <x v="189"/>
    <x v="142"/>
    <x v="0"/>
    <x v="2"/>
    <x v="2"/>
    <x v="1"/>
    <x v="1"/>
    <x v="0"/>
    <x v="0"/>
    <x v="4"/>
    <x v="189"/>
    <x v="4"/>
    <x v="189"/>
    <x v="189"/>
    <x v="189"/>
    <x v="17"/>
    <x v="7"/>
    <x v="0"/>
    <x v="0"/>
    <x v="0"/>
    <x v="1"/>
    <x v="1"/>
    <x v="2"/>
    <x v="189"/>
    <x v="2"/>
    <x v="1"/>
  </r>
  <r>
    <x v="190"/>
    <x v="115"/>
    <x v="0"/>
    <x v="3"/>
    <x v="9"/>
    <x v="9"/>
    <x v="8"/>
    <x v="2"/>
    <x v="1"/>
    <x v="1"/>
    <x v="190"/>
    <x v="3"/>
    <x v="190"/>
    <x v="190"/>
    <x v="190"/>
    <x v="25"/>
    <x v="1"/>
    <x v="0"/>
    <x v="1"/>
    <x v="1"/>
    <x v="1"/>
    <x v="0"/>
    <x v="3"/>
    <x v="190"/>
    <x v="3"/>
    <x v="1"/>
  </r>
  <r>
    <x v="191"/>
    <x v="143"/>
    <x v="1"/>
    <x v="1"/>
    <x v="15"/>
    <x v="6"/>
    <x v="5"/>
    <x v="3"/>
    <x v="1"/>
    <x v="2"/>
    <x v="191"/>
    <x v="3"/>
    <x v="191"/>
    <x v="191"/>
    <x v="191"/>
    <x v="11"/>
    <x v="7"/>
    <x v="0"/>
    <x v="0"/>
    <x v="0"/>
    <x v="1"/>
    <x v="0"/>
    <x v="1"/>
    <x v="191"/>
    <x v="1"/>
    <x v="1"/>
  </r>
  <r>
    <x v="192"/>
    <x v="72"/>
    <x v="0"/>
    <x v="0"/>
    <x v="18"/>
    <x v="4"/>
    <x v="1"/>
    <x v="0"/>
    <x v="3"/>
    <x v="5"/>
    <x v="192"/>
    <x v="1"/>
    <x v="192"/>
    <x v="192"/>
    <x v="192"/>
    <x v="15"/>
    <x v="6"/>
    <x v="0"/>
    <x v="0"/>
    <x v="0"/>
    <x v="0"/>
    <x v="0"/>
    <x v="0"/>
    <x v="192"/>
    <x v="0"/>
    <x v="1"/>
  </r>
  <r>
    <x v="193"/>
    <x v="133"/>
    <x v="0"/>
    <x v="3"/>
    <x v="9"/>
    <x v="4"/>
    <x v="1"/>
    <x v="0"/>
    <x v="2"/>
    <x v="4"/>
    <x v="193"/>
    <x v="0"/>
    <x v="193"/>
    <x v="193"/>
    <x v="193"/>
    <x v="15"/>
    <x v="8"/>
    <x v="0"/>
    <x v="1"/>
    <x v="1"/>
    <x v="0"/>
    <x v="0"/>
    <x v="3"/>
    <x v="193"/>
    <x v="3"/>
    <x v="1"/>
  </r>
  <r>
    <x v="194"/>
    <x v="144"/>
    <x v="0"/>
    <x v="0"/>
    <x v="0"/>
    <x v="9"/>
    <x v="8"/>
    <x v="2"/>
    <x v="1"/>
    <x v="2"/>
    <x v="194"/>
    <x v="2"/>
    <x v="194"/>
    <x v="194"/>
    <x v="194"/>
    <x v="19"/>
    <x v="7"/>
    <x v="0"/>
    <x v="0"/>
    <x v="0"/>
    <x v="0"/>
    <x v="1"/>
    <x v="0"/>
    <x v="194"/>
    <x v="0"/>
    <x v="1"/>
  </r>
  <r>
    <x v="195"/>
    <x v="145"/>
    <x v="0"/>
    <x v="2"/>
    <x v="2"/>
    <x v="7"/>
    <x v="6"/>
    <x v="2"/>
    <x v="3"/>
    <x v="0"/>
    <x v="195"/>
    <x v="1"/>
    <x v="195"/>
    <x v="195"/>
    <x v="195"/>
    <x v="4"/>
    <x v="7"/>
    <x v="0"/>
    <x v="0"/>
    <x v="0"/>
    <x v="0"/>
    <x v="0"/>
    <x v="2"/>
    <x v="195"/>
    <x v="2"/>
    <x v="1"/>
  </r>
  <r>
    <x v="196"/>
    <x v="89"/>
    <x v="0"/>
    <x v="2"/>
    <x v="4"/>
    <x v="7"/>
    <x v="6"/>
    <x v="2"/>
    <x v="1"/>
    <x v="3"/>
    <x v="196"/>
    <x v="0"/>
    <x v="196"/>
    <x v="196"/>
    <x v="196"/>
    <x v="9"/>
    <x v="9"/>
    <x v="0"/>
    <x v="0"/>
    <x v="0"/>
    <x v="1"/>
    <x v="0"/>
    <x v="2"/>
    <x v="196"/>
    <x v="2"/>
    <x v="1"/>
  </r>
  <r>
    <x v="197"/>
    <x v="146"/>
    <x v="0"/>
    <x v="4"/>
    <x v="19"/>
    <x v="1"/>
    <x v="1"/>
    <x v="0"/>
    <x v="3"/>
    <x v="4"/>
    <x v="197"/>
    <x v="1"/>
    <x v="197"/>
    <x v="197"/>
    <x v="197"/>
    <x v="6"/>
    <x v="9"/>
    <x v="0"/>
    <x v="1"/>
    <x v="1"/>
    <x v="0"/>
    <x v="0"/>
    <x v="4"/>
    <x v="197"/>
    <x v="4"/>
    <x v="1"/>
  </r>
  <r>
    <x v="198"/>
    <x v="79"/>
    <x v="1"/>
    <x v="1"/>
    <x v="10"/>
    <x v="6"/>
    <x v="5"/>
    <x v="3"/>
    <x v="3"/>
    <x v="4"/>
    <x v="198"/>
    <x v="3"/>
    <x v="198"/>
    <x v="198"/>
    <x v="198"/>
    <x v="6"/>
    <x v="10"/>
    <x v="0"/>
    <x v="0"/>
    <x v="0"/>
    <x v="0"/>
    <x v="0"/>
    <x v="1"/>
    <x v="198"/>
    <x v="1"/>
    <x v="1"/>
  </r>
  <r>
    <x v="199"/>
    <x v="147"/>
    <x v="1"/>
    <x v="0"/>
    <x v="6"/>
    <x v="6"/>
    <x v="5"/>
    <x v="3"/>
    <x v="2"/>
    <x v="2"/>
    <x v="199"/>
    <x v="2"/>
    <x v="199"/>
    <x v="199"/>
    <x v="199"/>
    <x v="1"/>
    <x v="10"/>
    <x v="0"/>
    <x v="0"/>
    <x v="0"/>
    <x v="1"/>
    <x v="1"/>
    <x v="0"/>
    <x v="199"/>
    <x v="0"/>
    <x v="0"/>
  </r>
  <r>
    <x v="200"/>
    <x v="148"/>
    <x v="1"/>
    <x v="3"/>
    <x v="7"/>
    <x v="9"/>
    <x v="8"/>
    <x v="2"/>
    <x v="1"/>
    <x v="1"/>
    <x v="200"/>
    <x v="3"/>
    <x v="200"/>
    <x v="200"/>
    <x v="200"/>
    <x v="21"/>
    <x v="3"/>
    <x v="0"/>
    <x v="0"/>
    <x v="1"/>
    <x v="0"/>
    <x v="0"/>
    <x v="3"/>
    <x v="200"/>
    <x v="3"/>
    <x v="1"/>
  </r>
  <r>
    <x v="201"/>
    <x v="149"/>
    <x v="1"/>
    <x v="2"/>
    <x v="14"/>
    <x v="5"/>
    <x v="4"/>
    <x v="2"/>
    <x v="2"/>
    <x v="2"/>
    <x v="201"/>
    <x v="0"/>
    <x v="201"/>
    <x v="201"/>
    <x v="201"/>
    <x v="19"/>
    <x v="7"/>
    <x v="0"/>
    <x v="0"/>
    <x v="0"/>
    <x v="0"/>
    <x v="0"/>
    <x v="2"/>
    <x v="201"/>
    <x v="2"/>
    <x v="1"/>
  </r>
  <r>
    <x v="202"/>
    <x v="150"/>
    <x v="0"/>
    <x v="4"/>
    <x v="16"/>
    <x v="4"/>
    <x v="1"/>
    <x v="0"/>
    <x v="3"/>
    <x v="5"/>
    <x v="202"/>
    <x v="1"/>
    <x v="202"/>
    <x v="202"/>
    <x v="202"/>
    <x v="13"/>
    <x v="0"/>
    <x v="0"/>
    <x v="1"/>
    <x v="1"/>
    <x v="1"/>
    <x v="0"/>
    <x v="4"/>
    <x v="202"/>
    <x v="4"/>
    <x v="1"/>
  </r>
  <r>
    <x v="203"/>
    <x v="151"/>
    <x v="2"/>
    <x v="4"/>
    <x v="19"/>
    <x v="6"/>
    <x v="5"/>
    <x v="3"/>
    <x v="0"/>
    <x v="5"/>
    <x v="203"/>
    <x v="0"/>
    <x v="203"/>
    <x v="203"/>
    <x v="203"/>
    <x v="24"/>
    <x v="10"/>
    <x v="0"/>
    <x v="1"/>
    <x v="1"/>
    <x v="0"/>
    <x v="0"/>
    <x v="4"/>
    <x v="203"/>
    <x v="4"/>
    <x v="1"/>
  </r>
  <r>
    <x v="204"/>
    <x v="49"/>
    <x v="1"/>
    <x v="0"/>
    <x v="18"/>
    <x v="9"/>
    <x v="8"/>
    <x v="2"/>
    <x v="1"/>
    <x v="4"/>
    <x v="204"/>
    <x v="1"/>
    <x v="204"/>
    <x v="204"/>
    <x v="204"/>
    <x v="18"/>
    <x v="2"/>
    <x v="0"/>
    <x v="0"/>
    <x v="0"/>
    <x v="1"/>
    <x v="0"/>
    <x v="0"/>
    <x v="204"/>
    <x v="0"/>
    <x v="0"/>
  </r>
  <r>
    <x v="205"/>
    <x v="152"/>
    <x v="1"/>
    <x v="2"/>
    <x v="12"/>
    <x v="8"/>
    <x v="7"/>
    <x v="2"/>
    <x v="0"/>
    <x v="4"/>
    <x v="205"/>
    <x v="2"/>
    <x v="205"/>
    <x v="205"/>
    <x v="205"/>
    <x v="25"/>
    <x v="3"/>
    <x v="0"/>
    <x v="0"/>
    <x v="0"/>
    <x v="1"/>
    <x v="1"/>
    <x v="2"/>
    <x v="205"/>
    <x v="2"/>
    <x v="1"/>
  </r>
  <r>
    <x v="206"/>
    <x v="153"/>
    <x v="0"/>
    <x v="1"/>
    <x v="5"/>
    <x v="2"/>
    <x v="2"/>
    <x v="1"/>
    <x v="1"/>
    <x v="2"/>
    <x v="206"/>
    <x v="1"/>
    <x v="206"/>
    <x v="206"/>
    <x v="206"/>
    <x v="1"/>
    <x v="3"/>
    <x v="0"/>
    <x v="0"/>
    <x v="0"/>
    <x v="1"/>
    <x v="0"/>
    <x v="1"/>
    <x v="206"/>
    <x v="1"/>
    <x v="1"/>
  </r>
  <r>
    <x v="207"/>
    <x v="154"/>
    <x v="0"/>
    <x v="2"/>
    <x v="4"/>
    <x v="8"/>
    <x v="7"/>
    <x v="2"/>
    <x v="2"/>
    <x v="5"/>
    <x v="207"/>
    <x v="2"/>
    <x v="207"/>
    <x v="207"/>
    <x v="207"/>
    <x v="21"/>
    <x v="7"/>
    <x v="0"/>
    <x v="0"/>
    <x v="0"/>
    <x v="0"/>
    <x v="1"/>
    <x v="2"/>
    <x v="207"/>
    <x v="2"/>
    <x v="1"/>
  </r>
  <r>
    <x v="208"/>
    <x v="58"/>
    <x v="0"/>
    <x v="0"/>
    <x v="18"/>
    <x v="0"/>
    <x v="0"/>
    <x v="0"/>
    <x v="2"/>
    <x v="5"/>
    <x v="208"/>
    <x v="3"/>
    <x v="208"/>
    <x v="208"/>
    <x v="208"/>
    <x v="0"/>
    <x v="10"/>
    <x v="0"/>
    <x v="0"/>
    <x v="0"/>
    <x v="0"/>
    <x v="0"/>
    <x v="0"/>
    <x v="208"/>
    <x v="0"/>
    <x v="1"/>
  </r>
  <r>
    <x v="209"/>
    <x v="146"/>
    <x v="0"/>
    <x v="0"/>
    <x v="13"/>
    <x v="1"/>
    <x v="1"/>
    <x v="0"/>
    <x v="2"/>
    <x v="1"/>
    <x v="209"/>
    <x v="0"/>
    <x v="209"/>
    <x v="209"/>
    <x v="209"/>
    <x v="10"/>
    <x v="9"/>
    <x v="0"/>
    <x v="0"/>
    <x v="0"/>
    <x v="0"/>
    <x v="0"/>
    <x v="0"/>
    <x v="209"/>
    <x v="0"/>
    <x v="1"/>
  </r>
  <r>
    <x v="210"/>
    <x v="61"/>
    <x v="1"/>
    <x v="2"/>
    <x v="14"/>
    <x v="6"/>
    <x v="5"/>
    <x v="3"/>
    <x v="2"/>
    <x v="0"/>
    <x v="210"/>
    <x v="3"/>
    <x v="210"/>
    <x v="210"/>
    <x v="210"/>
    <x v="12"/>
    <x v="1"/>
    <x v="0"/>
    <x v="0"/>
    <x v="0"/>
    <x v="1"/>
    <x v="0"/>
    <x v="2"/>
    <x v="210"/>
    <x v="2"/>
    <x v="1"/>
  </r>
  <r>
    <x v="211"/>
    <x v="111"/>
    <x v="1"/>
    <x v="0"/>
    <x v="0"/>
    <x v="0"/>
    <x v="0"/>
    <x v="0"/>
    <x v="2"/>
    <x v="1"/>
    <x v="211"/>
    <x v="2"/>
    <x v="211"/>
    <x v="211"/>
    <x v="211"/>
    <x v="9"/>
    <x v="11"/>
    <x v="0"/>
    <x v="0"/>
    <x v="0"/>
    <x v="1"/>
    <x v="1"/>
    <x v="0"/>
    <x v="211"/>
    <x v="0"/>
    <x v="1"/>
  </r>
  <r>
    <x v="212"/>
    <x v="155"/>
    <x v="1"/>
    <x v="2"/>
    <x v="4"/>
    <x v="3"/>
    <x v="3"/>
    <x v="0"/>
    <x v="0"/>
    <x v="6"/>
    <x v="212"/>
    <x v="1"/>
    <x v="212"/>
    <x v="212"/>
    <x v="212"/>
    <x v="0"/>
    <x v="8"/>
    <x v="0"/>
    <x v="0"/>
    <x v="0"/>
    <x v="0"/>
    <x v="0"/>
    <x v="2"/>
    <x v="212"/>
    <x v="2"/>
    <x v="1"/>
  </r>
  <r>
    <x v="213"/>
    <x v="156"/>
    <x v="1"/>
    <x v="3"/>
    <x v="7"/>
    <x v="0"/>
    <x v="0"/>
    <x v="0"/>
    <x v="2"/>
    <x v="3"/>
    <x v="213"/>
    <x v="1"/>
    <x v="213"/>
    <x v="213"/>
    <x v="213"/>
    <x v="21"/>
    <x v="2"/>
    <x v="0"/>
    <x v="1"/>
    <x v="1"/>
    <x v="0"/>
    <x v="0"/>
    <x v="3"/>
    <x v="213"/>
    <x v="3"/>
    <x v="1"/>
  </r>
  <r>
    <x v="214"/>
    <x v="62"/>
    <x v="2"/>
    <x v="2"/>
    <x v="2"/>
    <x v="9"/>
    <x v="8"/>
    <x v="2"/>
    <x v="3"/>
    <x v="1"/>
    <x v="214"/>
    <x v="0"/>
    <x v="214"/>
    <x v="214"/>
    <x v="214"/>
    <x v="25"/>
    <x v="10"/>
    <x v="0"/>
    <x v="0"/>
    <x v="0"/>
    <x v="1"/>
    <x v="0"/>
    <x v="2"/>
    <x v="214"/>
    <x v="2"/>
    <x v="1"/>
  </r>
  <r>
    <x v="215"/>
    <x v="26"/>
    <x v="1"/>
    <x v="2"/>
    <x v="4"/>
    <x v="6"/>
    <x v="5"/>
    <x v="3"/>
    <x v="3"/>
    <x v="2"/>
    <x v="215"/>
    <x v="1"/>
    <x v="215"/>
    <x v="215"/>
    <x v="215"/>
    <x v="2"/>
    <x v="2"/>
    <x v="0"/>
    <x v="0"/>
    <x v="0"/>
    <x v="1"/>
    <x v="0"/>
    <x v="2"/>
    <x v="215"/>
    <x v="2"/>
    <x v="1"/>
  </r>
  <r>
    <x v="216"/>
    <x v="157"/>
    <x v="2"/>
    <x v="0"/>
    <x v="0"/>
    <x v="2"/>
    <x v="2"/>
    <x v="1"/>
    <x v="0"/>
    <x v="0"/>
    <x v="216"/>
    <x v="1"/>
    <x v="216"/>
    <x v="216"/>
    <x v="216"/>
    <x v="20"/>
    <x v="8"/>
    <x v="0"/>
    <x v="0"/>
    <x v="0"/>
    <x v="0"/>
    <x v="0"/>
    <x v="0"/>
    <x v="216"/>
    <x v="0"/>
    <x v="0"/>
  </r>
  <r>
    <x v="217"/>
    <x v="128"/>
    <x v="0"/>
    <x v="0"/>
    <x v="6"/>
    <x v="9"/>
    <x v="8"/>
    <x v="2"/>
    <x v="1"/>
    <x v="2"/>
    <x v="217"/>
    <x v="2"/>
    <x v="217"/>
    <x v="217"/>
    <x v="217"/>
    <x v="20"/>
    <x v="5"/>
    <x v="0"/>
    <x v="0"/>
    <x v="0"/>
    <x v="0"/>
    <x v="1"/>
    <x v="0"/>
    <x v="217"/>
    <x v="0"/>
    <x v="1"/>
  </r>
  <r>
    <x v="218"/>
    <x v="158"/>
    <x v="0"/>
    <x v="4"/>
    <x v="19"/>
    <x v="9"/>
    <x v="8"/>
    <x v="2"/>
    <x v="3"/>
    <x v="3"/>
    <x v="218"/>
    <x v="4"/>
    <x v="218"/>
    <x v="218"/>
    <x v="218"/>
    <x v="2"/>
    <x v="8"/>
    <x v="0"/>
    <x v="1"/>
    <x v="1"/>
    <x v="1"/>
    <x v="1"/>
    <x v="4"/>
    <x v="218"/>
    <x v="4"/>
    <x v="1"/>
  </r>
  <r>
    <x v="219"/>
    <x v="159"/>
    <x v="0"/>
    <x v="4"/>
    <x v="8"/>
    <x v="1"/>
    <x v="1"/>
    <x v="0"/>
    <x v="1"/>
    <x v="6"/>
    <x v="219"/>
    <x v="3"/>
    <x v="219"/>
    <x v="219"/>
    <x v="219"/>
    <x v="22"/>
    <x v="3"/>
    <x v="0"/>
    <x v="0"/>
    <x v="1"/>
    <x v="1"/>
    <x v="0"/>
    <x v="4"/>
    <x v="219"/>
    <x v="4"/>
    <x v="0"/>
  </r>
  <r>
    <x v="220"/>
    <x v="141"/>
    <x v="1"/>
    <x v="3"/>
    <x v="7"/>
    <x v="1"/>
    <x v="1"/>
    <x v="0"/>
    <x v="0"/>
    <x v="0"/>
    <x v="220"/>
    <x v="2"/>
    <x v="220"/>
    <x v="220"/>
    <x v="220"/>
    <x v="19"/>
    <x v="1"/>
    <x v="0"/>
    <x v="0"/>
    <x v="0"/>
    <x v="0"/>
    <x v="1"/>
    <x v="3"/>
    <x v="220"/>
    <x v="3"/>
    <x v="1"/>
  </r>
  <r>
    <x v="221"/>
    <x v="160"/>
    <x v="2"/>
    <x v="4"/>
    <x v="8"/>
    <x v="4"/>
    <x v="1"/>
    <x v="0"/>
    <x v="1"/>
    <x v="4"/>
    <x v="221"/>
    <x v="0"/>
    <x v="221"/>
    <x v="221"/>
    <x v="221"/>
    <x v="15"/>
    <x v="9"/>
    <x v="0"/>
    <x v="1"/>
    <x v="1"/>
    <x v="0"/>
    <x v="0"/>
    <x v="4"/>
    <x v="221"/>
    <x v="4"/>
    <x v="1"/>
  </r>
  <r>
    <x v="222"/>
    <x v="59"/>
    <x v="0"/>
    <x v="2"/>
    <x v="2"/>
    <x v="4"/>
    <x v="1"/>
    <x v="0"/>
    <x v="1"/>
    <x v="5"/>
    <x v="222"/>
    <x v="3"/>
    <x v="222"/>
    <x v="222"/>
    <x v="222"/>
    <x v="12"/>
    <x v="1"/>
    <x v="0"/>
    <x v="0"/>
    <x v="0"/>
    <x v="1"/>
    <x v="0"/>
    <x v="2"/>
    <x v="222"/>
    <x v="2"/>
    <x v="1"/>
  </r>
  <r>
    <x v="223"/>
    <x v="66"/>
    <x v="2"/>
    <x v="0"/>
    <x v="18"/>
    <x v="7"/>
    <x v="6"/>
    <x v="2"/>
    <x v="1"/>
    <x v="1"/>
    <x v="223"/>
    <x v="0"/>
    <x v="223"/>
    <x v="223"/>
    <x v="223"/>
    <x v="8"/>
    <x v="9"/>
    <x v="0"/>
    <x v="0"/>
    <x v="0"/>
    <x v="1"/>
    <x v="0"/>
    <x v="0"/>
    <x v="223"/>
    <x v="0"/>
    <x v="0"/>
  </r>
  <r>
    <x v="224"/>
    <x v="161"/>
    <x v="0"/>
    <x v="4"/>
    <x v="19"/>
    <x v="5"/>
    <x v="4"/>
    <x v="2"/>
    <x v="1"/>
    <x v="2"/>
    <x v="224"/>
    <x v="0"/>
    <x v="224"/>
    <x v="224"/>
    <x v="224"/>
    <x v="4"/>
    <x v="8"/>
    <x v="0"/>
    <x v="0"/>
    <x v="1"/>
    <x v="0"/>
    <x v="0"/>
    <x v="4"/>
    <x v="224"/>
    <x v="4"/>
    <x v="1"/>
  </r>
  <r>
    <x v="225"/>
    <x v="162"/>
    <x v="2"/>
    <x v="4"/>
    <x v="11"/>
    <x v="6"/>
    <x v="5"/>
    <x v="3"/>
    <x v="0"/>
    <x v="6"/>
    <x v="225"/>
    <x v="4"/>
    <x v="225"/>
    <x v="225"/>
    <x v="225"/>
    <x v="5"/>
    <x v="1"/>
    <x v="0"/>
    <x v="0"/>
    <x v="0"/>
    <x v="1"/>
    <x v="1"/>
    <x v="4"/>
    <x v="225"/>
    <x v="4"/>
    <x v="1"/>
  </r>
  <r>
    <x v="226"/>
    <x v="163"/>
    <x v="0"/>
    <x v="3"/>
    <x v="17"/>
    <x v="6"/>
    <x v="5"/>
    <x v="3"/>
    <x v="3"/>
    <x v="5"/>
    <x v="226"/>
    <x v="3"/>
    <x v="226"/>
    <x v="226"/>
    <x v="226"/>
    <x v="17"/>
    <x v="5"/>
    <x v="0"/>
    <x v="0"/>
    <x v="1"/>
    <x v="1"/>
    <x v="0"/>
    <x v="3"/>
    <x v="226"/>
    <x v="3"/>
    <x v="1"/>
  </r>
  <r>
    <x v="227"/>
    <x v="58"/>
    <x v="0"/>
    <x v="3"/>
    <x v="7"/>
    <x v="0"/>
    <x v="0"/>
    <x v="0"/>
    <x v="2"/>
    <x v="1"/>
    <x v="227"/>
    <x v="0"/>
    <x v="227"/>
    <x v="227"/>
    <x v="227"/>
    <x v="13"/>
    <x v="10"/>
    <x v="0"/>
    <x v="1"/>
    <x v="1"/>
    <x v="1"/>
    <x v="0"/>
    <x v="3"/>
    <x v="227"/>
    <x v="3"/>
    <x v="1"/>
  </r>
  <r>
    <x v="228"/>
    <x v="73"/>
    <x v="1"/>
    <x v="2"/>
    <x v="14"/>
    <x v="6"/>
    <x v="5"/>
    <x v="3"/>
    <x v="1"/>
    <x v="5"/>
    <x v="228"/>
    <x v="1"/>
    <x v="228"/>
    <x v="228"/>
    <x v="228"/>
    <x v="8"/>
    <x v="11"/>
    <x v="0"/>
    <x v="0"/>
    <x v="0"/>
    <x v="1"/>
    <x v="0"/>
    <x v="2"/>
    <x v="228"/>
    <x v="2"/>
    <x v="1"/>
  </r>
  <r>
    <x v="229"/>
    <x v="111"/>
    <x v="0"/>
    <x v="0"/>
    <x v="18"/>
    <x v="6"/>
    <x v="5"/>
    <x v="3"/>
    <x v="3"/>
    <x v="1"/>
    <x v="229"/>
    <x v="1"/>
    <x v="229"/>
    <x v="229"/>
    <x v="229"/>
    <x v="16"/>
    <x v="11"/>
    <x v="0"/>
    <x v="0"/>
    <x v="0"/>
    <x v="0"/>
    <x v="0"/>
    <x v="0"/>
    <x v="229"/>
    <x v="0"/>
    <x v="1"/>
  </r>
  <r>
    <x v="230"/>
    <x v="122"/>
    <x v="0"/>
    <x v="3"/>
    <x v="9"/>
    <x v="5"/>
    <x v="4"/>
    <x v="2"/>
    <x v="3"/>
    <x v="4"/>
    <x v="230"/>
    <x v="1"/>
    <x v="230"/>
    <x v="230"/>
    <x v="230"/>
    <x v="11"/>
    <x v="9"/>
    <x v="0"/>
    <x v="1"/>
    <x v="1"/>
    <x v="1"/>
    <x v="0"/>
    <x v="3"/>
    <x v="230"/>
    <x v="3"/>
    <x v="1"/>
  </r>
  <r>
    <x v="231"/>
    <x v="164"/>
    <x v="0"/>
    <x v="4"/>
    <x v="16"/>
    <x v="3"/>
    <x v="3"/>
    <x v="0"/>
    <x v="0"/>
    <x v="0"/>
    <x v="231"/>
    <x v="4"/>
    <x v="231"/>
    <x v="231"/>
    <x v="231"/>
    <x v="16"/>
    <x v="10"/>
    <x v="0"/>
    <x v="1"/>
    <x v="1"/>
    <x v="0"/>
    <x v="1"/>
    <x v="4"/>
    <x v="231"/>
    <x v="4"/>
    <x v="1"/>
  </r>
  <r>
    <x v="232"/>
    <x v="94"/>
    <x v="2"/>
    <x v="0"/>
    <x v="13"/>
    <x v="4"/>
    <x v="1"/>
    <x v="0"/>
    <x v="3"/>
    <x v="5"/>
    <x v="232"/>
    <x v="2"/>
    <x v="232"/>
    <x v="232"/>
    <x v="232"/>
    <x v="8"/>
    <x v="0"/>
    <x v="0"/>
    <x v="0"/>
    <x v="0"/>
    <x v="1"/>
    <x v="1"/>
    <x v="0"/>
    <x v="232"/>
    <x v="0"/>
    <x v="1"/>
  </r>
  <r>
    <x v="233"/>
    <x v="165"/>
    <x v="1"/>
    <x v="0"/>
    <x v="13"/>
    <x v="4"/>
    <x v="1"/>
    <x v="0"/>
    <x v="0"/>
    <x v="5"/>
    <x v="233"/>
    <x v="2"/>
    <x v="233"/>
    <x v="233"/>
    <x v="233"/>
    <x v="14"/>
    <x v="6"/>
    <x v="0"/>
    <x v="0"/>
    <x v="0"/>
    <x v="1"/>
    <x v="1"/>
    <x v="0"/>
    <x v="233"/>
    <x v="0"/>
    <x v="1"/>
  </r>
  <r>
    <x v="234"/>
    <x v="166"/>
    <x v="0"/>
    <x v="4"/>
    <x v="19"/>
    <x v="2"/>
    <x v="2"/>
    <x v="1"/>
    <x v="1"/>
    <x v="5"/>
    <x v="234"/>
    <x v="0"/>
    <x v="234"/>
    <x v="234"/>
    <x v="234"/>
    <x v="11"/>
    <x v="11"/>
    <x v="0"/>
    <x v="1"/>
    <x v="1"/>
    <x v="1"/>
    <x v="0"/>
    <x v="4"/>
    <x v="234"/>
    <x v="4"/>
    <x v="1"/>
  </r>
  <r>
    <x v="235"/>
    <x v="167"/>
    <x v="1"/>
    <x v="3"/>
    <x v="9"/>
    <x v="6"/>
    <x v="5"/>
    <x v="3"/>
    <x v="1"/>
    <x v="0"/>
    <x v="235"/>
    <x v="3"/>
    <x v="235"/>
    <x v="235"/>
    <x v="235"/>
    <x v="24"/>
    <x v="10"/>
    <x v="0"/>
    <x v="0"/>
    <x v="1"/>
    <x v="0"/>
    <x v="0"/>
    <x v="3"/>
    <x v="235"/>
    <x v="3"/>
    <x v="1"/>
  </r>
  <r>
    <x v="236"/>
    <x v="22"/>
    <x v="1"/>
    <x v="4"/>
    <x v="19"/>
    <x v="5"/>
    <x v="4"/>
    <x v="2"/>
    <x v="2"/>
    <x v="6"/>
    <x v="236"/>
    <x v="1"/>
    <x v="236"/>
    <x v="236"/>
    <x v="236"/>
    <x v="6"/>
    <x v="9"/>
    <x v="0"/>
    <x v="0"/>
    <x v="0"/>
    <x v="0"/>
    <x v="0"/>
    <x v="4"/>
    <x v="236"/>
    <x v="4"/>
    <x v="1"/>
  </r>
  <r>
    <x v="237"/>
    <x v="64"/>
    <x v="0"/>
    <x v="0"/>
    <x v="13"/>
    <x v="4"/>
    <x v="1"/>
    <x v="0"/>
    <x v="2"/>
    <x v="1"/>
    <x v="237"/>
    <x v="3"/>
    <x v="237"/>
    <x v="237"/>
    <x v="237"/>
    <x v="5"/>
    <x v="7"/>
    <x v="0"/>
    <x v="0"/>
    <x v="0"/>
    <x v="1"/>
    <x v="0"/>
    <x v="0"/>
    <x v="237"/>
    <x v="0"/>
    <x v="0"/>
  </r>
  <r>
    <x v="238"/>
    <x v="2"/>
    <x v="0"/>
    <x v="1"/>
    <x v="15"/>
    <x v="5"/>
    <x v="4"/>
    <x v="2"/>
    <x v="2"/>
    <x v="4"/>
    <x v="238"/>
    <x v="3"/>
    <x v="238"/>
    <x v="238"/>
    <x v="238"/>
    <x v="20"/>
    <x v="0"/>
    <x v="0"/>
    <x v="1"/>
    <x v="1"/>
    <x v="0"/>
    <x v="0"/>
    <x v="1"/>
    <x v="238"/>
    <x v="1"/>
    <x v="1"/>
  </r>
  <r>
    <x v="239"/>
    <x v="168"/>
    <x v="0"/>
    <x v="1"/>
    <x v="10"/>
    <x v="8"/>
    <x v="7"/>
    <x v="2"/>
    <x v="3"/>
    <x v="5"/>
    <x v="239"/>
    <x v="2"/>
    <x v="239"/>
    <x v="239"/>
    <x v="239"/>
    <x v="21"/>
    <x v="0"/>
    <x v="0"/>
    <x v="0"/>
    <x v="0"/>
    <x v="0"/>
    <x v="1"/>
    <x v="1"/>
    <x v="239"/>
    <x v="1"/>
    <x v="1"/>
  </r>
  <r>
    <x v="240"/>
    <x v="169"/>
    <x v="0"/>
    <x v="2"/>
    <x v="2"/>
    <x v="3"/>
    <x v="3"/>
    <x v="0"/>
    <x v="1"/>
    <x v="3"/>
    <x v="240"/>
    <x v="0"/>
    <x v="240"/>
    <x v="240"/>
    <x v="240"/>
    <x v="19"/>
    <x v="3"/>
    <x v="0"/>
    <x v="0"/>
    <x v="0"/>
    <x v="0"/>
    <x v="0"/>
    <x v="2"/>
    <x v="240"/>
    <x v="2"/>
    <x v="1"/>
  </r>
  <r>
    <x v="241"/>
    <x v="94"/>
    <x v="1"/>
    <x v="4"/>
    <x v="11"/>
    <x v="6"/>
    <x v="5"/>
    <x v="3"/>
    <x v="0"/>
    <x v="0"/>
    <x v="241"/>
    <x v="1"/>
    <x v="241"/>
    <x v="241"/>
    <x v="241"/>
    <x v="23"/>
    <x v="0"/>
    <x v="0"/>
    <x v="1"/>
    <x v="1"/>
    <x v="1"/>
    <x v="0"/>
    <x v="4"/>
    <x v="241"/>
    <x v="4"/>
    <x v="1"/>
  </r>
  <r>
    <x v="242"/>
    <x v="138"/>
    <x v="0"/>
    <x v="4"/>
    <x v="16"/>
    <x v="2"/>
    <x v="2"/>
    <x v="1"/>
    <x v="2"/>
    <x v="6"/>
    <x v="242"/>
    <x v="1"/>
    <x v="242"/>
    <x v="242"/>
    <x v="242"/>
    <x v="15"/>
    <x v="5"/>
    <x v="0"/>
    <x v="0"/>
    <x v="1"/>
    <x v="0"/>
    <x v="0"/>
    <x v="4"/>
    <x v="242"/>
    <x v="4"/>
    <x v="1"/>
  </r>
  <r>
    <x v="243"/>
    <x v="80"/>
    <x v="1"/>
    <x v="2"/>
    <x v="12"/>
    <x v="0"/>
    <x v="0"/>
    <x v="0"/>
    <x v="0"/>
    <x v="1"/>
    <x v="243"/>
    <x v="1"/>
    <x v="243"/>
    <x v="243"/>
    <x v="243"/>
    <x v="18"/>
    <x v="11"/>
    <x v="0"/>
    <x v="0"/>
    <x v="0"/>
    <x v="1"/>
    <x v="0"/>
    <x v="2"/>
    <x v="243"/>
    <x v="2"/>
    <x v="1"/>
  </r>
  <r>
    <x v="244"/>
    <x v="143"/>
    <x v="1"/>
    <x v="2"/>
    <x v="12"/>
    <x v="4"/>
    <x v="1"/>
    <x v="0"/>
    <x v="0"/>
    <x v="0"/>
    <x v="244"/>
    <x v="3"/>
    <x v="244"/>
    <x v="244"/>
    <x v="244"/>
    <x v="12"/>
    <x v="7"/>
    <x v="0"/>
    <x v="0"/>
    <x v="0"/>
    <x v="1"/>
    <x v="0"/>
    <x v="2"/>
    <x v="244"/>
    <x v="2"/>
    <x v="1"/>
  </r>
  <r>
    <x v="245"/>
    <x v="170"/>
    <x v="0"/>
    <x v="2"/>
    <x v="2"/>
    <x v="8"/>
    <x v="7"/>
    <x v="2"/>
    <x v="2"/>
    <x v="4"/>
    <x v="245"/>
    <x v="2"/>
    <x v="245"/>
    <x v="245"/>
    <x v="245"/>
    <x v="19"/>
    <x v="4"/>
    <x v="0"/>
    <x v="0"/>
    <x v="0"/>
    <x v="0"/>
    <x v="1"/>
    <x v="2"/>
    <x v="245"/>
    <x v="2"/>
    <x v="1"/>
  </r>
  <r>
    <x v="246"/>
    <x v="171"/>
    <x v="1"/>
    <x v="0"/>
    <x v="0"/>
    <x v="5"/>
    <x v="4"/>
    <x v="2"/>
    <x v="1"/>
    <x v="4"/>
    <x v="246"/>
    <x v="0"/>
    <x v="246"/>
    <x v="246"/>
    <x v="246"/>
    <x v="13"/>
    <x v="6"/>
    <x v="0"/>
    <x v="0"/>
    <x v="0"/>
    <x v="1"/>
    <x v="0"/>
    <x v="0"/>
    <x v="246"/>
    <x v="0"/>
    <x v="1"/>
  </r>
  <r>
    <x v="247"/>
    <x v="91"/>
    <x v="0"/>
    <x v="4"/>
    <x v="8"/>
    <x v="1"/>
    <x v="1"/>
    <x v="0"/>
    <x v="2"/>
    <x v="1"/>
    <x v="247"/>
    <x v="2"/>
    <x v="247"/>
    <x v="247"/>
    <x v="247"/>
    <x v="8"/>
    <x v="6"/>
    <x v="0"/>
    <x v="1"/>
    <x v="1"/>
    <x v="1"/>
    <x v="1"/>
    <x v="4"/>
    <x v="247"/>
    <x v="4"/>
    <x v="1"/>
  </r>
  <r>
    <x v="248"/>
    <x v="80"/>
    <x v="2"/>
    <x v="0"/>
    <x v="6"/>
    <x v="9"/>
    <x v="8"/>
    <x v="2"/>
    <x v="0"/>
    <x v="5"/>
    <x v="61"/>
    <x v="0"/>
    <x v="248"/>
    <x v="248"/>
    <x v="248"/>
    <x v="11"/>
    <x v="11"/>
    <x v="0"/>
    <x v="0"/>
    <x v="0"/>
    <x v="1"/>
    <x v="0"/>
    <x v="0"/>
    <x v="248"/>
    <x v="0"/>
    <x v="0"/>
  </r>
  <r>
    <x v="249"/>
    <x v="172"/>
    <x v="1"/>
    <x v="2"/>
    <x v="12"/>
    <x v="6"/>
    <x v="5"/>
    <x v="3"/>
    <x v="2"/>
    <x v="4"/>
    <x v="248"/>
    <x v="3"/>
    <x v="249"/>
    <x v="249"/>
    <x v="249"/>
    <x v="4"/>
    <x v="9"/>
    <x v="0"/>
    <x v="0"/>
    <x v="0"/>
    <x v="0"/>
    <x v="0"/>
    <x v="2"/>
    <x v="249"/>
    <x v="2"/>
    <x v="1"/>
  </r>
  <r>
    <x v="250"/>
    <x v="17"/>
    <x v="2"/>
    <x v="4"/>
    <x v="16"/>
    <x v="6"/>
    <x v="5"/>
    <x v="3"/>
    <x v="0"/>
    <x v="6"/>
    <x v="249"/>
    <x v="1"/>
    <x v="250"/>
    <x v="250"/>
    <x v="250"/>
    <x v="16"/>
    <x v="9"/>
    <x v="0"/>
    <x v="0"/>
    <x v="0"/>
    <x v="0"/>
    <x v="0"/>
    <x v="4"/>
    <x v="250"/>
    <x v="4"/>
    <x v="1"/>
  </r>
  <r>
    <x v="251"/>
    <x v="173"/>
    <x v="1"/>
    <x v="0"/>
    <x v="18"/>
    <x v="8"/>
    <x v="7"/>
    <x v="2"/>
    <x v="0"/>
    <x v="0"/>
    <x v="250"/>
    <x v="2"/>
    <x v="251"/>
    <x v="251"/>
    <x v="251"/>
    <x v="23"/>
    <x v="0"/>
    <x v="0"/>
    <x v="0"/>
    <x v="0"/>
    <x v="1"/>
    <x v="1"/>
    <x v="0"/>
    <x v="251"/>
    <x v="0"/>
    <x v="1"/>
  </r>
  <r>
    <x v="252"/>
    <x v="132"/>
    <x v="0"/>
    <x v="0"/>
    <x v="6"/>
    <x v="5"/>
    <x v="4"/>
    <x v="2"/>
    <x v="2"/>
    <x v="6"/>
    <x v="251"/>
    <x v="2"/>
    <x v="252"/>
    <x v="252"/>
    <x v="252"/>
    <x v="19"/>
    <x v="3"/>
    <x v="0"/>
    <x v="0"/>
    <x v="0"/>
    <x v="0"/>
    <x v="1"/>
    <x v="0"/>
    <x v="252"/>
    <x v="0"/>
    <x v="0"/>
  </r>
  <r>
    <x v="253"/>
    <x v="174"/>
    <x v="1"/>
    <x v="2"/>
    <x v="14"/>
    <x v="7"/>
    <x v="6"/>
    <x v="2"/>
    <x v="3"/>
    <x v="5"/>
    <x v="252"/>
    <x v="1"/>
    <x v="253"/>
    <x v="253"/>
    <x v="253"/>
    <x v="9"/>
    <x v="6"/>
    <x v="0"/>
    <x v="0"/>
    <x v="0"/>
    <x v="1"/>
    <x v="0"/>
    <x v="2"/>
    <x v="253"/>
    <x v="2"/>
    <x v="1"/>
  </r>
  <r>
    <x v="254"/>
    <x v="175"/>
    <x v="2"/>
    <x v="4"/>
    <x v="16"/>
    <x v="6"/>
    <x v="5"/>
    <x v="3"/>
    <x v="2"/>
    <x v="6"/>
    <x v="253"/>
    <x v="0"/>
    <x v="254"/>
    <x v="254"/>
    <x v="254"/>
    <x v="22"/>
    <x v="11"/>
    <x v="0"/>
    <x v="0"/>
    <x v="1"/>
    <x v="1"/>
    <x v="0"/>
    <x v="4"/>
    <x v="254"/>
    <x v="4"/>
    <x v="1"/>
  </r>
  <r>
    <x v="255"/>
    <x v="48"/>
    <x v="1"/>
    <x v="2"/>
    <x v="2"/>
    <x v="7"/>
    <x v="6"/>
    <x v="2"/>
    <x v="3"/>
    <x v="6"/>
    <x v="254"/>
    <x v="0"/>
    <x v="255"/>
    <x v="255"/>
    <x v="255"/>
    <x v="24"/>
    <x v="5"/>
    <x v="0"/>
    <x v="0"/>
    <x v="0"/>
    <x v="0"/>
    <x v="0"/>
    <x v="2"/>
    <x v="255"/>
    <x v="2"/>
    <x v="1"/>
  </r>
  <r>
    <x v="256"/>
    <x v="122"/>
    <x v="2"/>
    <x v="4"/>
    <x v="8"/>
    <x v="1"/>
    <x v="1"/>
    <x v="0"/>
    <x v="0"/>
    <x v="2"/>
    <x v="255"/>
    <x v="0"/>
    <x v="256"/>
    <x v="256"/>
    <x v="256"/>
    <x v="22"/>
    <x v="9"/>
    <x v="0"/>
    <x v="0"/>
    <x v="0"/>
    <x v="1"/>
    <x v="0"/>
    <x v="4"/>
    <x v="256"/>
    <x v="4"/>
    <x v="1"/>
  </r>
  <r>
    <x v="257"/>
    <x v="117"/>
    <x v="2"/>
    <x v="1"/>
    <x v="15"/>
    <x v="8"/>
    <x v="7"/>
    <x v="2"/>
    <x v="0"/>
    <x v="6"/>
    <x v="256"/>
    <x v="2"/>
    <x v="257"/>
    <x v="257"/>
    <x v="257"/>
    <x v="5"/>
    <x v="0"/>
    <x v="0"/>
    <x v="0"/>
    <x v="0"/>
    <x v="1"/>
    <x v="1"/>
    <x v="1"/>
    <x v="257"/>
    <x v="1"/>
    <x v="1"/>
  </r>
  <r>
    <x v="258"/>
    <x v="176"/>
    <x v="0"/>
    <x v="3"/>
    <x v="7"/>
    <x v="5"/>
    <x v="4"/>
    <x v="2"/>
    <x v="3"/>
    <x v="1"/>
    <x v="257"/>
    <x v="0"/>
    <x v="258"/>
    <x v="258"/>
    <x v="258"/>
    <x v="13"/>
    <x v="4"/>
    <x v="0"/>
    <x v="1"/>
    <x v="1"/>
    <x v="1"/>
    <x v="0"/>
    <x v="3"/>
    <x v="258"/>
    <x v="3"/>
    <x v="1"/>
  </r>
  <r>
    <x v="259"/>
    <x v="177"/>
    <x v="0"/>
    <x v="3"/>
    <x v="3"/>
    <x v="5"/>
    <x v="4"/>
    <x v="2"/>
    <x v="0"/>
    <x v="0"/>
    <x v="258"/>
    <x v="0"/>
    <x v="259"/>
    <x v="259"/>
    <x v="259"/>
    <x v="3"/>
    <x v="5"/>
    <x v="0"/>
    <x v="1"/>
    <x v="1"/>
    <x v="0"/>
    <x v="0"/>
    <x v="3"/>
    <x v="259"/>
    <x v="3"/>
    <x v="1"/>
  </r>
  <r>
    <x v="260"/>
    <x v="178"/>
    <x v="1"/>
    <x v="3"/>
    <x v="17"/>
    <x v="3"/>
    <x v="3"/>
    <x v="0"/>
    <x v="3"/>
    <x v="2"/>
    <x v="259"/>
    <x v="1"/>
    <x v="260"/>
    <x v="260"/>
    <x v="260"/>
    <x v="11"/>
    <x v="2"/>
    <x v="0"/>
    <x v="0"/>
    <x v="0"/>
    <x v="1"/>
    <x v="0"/>
    <x v="3"/>
    <x v="260"/>
    <x v="3"/>
    <x v="1"/>
  </r>
  <r>
    <x v="261"/>
    <x v="179"/>
    <x v="0"/>
    <x v="2"/>
    <x v="4"/>
    <x v="9"/>
    <x v="8"/>
    <x v="2"/>
    <x v="3"/>
    <x v="0"/>
    <x v="260"/>
    <x v="1"/>
    <x v="261"/>
    <x v="261"/>
    <x v="261"/>
    <x v="19"/>
    <x v="1"/>
    <x v="0"/>
    <x v="0"/>
    <x v="0"/>
    <x v="0"/>
    <x v="0"/>
    <x v="2"/>
    <x v="261"/>
    <x v="2"/>
    <x v="1"/>
  </r>
  <r>
    <x v="262"/>
    <x v="180"/>
    <x v="2"/>
    <x v="1"/>
    <x v="1"/>
    <x v="4"/>
    <x v="1"/>
    <x v="0"/>
    <x v="0"/>
    <x v="0"/>
    <x v="261"/>
    <x v="1"/>
    <x v="262"/>
    <x v="262"/>
    <x v="262"/>
    <x v="0"/>
    <x v="4"/>
    <x v="0"/>
    <x v="0"/>
    <x v="0"/>
    <x v="0"/>
    <x v="0"/>
    <x v="1"/>
    <x v="262"/>
    <x v="1"/>
    <x v="1"/>
  </r>
  <r>
    <x v="263"/>
    <x v="181"/>
    <x v="2"/>
    <x v="4"/>
    <x v="19"/>
    <x v="4"/>
    <x v="1"/>
    <x v="0"/>
    <x v="1"/>
    <x v="5"/>
    <x v="262"/>
    <x v="1"/>
    <x v="263"/>
    <x v="263"/>
    <x v="263"/>
    <x v="25"/>
    <x v="3"/>
    <x v="0"/>
    <x v="0"/>
    <x v="1"/>
    <x v="1"/>
    <x v="0"/>
    <x v="4"/>
    <x v="263"/>
    <x v="4"/>
    <x v="1"/>
  </r>
  <r>
    <x v="264"/>
    <x v="32"/>
    <x v="0"/>
    <x v="0"/>
    <x v="13"/>
    <x v="0"/>
    <x v="0"/>
    <x v="0"/>
    <x v="3"/>
    <x v="5"/>
    <x v="263"/>
    <x v="0"/>
    <x v="264"/>
    <x v="264"/>
    <x v="264"/>
    <x v="4"/>
    <x v="0"/>
    <x v="0"/>
    <x v="0"/>
    <x v="0"/>
    <x v="0"/>
    <x v="0"/>
    <x v="0"/>
    <x v="264"/>
    <x v="0"/>
    <x v="1"/>
  </r>
  <r>
    <x v="265"/>
    <x v="182"/>
    <x v="0"/>
    <x v="4"/>
    <x v="8"/>
    <x v="2"/>
    <x v="2"/>
    <x v="1"/>
    <x v="2"/>
    <x v="2"/>
    <x v="264"/>
    <x v="0"/>
    <x v="265"/>
    <x v="265"/>
    <x v="265"/>
    <x v="12"/>
    <x v="11"/>
    <x v="0"/>
    <x v="1"/>
    <x v="1"/>
    <x v="1"/>
    <x v="0"/>
    <x v="4"/>
    <x v="265"/>
    <x v="4"/>
    <x v="1"/>
  </r>
  <r>
    <x v="266"/>
    <x v="55"/>
    <x v="1"/>
    <x v="0"/>
    <x v="18"/>
    <x v="8"/>
    <x v="7"/>
    <x v="2"/>
    <x v="2"/>
    <x v="4"/>
    <x v="265"/>
    <x v="1"/>
    <x v="266"/>
    <x v="266"/>
    <x v="266"/>
    <x v="12"/>
    <x v="1"/>
    <x v="0"/>
    <x v="0"/>
    <x v="0"/>
    <x v="1"/>
    <x v="0"/>
    <x v="0"/>
    <x v="266"/>
    <x v="0"/>
    <x v="1"/>
  </r>
  <r>
    <x v="267"/>
    <x v="88"/>
    <x v="0"/>
    <x v="4"/>
    <x v="8"/>
    <x v="1"/>
    <x v="1"/>
    <x v="0"/>
    <x v="0"/>
    <x v="3"/>
    <x v="266"/>
    <x v="2"/>
    <x v="267"/>
    <x v="267"/>
    <x v="267"/>
    <x v="0"/>
    <x v="1"/>
    <x v="0"/>
    <x v="1"/>
    <x v="1"/>
    <x v="0"/>
    <x v="1"/>
    <x v="4"/>
    <x v="267"/>
    <x v="4"/>
    <x v="1"/>
  </r>
  <r>
    <x v="268"/>
    <x v="183"/>
    <x v="2"/>
    <x v="1"/>
    <x v="15"/>
    <x v="5"/>
    <x v="4"/>
    <x v="2"/>
    <x v="1"/>
    <x v="5"/>
    <x v="267"/>
    <x v="1"/>
    <x v="268"/>
    <x v="268"/>
    <x v="268"/>
    <x v="19"/>
    <x v="11"/>
    <x v="0"/>
    <x v="0"/>
    <x v="0"/>
    <x v="0"/>
    <x v="0"/>
    <x v="1"/>
    <x v="268"/>
    <x v="1"/>
    <x v="1"/>
  </r>
  <r>
    <x v="269"/>
    <x v="119"/>
    <x v="0"/>
    <x v="0"/>
    <x v="6"/>
    <x v="9"/>
    <x v="8"/>
    <x v="2"/>
    <x v="0"/>
    <x v="3"/>
    <x v="268"/>
    <x v="3"/>
    <x v="269"/>
    <x v="269"/>
    <x v="269"/>
    <x v="11"/>
    <x v="0"/>
    <x v="0"/>
    <x v="0"/>
    <x v="0"/>
    <x v="1"/>
    <x v="0"/>
    <x v="0"/>
    <x v="269"/>
    <x v="0"/>
    <x v="1"/>
  </r>
  <r>
    <x v="270"/>
    <x v="104"/>
    <x v="1"/>
    <x v="2"/>
    <x v="14"/>
    <x v="7"/>
    <x v="6"/>
    <x v="2"/>
    <x v="1"/>
    <x v="5"/>
    <x v="269"/>
    <x v="1"/>
    <x v="270"/>
    <x v="270"/>
    <x v="270"/>
    <x v="1"/>
    <x v="0"/>
    <x v="0"/>
    <x v="0"/>
    <x v="0"/>
    <x v="1"/>
    <x v="0"/>
    <x v="2"/>
    <x v="270"/>
    <x v="2"/>
    <x v="1"/>
  </r>
  <r>
    <x v="271"/>
    <x v="145"/>
    <x v="0"/>
    <x v="4"/>
    <x v="19"/>
    <x v="8"/>
    <x v="7"/>
    <x v="2"/>
    <x v="3"/>
    <x v="5"/>
    <x v="270"/>
    <x v="3"/>
    <x v="271"/>
    <x v="271"/>
    <x v="271"/>
    <x v="2"/>
    <x v="7"/>
    <x v="0"/>
    <x v="1"/>
    <x v="1"/>
    <x v="1"/>
    <x v="0"/>
    <x v="4"/>
    <x v="271"/>
    <x v="4"/>
    <x v="1"/>
  </r>
  <r>
    <x v="272"/>
    <x v="3"/>
    <x v="1"/>
    <x v="4"/>
    <x v="16"/>
    <x v="0"/>
    <x v="0"/>
    <x v="0"/>
    <x v="3"/>
    <x v="0"/>
    <x v="271"/>
    <x v="3"/>
    <x v="272"/>
    <x v="272"/>
    <x v="272"/>
    <x v="23"/>
    <x v="2"/>
    <x v="0"/>
    <x v="1"/>
    <x v="1"/>
    <x v="1"/>
    <x v="0"/>
    <x v="4"/>
    <x v="272"/>
    <x v="4"/>
    <x v="1"/>
  </r>
  <r>
    <x v="273"/>
    <x v="184"/>
    <x v="1"/>
    <x v="0"/>
    <x v="6"/>
    <x v="8"/>
    <x v="7"/>
    <x v="2"/>
    <x v="3"/>
    <x v="2"/>
    <x v="272"/>
    <x v="0"/>
    <x v="273"/>
    <x v="273"/>
    <x v="273"/>
    <x v="23"/>
    <x v="5"/>
    <x v="0"/>
    <x v="0"/>
    <x v="0"/>
    <x v="1"/>
    <x v="0"/>
    <x v="0"/>
    <x v="273"/>
    <x v="0"/>
    <x v="1"/>
  </r>
  <r>
    <x v="274"/>
    <x v="185"/>
    <x v="1"/>
    <x v="2"/>
    <x v="12"/>
    <x v="0"/>
    <x v="0"/>
    <x v="0"/>
    <x v="3"/>
    <x v="0"/>
    <x v="273"/>
    <x v="3"/>
    <x v="274"/>
    <x v="274"/>
    <x v="274"/>
    <x v="9"/>
    <x v="6"/>
    <x v="0"/>
    <x v="0"/>
    <x v="0"/>
    <x v="1"/>
    <x v="0"/>
    <x v="2"/>
    <x v="274"/>
    <x v="2"/>
    <x v="1"/>
  </r>
  <r>
    <x v="275"/>
    <x v="22"/>
    <x v="0"/>
    <x v="2"/>
    <x v="4"/>
    <x v="5"/>
    <x v="4"/>
    <x v="2"/>
    <x v="2"/>
    <x v="1"/>
    <x v="274"/>
    <x v="4"/>
    <x v="275"/>
    <x v="275"/>
    <x v="275"/>
    <x v="15"/>
    <x v="9"/>
    <x v="0"/>
    <x v="0"/>
    <x v="0"/>
    <x v="0"/>
    <x v="1"/>
    <x v="2"/>
    <x v="275"/>
    <x v="2"/>
    <x v="1"/>
  </r>
  <r>
    <x v="276"/>
    <x v="13"/>
    <x v="1"/>
    <x v="1"/>
    <x v="10"/>
    <x v="2"/>
    <x v="2"/>
    <x v="1"/>
    <x v="2"/>
    <x v="0"/>
    <x v="275"/>
    <x v="1"/>
    <x v="276"/>
    <x v="276"/>
    <x v="276"/>
    <x v="1"/>
    <x v="3"/>
    <x v="0"/>
    <x v="0"/>
    <x v="0"/>
    <x v="1"/>
    <x v="0"/>
    <x v="1"/>
    <x v="276"/>
    <x v="1"/>
    <x v="1"/>
  </r>
  <r>
    <x v="277"/>
    <x v="186"/>
    <x v="2"/>
    <x v="2"/>
    <x v="12"/>
    <x v="0"/>
    <x v="0"/>
    <x v="0"/>
    <x v="0"/>
    <x v="3"/>
    <x v="276"/>
    <x v="1"/>
    <x v="277"/>
    <x v="277"/>
    <x v="277"/>
    <x v="25"/>
    <x v="8"/>
    <x v="0"/>
    <x v="0"/>
    <x v="0"/>
    <x v="1"/>
    <x v="0"/>
    <x v="2"/>
    <x v="277"/>
    <x v="2"/>
    <x v="1"/>
  </r>
  <r>
    <x v="278"/>
    <x v="165"/>
    <x v="0"/>
    <x v="2"/>
    <x v="14"/>
    <x v="5"/>
    <x v="4"/>
    <x v="2"/>
    <x v="1"/>
    <x v="3"/>
    <x v="277"/>
    <x v="1"/>
    <x v="278"/>
    <x v="278"/>
    <x v="278"/>
    <x v="0"/>
    <x v="6"/>
    <x v="0"/>
    <x v="0"/>
    <x v="0"/>
    <x v="0"/>
    <x v="0"/>
    <x v="2"/>
    <x v="278"/>
    <x v="2"/>
    <x v="1"/>
  </r>
  <r>
    <x v="279"/>
    <x v="187"/>
    <x v="0"/>
    <x v="2"/>
    <x v="4"/>
    <x v="5"/>
    <x v="4"/>
    <x v="2"/>
    <x v="3"/>
    <x v="1"/>
    <x v="278"/>
    <x v="0"/>
    <x v="279"/>
    <x v="279"/>
    <x v="279"/>
    <x v="0"/>
    <x v="1"/>
    <x v="0"/>
    <x v="0"/>
    <x v="0"/>
    <x v="0"/>
    <x v="0"/>
    <x v="2"/>
    <x v="279"/>
    <x v="2"/>
    <x v="1"/>
  </r>
  <r>
    <x v="280"/>
    <x v="42"/>
    <x v="0"/>
    <x v="3"/>
    <x v="7"/>
    <x v="2"/>
    <x v="2"/>
    <x v="1"/>
    <x v="3"/>
    <x v="6"/>
    <x v="279"/>
    <x v="1"/>
    <x v="280"/>
    <x v="280"/>
    <x v="280"/>
    <x v="2"/>
    <x v="1"/>
    <x v="0"/>
    <x v="0"/>
    <x v="0"/>
    <x v="1"/>
    <x v="0"/>
    <x v="3"/>
    <x v="280"/>
    <x v="3"/>
    <x v="1"/>
  </r>
  <r>
    <x v="281"/>
    <x v="83"/>
    <x v="1"/>
    <x v="1"/>
    <x v="15"/>
    <x v="4"/>
    <x v="1"/>
    <x v="0"/>
    <x v="1"/>
    <x v="6"/>
    <x v="280"/>
    <x v="2"/>
    <x v="281"/>
    <x v="281"/>
    <x v="281"/>
    <x v="8"/>
    <x v="4"/>
    <x v="0"/>
    <x v="0"/>
    <x v="0"/>
    <x v="1"/>
    <x v="1"/>
    <x v="1"/>
    <x v="281"/>
    <x v="1"/>
    <x v="1"/>
  </r>
  <r>
    <x v="282"/>
    <x v="188"/>
    <x v="1"/>
    <x v="4"/>
    <x v="19"/>
    <x v="8"/>
    <x v="7"/>
    <x v="2"/>
    <x v="1"/>
    <x v="1"/>
    <x v="281"/>
    <x v="0"/>
    <x v="282"/>
    <x v="282"/>
    <x v="282"/>
    <x v="16"/>
    <x v="2"/>
    <x v="0"/>
    <x v="0"/>
    <x v="1"/>
    <x v="0"/>
    <x v="0"/>
    <x v="4"/>
    <x v="282"/>
    <x v="4"/>
    <x v="1"/>
  </r>
  <r>
    <x v="283"/>
    <x v="189"/>
    <x v="1"/>
    <x v="0"/>
    <x v="0"/>
    <x v="6"/>
    <x v="5"/>
    <x v="3"/>
    <x v="0"/>
    <x v="1"/>
    <x v="282"/>
    <x v="0"/>
    <x v="283"/>
    <x v="283"/>
    <x v="283"/>
    <x v="8"/>
    <x v="0"/>
    <x v="0"/>
    <x v="0"/>
    <x v="0"/>
    <x v="1"/>
    <x v="0"/>
    <x v="0"/>
    <x v="283"/>
    <x v="0"/>
    <x v="1"/>
  </r>
  <r>
    <x v="284"/>
    <x v="70"/>
    <x v="0"/>
    <x v="4"/>
    <x v="8"/>
    <x v="6"/>
    <x v="5"/>
    <x v="3"/>
    <x v="1"/>
    <x v="0"/>
    <x v="283"/>
    <x v="0"/>
    <x v="284"/>
    <x v="284"/>
    <x v="284"/>
    <x v="5"/>
    <x v="0"/>
    <x v="0"/>
    <x v="0"/>
    <x v="1"/>
    <x v="1"/>
    <x v="0"/>
    <x v="4"/>
    <x v="284"/>
    <x v="4"/>
    <x v="0"/>
  </r>
  <r>
    <x v="285"/>
    <x v="190"/>
    <x v="0"/>
    <x v="1"/>
    <x v="15"/>
    <x v="7"/>
    <x v="6"/>
    <x v="2"/>
    <x v="3"/>
    <x v="1"/>
    <x v="284"/>
    <x v="1"/>
    <x v="285"/>
    <x v="285"/>
    <x v="285"/>
    <x v="4"/>
    <x v="9"/>
    <x v="0"/>
    <x v="0"/>
    <x v="1"/>
    <x v="0"/>
    <x v="0"/>
    <x v="1"/>
    <x v="285"/>
    <x v="1"/>
    <x v="1"/>
  </r>
  <r>
    <x v="286"/>
    <x v="191"/>
    <x v="1"/>
    <x v="0"/>
    <x v="0"/>
    <x v="7"/>
    <x v="6"/>
    <x v="2"/>
    <x v="3"/>
    <x v="2"/>
    <x v="285"/>
    <x v="1"/>
    <x v="286"/>
    <x v="286"/>
    <x v="286"/>
    <x v="9"/>
    <x v="0"/>
    <x v="0"/>
    <x v="0"/>
    <x v="0"/>
    <x v="1"/>
    <x v="0"/>
    <x v="0"/>
    <x v="286"/>
    <x v="0"/>
    <x v="1"/>
  </r>
  <r>
    <x v="287"/>
    <x v="192"/>
    <x v="1"/>
    <x v="1"/>
    <x v="10"/>
    <x v="6"/>
    <x v="5"/>
    <x v="3"/>
    <x v="3"/>
    <x v="6"/>
    <x v="286"/>
    <x v="3"/>
    <x v="287"/>
    <x v="287"/>
    <x v="287"/>
    <x v="18"/>
    <x v="5"/>
    <x v="0"/>
    <x v="0"/>
    <x v="0"/>
    <x v="1"/>
    <x v="0"/>
    <x v="1"/>
    <x v="287"/>
    <x v="1"/>
    <x v="1"/>
  </r>
  <r>
    <x v="288"/>
    <x v="193"/>
    <x v="2"/>
    <x v="2"/>
    <x v="12"/>
    <x v="1"/>
    <x v="1"/>
    <x v="0"/>
    <x v="3"/>
    <x v="6"/>
    <x v="287"/>
    <x v="0"/>
    <x v="288"/>
    <x v="288"/>
    <x v="288"/>
    <x v="14"/>
    <x v="7"/>
    <x v="0"/>
    <x v="0"/>
    <x v="0"/>
    <x v="1"/>
    <x v="0"/>
    <x v="2"/>
    <x v="288"/>
    <x v="2"/>
    <x v="1"/>
  </r>
  <r>
    <x v="289"/>
    <x v="10"/>
    <x v="0"/>
    <x v="0"/>
    <x v="6"/>
    <x v="6"/>
    <x v="5"/>
    <x v="3"/>
    <x v="3"/>
    <x v="4"/>
    <x v="288"/>
    <x v="1"/>
    <x v="289"/>
    <x v="289"/>
    <x v="289"/>
    <x v="17"/>
    <x v="1"/>
    <x v="0"/>
    <x v="0"/>
    <x v="0"/>
    <x v="1"/>
    <x v="0"/>
    <x v="0"/>
    <x v="289"/>
    <x v="0"/>
    <x v="1"/>
  </r>
  <r>
    <x v="290"/>
    <x v="0"/>
    <x v="1"/>
    <x v="2"/>
    <x v="4"/>
    <x v="7"/>
    <x v="6"/>
    <x v="2"/>
    <x v="0"/>
    <x v="1"/>
    <x v="289"/>
    <x v="1"/>
    <x v="290"/>
    <x v="290"/>
    <x v="290"/>
    <x v="18"/>
    <x v="0"/>
    <x v="0"/>
    <x v="0"/>
    <x v="0"/>
    <x v="1"/>
    <x v="0"/>
    <x v="2"/>
    <x v="290"/>
    <x v="2"/>
    <x v="1"/>
  </r>
  <r>
    <x v="291"/>
    <x v="194"/>
    <x v="0"/>
    <x v="4"/>
    <x v="8"/>
    <x v="9"/>
    <x v="8"/>
    <x v="2"/>
    <x v="3"/>
    <x v="5"/>
    <x v="290"/>
    <x v="4"/>
    <x v="291"/>
    <x v="291"/>
    <x v="291"/>
    <x v="10"/>
    <x v="5"/>
    <x v="0"/>
    <x v="0"/>
    <x v="0"/>
    <x v="0"/>
    <x v="1"/>
    <x v="4"/>
    <x v="291"/>
    <x v="4"/>
    <x v="1"/>
  </r>
  <r>
    <x v="292"/>
    <x v="20"/>
    <x v="0"/>
    <x v="4"/>
    <x v="8"/>
    <x v="7"/>
    <x v="6"/>
    <x v="2"/>
    <x v="0"/>
    <x v="5"/>
    <x v="291"/>
    <x v="1"/>
    <x v="292"/>
    <x v="292"/>
    <x v="292"/>
    <x v="8"/>
    <x v="0"/>
    <x v="0"/>
    <x v="1"/>
    <x v="1"/>
    <x v="1"/>
    <x v="0"/>
    <x v="4"/>
    <x v="292"/>
    <x v="4"/>
    <x v="1"/>
  </r>
  <r>
    <x v="293"/>
    <x v="144"/>
    <x v="1"/>
    <x v="0"/>
    <x v="6"/>
    <x v="1"/>
    <x v="1"/>
    <x v="0"/>
    <x v="3"/>
    <x v="1"/>
    <x v="292"/>
    <x v="2"/>
    <x v="293"/>
    <x v="293"/>
    <x v="293"/>
    <x v="17"/>
    <x v="7"/>
    <x v="0"/>
    <x v="0"/>
    <x v="0"/>
    <x v="1"/>
    <x v="1"/>
    <x v="0"/>
    <x v="293"/>
    <x v="0"/>
    <x v="0"/>
  </r>
  <r>
    <x v="294"/>
    <x v="34"/>
    <x v="1"/>
    <x v="0"/>
    <x v="6"/>
    <x v="8"/>
    <x v="7"/>
    <x v="2"/>
    <x v="2"/>
    <x v="2"/>
    <x v="293"/>
    <x v="2"/>
    <x v="294"/>
    <x v="294"/>
    <x v="294"/>
    <x v="5"/>
    <x v="2"/>
    <x v="0"/>
    <x v="0"/>
    <x v="0"/>
    <x v="1"/>
    <x v="1"/>
    <x v="0"/>
    <x v="294"/>
    <x v="0"/>
    <x v="1"/>
  </r>
  <r>
    <x v="295"/>
    <x v="195"/>
    <x v="2"/>
    <x v="1"/>
    <x v="1"/>
    <x v="6"/>
    <x v="5"/>
    <x v="3"/>
    <x v="2"/>
    <x v="5"/>
    <x v="294"/>
    <x v="3"/>
    <x v="295"/>
    <x v="295"/>
    <x v="295"/>
    <x v="24"/>
    <x v="5"/>
    <x v="0"/>
    <x v="0"/>
    <x v="0"/>
    <x v="0"/>
    <x v="0"/>
    <x v="1"/>
    <x v="295"/>
    <x v="1"/>
    <x v="1"/>
  </r>
  <r>
    <x v="296"/>
    <x v="181"/>
    <x v="0"/>
    <x v="1"/>
    <x v="5"/>
    <x v="2"/>
    <x v="2"/>
    <x v="1"/>
    <x v="2"/>
    <x v="4"/>
    <x v="295"/>
    <x v="1"/>
    <x v="296"/>
    <x v="296"/>
    <x v="296"/>
    <x v="13"/>
    <x v="3"/>
    <x v="0"/>
    <x v="0"/>
    <x v="1"/>
    <x v="1"/>
    <x v="0"/>
    <x v="1"/>
    <x v="296"/>
    <x v="1"/>
    <x v="1"/>
  </r>
  <r>
    <x v="297"/>
    <x v="196"/>
    <x v="0"/>
    <x v="2"/>
    <x v="4"/>
    <x v="9"/>
    <x v="8"/>
    <x v="2"/>
    <x v="2"/>
    <x v="3"/>
    <x v="296"/>
    <x v="1"/>
    <x v="297"/>
    <x v="297"/>
    <x v="297"/>
    <x v="23"/>
    <x v="10"/>
    <x v="0"/>
    <x v="0"/>
    <x v="0"/>
    <x v="1"/>
    <x v="0"/>
    <x v="2"/>
    <x v="297"/>
    <x v="2"/>
    <x v="1"/>
  </r>
  <r>
    <x v="298"/>
    <x v="197"/>
    <x v="1"/>
    <x v="0"/>
    <x v="6"/>
    <x v="5"/>
    <x v="4"/>
    <x v="2"/>
    <x v="0"/>
    <x v="1"/>
    <x v="297"/>
    <x v="0"/>
    <x v="298"/>
    <x v="298"/>
    <x v="298"/>
    <x v="6"/>
    <x v="10"/>
    <x v="0"/>
    <x v="0"/>
    <x v="0"/>
    <x v="0"/>
    <x v="0"/>
    <x v="0"/>
    <x v="298"/>
    <x v="0"/>
    <x v="1"/>
  </r>
  <r>
    <x v="299"/>
    <x v="193"/>
    <x v="1"/>
    <x v="4"/>
    <x v="19"/>
    <x v="1"/>
    <x v="1"/>
    <x v="0"/>
    <x v="0"/>
    <x v="2"/>
    <x v="298"/>
    <x v="0"/>
    <x v="299"/>
    <x v="299"/>
    <x v="299"/>
    <x v="12"/>
    <x v="7"/>
    <x v="0"/>
    <x v="0"/>
    <x v="0"/>
    <x v="1"/>
    <x v="0"/>
    <x v="4"/>
    <x v="299"/>
    <x v="4"/>
    <x v="1"/>
  </r>
  <r>
    <x v="300"/>
    <x v="33"/>
    <x v="0"/>
    <x v="1"/>
    <x v="10"/>
    <x v="7"/>
    <x v="6"/>
    <x v="2"/>
    <x v="1"/>
    <x v="2"/>
    <x v="299"/>
    <x v="2"/>
    <x v="300"/>
    <x v="300"/>
    <x v="300"/>
    <x v="22"/>
    <x v="9"/>
    <x v="0"/>
    <x v="0"/>
    <x v="0"/>
    <x v="1"/>
    <x v="1"/>
    <x v="1"/>
    <x v="300"/>
    <x v="1"/>
    <x v="1"/>
  </r>
  <r>
    <x v="301"/>
    <x v="198"/>
    <x v="0"/>
    <x v="1"/>
    <x v="5"/>
    <x v="2"/>
    <x v="2"/>
    <x v="1"/>
    <x v="3"/>
    <x v="0"/>
    <x v="300"/>
    <x v="2"/>
    <x v="301"/>
    <x v="301"/>
    <x v="301"/>
    <x v="25"/>
    <x v="3"/>
    <x v="0"/>
    <x v="1"/>
    <x v="1"/>
    <x v="1"/>
    <x v="1"/>
    <x v="1"/>
    <x v="301"/>
    <x v="1"/>
    <x v="1"/>
  </r>
  <r>
    <x v="302"/>
    <x v="199"/>
    <x v="0"/>
    <x v="4"/>
    <x v="8"/>
    <x v="0"/>
    <x v="0"/>
    <x v="0"/>
    <x v="2"/>
    <x v="2"/>
    <x v="301"/>
    <x v="0"/>
    <x v="302"/>
    <x v="302"/>
    <x v="302"/>
    <x v="23"/>
    <x v="2"/>
    <x v="0"/>
    <x v="0"/>
    <x v="1"/>
    <x v="1"/>
    <x v="0"/>
    <x v="4"/>
    <x v="302"/>
    <x v="4"/>
    <x v="1"/>
  </r>
  <r>
    <x v="303"/>
    <x v="142"/>
    <x v="2"/>
    <x v="1"/>
    <x v="5"/>
    <x v="4"/>
    <x v="1"/>
    <x v="0"/>
    <x v="0"/>
    <x v="5"/>
    <x v="302"/>
    <x v="1"/>
    <x v="303"/>
    <x v="303"/>
    <x v="303"/>
    <x v="22"/>
    <x v="7"/>
    <x v="0"/>
    <x v="0"/>
    <x v="0"/>
    <x v="1"/>
    <x v="0"/>
    <x v="1"/>
    <x v="303"/>
    <x v="1"/>
    <x v="1"/>
  </r>
  <r>
    <x v="304"/>
    <x v="200"/>
    <x v="0"/>
    <x v="2"/>
    <x v="12"/>
    <x v="6"/>
    <x v="5"/>
    <x v="3"/>
    <x v="3"/>
    <x v="3"/>
    <x v="303"/>
    <x v="1"/>
    <x v="304"/>
    <x v="304"/>
    <x v="304"/>
    <x v="15"/>
    <x v="5"/>
    <x v="0"/>
    <x v="0"/>
    <x v="0"/>
    <x v="0"/>
    <x v="0"/>
    <x v="2"/>
    <x v="304"/>
    <x v="2"/>
    <x v="1"/>
  </r>
  <r>
    <x v="305"/>
    <x v="201"/>
    <x v="0"/>
    <x v="0"/>
    <x v="18"/>
    <x v="4"/>
    <x v="1"/>
    <x v="0"/>
    <x v="3"/>
    <x v="5"/>
    <x v="304"/>
    <x v="2"/>
    <x v="305"/>
    <x v="305"/>
    <x v="305"/>
    <x v="8"/>
    <x v="11"/>
    <x v="0"/>
    <x v="0"/>
    <x v="0"/>
    <x v="1"/>
    <x v="1"/>
    <x v="0"/>
    <x v="305"/>
    <x v="0"/>
    <x v="1"/>
  </r>
  <r>
    <x v="306"/>
    <x v="4"/>
    <x v="0"/>
    <x v="4"/>
    <x v="16"/>
    <x v="1"/>
    <x v="1"/>
    <x v="0"/>
    <x v="0"/>
    <x v="1"/>
    <x v="305"/>
    <x v="1"/>
    <x v="306"/>
    <x v="306"/>
    <x v="306"/>
    <x v="7"/>
    <x v="3"/>
    <x v="0"/>
    <x v="1"/>
    <x v="1"/>
    <x v="1"/>
    <x v="0"/>
    <x v="4"/>
    <x v="306"/>
    <x v="4"/>
    <x v="0"/>
  </r>
  <r>
    <x v="307"/>
    <x v="62"/>
    <x v="0"/>
    <x v="0"/>
    <x v="6"/>
    <x v="0"/>
    <x v="0"/>
    <x v="0"/>
    <x v="2"/>
    <x v="3"/>
    <x v="306"/>
    <x v="1"/>
    <x v="307"/>
    <x v="307"/>
    <x v="307"/>
    <x v="18"/>
    <x v="10"/>
    <x v="0"/>
    <x v="0"/>
    <x v="0"/>
    <x v="1"/>
    <x v="0"/>
    <x v="0"/>
    <x v="307"/>
    <x v="0"/>
    <x v="0"/>
  </r>
  <r>
    <x v="308"/>
    <x v="95"/>
    <x v="0"/>
    <x v="1"/>
    <x v="1"/>
    <x v="0"/>
    <x v="0"/>
    <x v="0"/>
    <x v="1"/>
    <x v="1"/>
    <x v="307"/>
    <x v="0"/>
    <x v="308"/>
    <x v="308"/>
    <x v="308"/>
    <x v="25"/>
    <x v="4"/>
    <x v="0"/>
    <x v="1"/>
    <x v="1"/>
    <x v="1"/>
    <x v="0"/>
    <x v="1"/>
    <x v="308"/>
    <x v="1"/>
    <x v="1"/>
  </r>
  <r>
    <x v="309"/>
    <x v="140"/>
    <x v="1"/>
    <x v="1"/>
    <x v="10"/>
    <x v="0"/>
    <x v="0"/>
    <x v="0"/>
    <x v="3"/>
    <x v="2"/>
    <x v="308"/>
    <x v="3"/>
    <x v="309"/>
    <x v="309"/>
    <x v="309"/>
    <x v="12"/>
    <x v="8"/>
    <x v="0"/>
    <x v="0"/>
    <x v="0"/>
    <x v="1"/>
    <x v="0"/>
    <x v="1"/>
    <x v="309"/>
    <x v="1"/>
    <x v="1"/>
  </r>
  <r>
    <x v="310"/>
    <x v="43"/>
    <x v="0"/>
    <x v="4"/>
    <x v="8"/>
    <x v="5"/>
    <x v="4"/>
    <x v="2"/>
    <x v="1"/>
    <x v="4"/>
    <x v="309"/>
    <x v="2"/>
    <x v="310"/>
    <x v="310"/>
    <x v="310"/>
    <x v="24"/>
    <x v="2"/>
    <x v="0"/>
    <x v="1"/>
    <x v="1"/>
    <x v="0"/>
    <x v="1"/>
    <x v="4"/>
    <x v="310"/>
    <x v="4"/>
    <x v="1"/>
  </r>
  <r>
    <x v="311"/>
    <x v="202"/>
    <x v="2"/>
    <x v="2"/>
    <x v="4"/>
    <x v="1"/>
    <x v="1"/>
    <x v="0"/>
    <x v="2"/>
    <x v="6"/>
    <x v="310"/>
    <x v="0"/>
    <x v="311"/>
    <x v="311"/>
    <x v="311"/>
    <x v="23"/>
    <x v="11"/>
    <x v="0"/>
    <x v="0"/>
    <x v="0"/>
    <x v="1"/>
    <x v="0"/>
    <x v="2"/>
    <x v="311"/>
    <x v="2"/>
    <x v="1"/>
  </r>
  <r>
    <x v="312"/>
    <x v="203"/>
    <x v="0"/>
    <x v="3"/>
    <x v="7"/>
    <x v="8"/>
    <x v="7"/>
    <x v="2"/>
    <x v="2"/>
    <x v="3"/>
    <x v="311"/>
    <x v="1"/>
    <x v="312"/>
    <x v="312"/>
    <x v="312"/>
    <x v="15"/>
    <x v="2"/>
    <x v="0"/>
    <x v="0"/>
    <x v="1"/>
    <x v="0"/>
    <x v="0"/>
    <x v="3"/>
    <x v="312"/>
    <x v="3"/>
    <x v="1"/>
  </r>
  <r>
    <x v="313"/>
    <x v="142"/>
    <x v="1"/>
    <x v="4"/>
    <x v="19"/>
    <x v="4"/>
    <x v="1"/>
    <x v="0"/>
    <x v="1"/>
    <x v="0"/>
    <x v="312"/>
    <x v="2"/>
    <x v="313"/>
    <x v="313"/>
    <x v="313"/>
    <x v="5"/>
    <x v="7"/>
    <x v="0"/>
    <x v="1"/>
    <x v="1"/>
    <x v="1"/>
    <x v="1"/>
    <x v="4"/>
    <x v="313"/>
    <x v="4"/>
    <x v="1"/>
  </r>
  <r>
    <x v="314"/>
    <x v="204"/>
    <x v="2"/>
    <x v="3"/>
    <x v="3"/>
    <x v="8"/>
    <x v="7"/>
    <x v="2"/>
    <x v="2"/>
    <x v="6"/>
    <x v="313"/>
    <x v="3"/>
    <x v="314"/>
    <x v="314"/>
    <x v="314"/>
    <x v="11"/>
    <x v="3"/>
    <x v="0"/>
    <x v="0"/>
    <x v="0"/>
    <x v="1"/>
    <x v="0"/>
    <x v="3"/>
    <x v="314"/>
    <x v="3"/>
    <x v="1"/>
  </r>
  <r>
    <x v="315"/>
    <x v="7"/>
    <x v="1"/>
    <x v="3"/>
    <x v="3"/>
    <x v="2"/>
    <x v="2"/>
    <x v="1"/>
    <x v="3"/>
    <x v="2"/>
    <x v="314"/>
    <x v="3"/>
    <x v="315"/>
    <x v="315"/>
    <x v="315"/>
    <x v="9"/>
    <x v="5"/>
    <x v="0"/>
    <x v="0"/>
    <x v="1"/>
    <x v="1"/>
    <x v="0"/>
    <x v="3"/>
    <x v="315"/>
    <x v="3"/>
    <x v="1"/>
  </r>
  <r>
    <x v="316"/>
    <x v="173"/>
    <x v="1"/>
    <x v="2"/>
    <x v="12"/>
    <x v="3"/>
    <x v="3"/>
    <x v="0"/>
    <x v="1"/>
    <x v="2"/>
    <x v="315"/>
    <x v="3"/>
    <x v="316"/>
    <x v="316"/>
    <x v="316"/>
    <x v="22"/>
    <x v="0"/>
    <x v="0"/>
    <x v="0"/>
    <x v="0"/>
    <x v="1"/>
    <x v="0"/>
    <x v="2"/>
    <x v="316"/>
    <x v="2"/>
    <x v="1"/>
  </r>
  <r>
    <x v="317"/>
    <x v="35"/>
    <x v="0"/>
    <x v="3"/>
    <x v="3"/>
    <x v="9"/>
    <x v="8"/>
    <x v="2"/>
    <x v="2"/>
    <x v="6"/>
    <x v="316"/>
    <x v="1"/>
    <x v="317"/>
    <x v="317"/>
    <x v="317"/>
    <x v="17"/>
    <x v="6"/>
    <x v="0"/>
    <x v="0"/>
    <x v="0"/>
    <x v="1"/>
    <x v="0"/>
    <x v="3"/>
    <x v="317"/>
    <x v="3"/>
    <x v="1"/>
  </r>
  <r>
    <x v="318"/>
    <x v="98"/>
    <x v="0"/>
    <x v="3"/>
    <x v="9"/>
    <x v="9"/>
    <x v="8"/>
    <x v="2"/>
    <x v="1"/>
    <x v="0"/>
    <x v="317"/>
    <x v="0"/>
    <x v="318"/>
    <x v="318"/>
    <x v="318"/>
    <x v="17"/>
    <x v="4"/>
    <x v="0"/>
    <x v="0"/>
    <x v="0"/>
    <x v="1"/>
    <x v="0"/>
    <x v="3"/>
    <x v="318"/>
    <x v="3"/>
    <x v="1"/>
  </r>
  <r>
    <x v="319"/>
    <x v="205"/>
    <x v="1"/>
    <x v="2"/>
    <x v="12"/>
    <x v="8"/>
    <x v="7"/>
    <x v="2"/>
    <x v="3"/>
    <x v="3"/>
    <x v="318"/>
    <x v="1"/>
    <x v="319"/>
    <x v="319"/>
    <x v="319"/>
    <x v="20"/>
    <x v="11"/>
    <x v="0"/>
    <x v="0"/>
    <x v="0"/>
    <x v="0"/>
    <x v="0"/>
    <x v="2"/>
    <x v="319"/>
    <x v="2"/>
    <x v="1"/>
  </r>
  <r>
    <x v="320"/>
    <x v="206"/>
    <x v="2"/>
    <x v="3"/>
    <x v="17"/>
    <x v="3"/>
    <x v="3"/>
    <x v="0"/>
    <x v="2"/>
    <x v="3"/>
    <x v="319"/>
    <x v="3"/>
    <x v="320"/>
    <x v="320"/>
    <x v="320"/>
    <x v="14"/>
    <x v="5"/>
    <x v="0"/>
    <x v="1"/>
    <x v="1"/>
    <x v="1"/>
    <x v="0"/>
    <x v="3"/>
    <x v="320"/>
    <x v="3"/>
    <x v="1"/>
  </r>
  <r>
    <x v="321"/>
    <x v="161"/>
    <x v="1"/>
    <x v="3"/>
    <x v="17"/>
    <x v="3"/>
    <x v="3"/>
    <x v="0"/>
    <x v="3"/>
    <x v="6"/>
    <x v="320"/>
    <x v="3"/>
    <x v="321"/>
    <x v="321"/>
    <x v="321"/>
    <x v="7"/>
    <x v="8"/>
    <x v="0"/>
    <x v="0"/>
    <x v="0"/>
    <x v="1"/>
    <x v="0"/>
    <x v="3"/>
    <x v="321"/>
    <x v="3"/>
    <x v="1"/>
  </r>
  <r>
    <x v="322"/>
    <x v="138"/>
    <x v="1"/>
    <x v="3"/>
    <x v="9"/>
    <x v="6"/>
    <x v="5"/>
    <x v="3"/>
    <x v="2"/>
    <x v="1"/>
    <x v="321"/>
    <x v="2"/>
    <x v="322"/>
    <x v="322"/>
    <x v="322"/>
    <x v="23"/>
    <x v="5"/>
    <x v="0"/>
    <x v="1"/>
    <x v="1"/>
    <x v="1"/>
    <x v="1"/>
    <x v="3"/>
    <x v="322"/>
    <x v="3"/>
    <x v="1"/>
  </r>
  <r>
    <x v="323"/>
    <x v="207"/>
    <x v="1"/>
    <x v="4"/>
    <x v="19"/>
    <x v="2"/>
    <x v="2"/>
    <x v="1"/>
    <x v="0"/>
    <x v="5"/>
    <x v="322"/>
    <x v="2"/>
    <x v="323"/>
    <x v="323"/>
    <x v="323"/>
    <x v="13"/>
    <x v="5"/>
    <x v="0"/>
    <x v="0"/>
    <x v="1"/>
    <x v="1"/>
    <x v="1"/>
    <x v="4"/>
    <x v="323"/>
    <x v="4"/>
    <x v="1"/>
  </r>
  <r>
    <x v="324"/>
    <x v="208"/>
    <x v="1"/>
    <x v="4"/>
    <x v="16"/>
    <x v="1"/>
    <x v="1"/>
    <x v="0"/>
    <x v="2"/>
    <x v="4"/>
    <x v="323"/>
    <x v="1"/>
    <x v="324"/>
    <x v="324"/>
    <x v="324"/>
    <x v="7"/>
    <x v="0"/>
    <x v="0"/>
    <x v="1"/>
    <x v="1"/>
    <x v="1"/>
    <x v="0"/>
    <x v="4"/>
    <x v="324"/>
    <x v="4"/>
    <x v="1"/>
  </r>
  <r>
    <x v="325"/>
    <x v="174"/>
    <x v="0"/>
    <x v="4"/>
    <x v="19"/>
    <x v="3"/>
    <x v="3"/>
    <x v="0"/>
    <x v="1"/>
    <x v="1"/>
    <x v="324"/>
    <x v="3"/>
    <x v="325"/>
    <x v="325"/>
    <x v="325"/>
    <x v="22"/>
    <x v="6"/>
    <x v="0"/>
    <x v="1"/>
    <x v="1"/>
    <x v="1"/>
    <x v="0"/>
    <x v="4"/>
    <x v="325"/>
    <x v="4"/>
    <x v="1"/>
  </r>
  <r>
    <x v="326"/>
    <x v="166"/>
    <x v="1"/>
    <x v="2"/>
    <x v="14"/>
    <x v="7"/>
    <x v="6"/>
    <x v="2"/>
    <x v="2"/>
    <x v="3"/>
    <x v="325"/>
    <x v="3"/>
    <x v="326"/>
    <x v="326"/>
    <x v="326"/>
    <x v="8"/>
    <x v="11"/>
    <x v="0"/>
    <x v="0"/>
    <x v="0"/>
    <x v="1"/>
    <x v="0"/>
    <x v="2"/>
    <x v="326"/>
    <x v="2"/>
    <x v="1"/>
  </r>
  <r>
    <x v="327"/>
    <x v="209"/>
    <x v="2"/>
    <x v="1"/>
    <x v="10"/>
    <x v="9"/>
    <x v="8"/>
    <x v="2"/>
    <x v="3"/>
    <x v="5"/>
    <x v="326"/>
    <x v="1"/>
    <x v="327"/>
    <x v="327"/>
    <x v="327"/>
    <x v="4"/>
    <x v="10"/>
    <x v="0"/>
    <x v="0"/>
    <x v="0"/>
    <x v="0"/>
    <x v="0"/>
    <x v="1"/>
    <x v="327"/>
    <x v="1"/>
    <x v="1"/>
  </r>
  <r>
    <x v="328"/>
    <x v="34"/>
    <x v="0"/>
    <x v="3"/>
    <x v="7"/>
    <x v="7"/>
    <x v="6"/>
    <x v="2"/>
    <x v="3"/>
    <x v="4"/>
    <x v="327"/>
    <x v="2"/>
    <x v="328"/>
    <x v="328"/>
    <x v="328"/>
    <x v="6"/>
    <x v="2"/>
    <x v="0"/>
    <x v="1"/>
    <x v="1"/>
    <x v="0"/>
    <x v="1"/>
    <x v="3"/>
    <x v="328"/>
    <x v="3"/>
    <x v="1"/>
  </r>
  <r>
    <x v="329"/>
    <x v="188"/>
    <x v="1"/>
    <x v="3"/>
    <x v="3"/>
    <x v="2"/>
    <x v="2"/>
    <x v="1"/>
    <x v="2"/>
    <x v="4"/>
    <x v="328"/>
    <x v="0"/>
    <x v="329"/>
    <x v="329"/>
    <x v="329"/>
    <x v="25"/>
    <x v="2"/>
    <x v="0"/>
    <x v="1"/>
    <x v="1"/>
    <x v="1"/>
    <x v="0"/>
    <x v="3"/>
    <x v="329"/>
    <x v="3"/>
    <x v="1"/>
  </r>
  <r>
    <x v="330"/>
    <x v="200"/>
    <x v="0"/>
    <x v="2"/>
    <x v="2"/>
    <x v="3"/>
    <x v="3"/>
    <x v="0"/>
    <x v="1"/>
    <x v="4"/>
    <x v="329"/>
    <x v="1"/>
    <x v="330"/>
    <x v="330"/>
    <x v="330"/>
    <x v="18"/>
    <x v="5"/>
    <x v="0"/>
    <x v="0"/>
    <x v="0"/>
    <x v="1"/>
    <x v="0"/>
    <x v="2"/>
    <x v="330"/>
    <x v="2"/>
    <x v="1"/>
  </r>
  <r>
    <x v="331"/>
    <x v="28"/>
    <x v="1"/>
    <x v="3"/>
    <x v="7"/>
    <x v="4"/>
    <x v="1"/>
    <x v="0"/>
    <x v="0"/>
    <x v="2"/>
    <x v="330"/>
    <x v="3"/>
    <x v="331"/>
    <x v="331"/>
    <x v="331"/>
    <x v="6"/>
    <x v="5"/>
    <x v="0"/>
    <x v="0"/>
    <x v="0"/>
    <x v="0"/>
    <x v="0"/>
    <x v="3"/>
    <x v="331"/>
    <x v="3"/>
    <x v="1"/>
  </r>
  <r>
    <x v="332"/>
    <x v="72"/>
    <x v="0"/>
    <x v="4"/>
    <x v="19"/>
    <x v="9"/>
    <x v="8"/>
    <x v="2"/>
    <x v="1"/>
    <x v="4"/>
    <x v="331"/>
    <x v="1"/>
    <x v="332"/>
    <x v="332"/>
    <x v="332"/>
    <x v="23"/>
    <x v="6"/>
    <x v="0"/>
    <x v="1"/>
    <x v="1"/>
    <x v="1"/>
    <x v="0"/>
    <x v="4"/>
    <x v="332"/>
    <x v="4"/>
    <x v="1"/>
  </r>
  <r>
    <x v="333"/>
    <x v="210"/>
    <x v="1"/>
    <x v="1"/>
    <x v="10"/>
    <x v="6"/>
    <x v="5"/>
    <x v="3"/>
    <x v="0"/>
    <x v="0"/>
    <x v="332"/>
    <x v="0"/>
    <x v="333"/>
    <x v="333"/>
    <x v="333"/>
    <x v="7"/>
    <x v="5"/>
    <x v="0"/>
    <x v="0"/>
    <x v="1"/>
    <x v="1"/>
    <x v="0"/>
    <x v="1"/>
    <x v="333"/>
    <x v="1"/>
    <x v="0"/>
  </r>
  <r>
    <x v="334"/>
    <x v="100"/>
    <x v="1"/>
    <x v="0"/>
    <x v="13"/>
    <x v="6"/>
    <x v="5"/>
    <x v="3"/>
    <x v="3"/>
    <x v="6"/>
    <x v="333"/>
    <x v="1"/>
    <x v="334"/>
    <x v="334"/>
    <x v="334"/>
    <x v="23"/>
    <x v="3"/>
    <x v="0"/>
    <x v="0"/>
    <x v="0"/>
    <x v="1"/>
    <x v="0"/>
    <x v="0"/>
    <x v="334"/>
    <x v="0"/>
    <x v="0"/>
  </r>
  <r>
    <x v="335"/>
    <x v="201"/>
    <x v="0"/>
    <x v="3"/>
    <x v="7"/>
    <x v="0"/>
    <x v="0"/>
    <x v="0"/>
    <x v="1"/>
    <x v="3"/>
    <x v="334"/>
    <x v="4"/>
    <x v="335"/>
    <x v="335"/>
    <x v="335"/>
    <x v="11"/>
    <x v="11"/>
    <x v="0"/>
    <x v="0"/>
    <x v="0"/>
    <x v="1"/>
    <x v="1"/>
    <x v="3"/>
    <x v="335"/>
    <x v="3"/>
    <x v="1"/>
  </r>
  <r>
    <x v="336"/>
    <x v="33"/>
    <x v="1"/>
    <x v="4"/>
    <x v="16"/>
    <x v="5"/>
    <x v="4"/>
    <x v="2"/>
    <x v="0"/>
    <x v="0"/>
    <x v="335"/>
    <x v="2"/>
    <x v="336"/>
    <x v="336"/>
    <x v="336"/>
    <x v="21"/>
    <x v="9"/>
    <x v="0"/>
    <x v="1"/>
    <x v="1"/>
    <x v="0"/>
    <x v="1"/>
    <x v="4"/>
    <x v="336"/>
    <x v="4"/>
    <x v="0"/>
  </r>
  <r>
    <x v="337"/>
    <x v="211"/>
    <x v="1"/>
    <x v="0"/>
    <x v="18"/>
    <x v="3"/>
    <x v="3"/>
    <x v="0"/>
    <x v="2"/>
    <x v="6"/>
    <x v="336"/>
    <x v="3"/>
    <x v="337"/>
    <x v="337"/>
    <x v="337"/>
    <x v="13"/>
    <x v="1"/>
    <x v="0"/>
    <x v="0"/>
    <x v="0"/>
    <x v="1"/>
    <x v="0"/>
    <x v="0"/>
    <x v="337"/>
    <x v="0"/>
    <x v="1"/>
  </r>
  <r>
    <x v="338"/>
    <x v="142"/>
    <x v="2"/>
    <x v="1"/>
    <x v="1"/>
    <x v="2"/>
    <x v="2"/>
    <x v="1"/>
    <x v="3"/>
    <x v="1"/>
    <x v="337"/>
    <x v="0"/>
    <x v="338"/>
    <x v="338"/>
    <x v="338"/>
    <x v="25"/>
    <x v="7"/>
    <x v="0"/>
    <x v="1"/>
    <x v="1"/>
    <x v="1"/>
    <x v="0"/>
    <x v="1"/>
    <x v="338"/>
    <x v="1"/>
    <x v="1"/>
  </r>
  <r>
    <x v="339"/>
    <x v="212"/>
    <x v="0"/>
    <x v="0"/>
    <x v="0"/>
    <x v="9"/>
    <x v="8"/>
    <x v="2"/>
    <x v="2"/>
    <x v="1"/>
    <x v="338"/>
    <x v="2"/>
    <x v="339"/>
    <x v="339"/>
    <x v="339"/>
    <x v="1"/>
    <x v="10"/>
    <x v="0"/>
    <x v="0"/>
    <x v="0"/>
    <x v="1"/>
    <x v="1"/>
    <x v="0"/>
    <x v="339"/>
    <x v="0"/>
    <x v="1"/>
  </r>
  <r>
    <x v="340"/>
    <x v="72"/>
    <x v="0"/>
    <x v="4"/>
    <x v="8"/>
    <x v="5"/>
    <x v="4"/>
    <x v="2"/>
    <x v="3"/>
    <x v="6"/>
    <x v="339"/>
    <x v="0"/>
    <x v="340"/>
    <x v="340"/>
    <x v="340"/>
    <x v="0"/>
    <x v="6"/>
    <x v="0"/>
    <x v="1"/>
    <x v="1"/>
    <x v="0"/>
    <x v="0"/>
    <x v="4"/>
    <x v="340"/>
    <x v="4"/>
    <x v="1"/>
  </r>
  <r>
    <x v="341"/>
    <x v="122"/>
    <x v="0"/>
    <x v="0"/>
    <x v="18"/>
    <x v="2"/>
    <x v="2"/>
    <x v="1"/>
    <x v="1"/>
    <x v="0"/>
    <x v="340"/>
    <x v="1"/>
    <x v="341"/>
    <x v="341"/>
    <x v="341"/>
    <x v="21"/>
    <x v="9"/>
    <x v="0"/>
    <x v="0"/>
    <x v="0"/>
    <x v="0"/>
    <x v="0"/>
    <x v="0"/>
    <x v="341"/>
    <x v="0"/>
    <x v="1"/>
  </r>
  <r>
    <x v="342"/>
    <x v="213"/>
    <x v="2"/>
    <x v="2"/>
    <x v="14"/>
    <x v="8"/>
    <x v="7"/>
    <x v="2"/>
    <x v="1"/>
    <x v="6"/>
    <x v="341"/>
    <x v="3"/>
    <x v="342"/>
    <x v="342"/>
    <x v="342"/>
    <x v="18"/>
    <x v="4"/>
    <x v="0"/>
    <x v="0"/>
    <x v="0"/>
    <x v="1"/>
    <x v="0"/>
    <x v="2"/>
    <x v="342"/>
    <x v="2"/>
    <x v="1"/>
  </r>
  <r>
    <x v="343"/>
    <x v="197"/>
    <x v="2"/>
    <x v="0"/>
    <x v="0"/>
    <x v="3"/>
    <x v="3"/>
    <x v="0"/>
    <x v="3"/>
    <x v="4"/>
    <x v="342"/>
    <x v="2"/>
    <x v="343"/>
    <x v="343"/>
    <x v="343"/>
    <x v="7"/>
    <x v="10"/>
    <x v="0"/>
    <x v="0"/>
    <x v="0"/>
    <x v="1"/>
    <x v="1"/>
    <x v="0"/>
    <x v="343"/>
    <x v="0"/>
    <x v="1"/>
  </r>
  <r>
    <x v="344"/>
    <x v="214"/>
    <x v="1"/>
    <x v="3"/>
    <x v="7"/>
    <x v="1"/>
    <x v="1"/>
    <x v="0"/>
    <x v="3"/>
    <x v="2"/>
    <x v="343"/>
    <x v="0"/>
    <x v="344"/>
    <x v="344"/>
    <x v="344"/>
    <x v="4"/>
    <x v="4"/>
    <x v="0"/>
    <x v="0"/>
    <x v="1"/>
    <x v="0"/>
    <x v="0"/>
    <x v="3"/>
    <x v="344"/>
    <x v="3"/>
    <x v="1"/>
  </r>
  <r>
    <x v="345"/>
    <x v="160"/>
    <x v="2"/>
    <x v="3"/>
    <x v="17"/>
    <x v="1"/>
    <x v="1"/>
    <x v="0"/>
    <x v="3"/>
    <x v="3"/>
    <x v="344"/>
    <x v="0"/>
    <x v="345"/>
    <x v="345"/>
    <x v="345"/>
    <x v="0"/>
    <x v="9"/>
    <x v="0"/>
    <x v="0"/>
    <x v="0"/>
    <x v="0"/>
    <x v="0"/>
    <x v="3"/>
    <x v="345"/>
    <x v="3"/>
    <x v="1"/>
  </r>
  <r>
    <x v="346"/>
    <x v="215"/>
    <x v="1"/>
    <x v="2"/>
    <x v="12"/>
    <x v="3"/>
    <x v="3"/>
    <x v="0"/>
    <x v="1"/>
    <x v="1"/>
    <x v="345"/>
    <x v="2"/>
    <x v="346"/>
    <x v="346"/>
    <x v="346"/>
    <x v="16"/>
    <x v="6"/>
    <x v="0"/>
    <x v="0"/>
    <x v="0"/>
    <x v="0"/>
    <x v="1"/>
    <x v="2"/>
    <x v="346"/>
    <x v="2"/>
    <x v="1"/>
  </r>
  <r>
    <x v="347"/>
    <x v="216"/>
    <x v="1"/>
    <x v="4"/>
    <x v="11"/>
    <x v="0"/>
    <x v="0"/>
    <x v="0"/>
    <x v="0"/>
    <x v="3"/>
    <x v="346"/>
    <x v="2"/>
    <x v="347"/>
    <x v="347"/>
    <x v="347"/>
    <x v="17"/>
    <x v="3"/>
    <x v="0"/>
    <x v="1"/>
    <x v="1"/>
    <x v="1"/>
    <x v="1"/>
    <x v="4"/>
    <x v="347"/>
    <x v="4"/>
    <x v="1"/>
  </r>
  <r>
    <x v="348"/>
    <x v="121"/>
    <x v="0"/>
    <x v="3"/>
    <x v="7"/>
    <x v="0"/>
    <x v="0"/>
    <x v="0"/>
    <x v="2"/>
    <x v="2"/>
    <x v="347"/>
    <x v="2"/>
    <x v="348"/>
    <x v="348"/>
    <x v="348"/>
    <x v="4"/>
    <x v="9"/>
    <x v="0"/>
    <x v="0"/>
    <x v="0"/>
    <x v="0"/>
    <x v="1"/>
    <x v="3"/>
    <x v="348"/>
    <x v="3"/>
    <x v="1"/>
  </r>
  <r>
    <x v="349"/>
    <x v="77"/>
    <x v="1"/>
    <x v="1"/>
    <x v="1"/>
    <x v="1"/>
    <x v="1"/>
    <x v="0"/>
    <x v="2"/>
    <x v="4"/>
    <x v="348"/>
    <x v="1"/>
    <x v="349"/>
    <x v="349"/>
    <x v="349"/>
    <x v="15"/>
    <x v="8"/>
    <x v="0"/>
    <x v="0"/>
    <x v="0"/>
    <x v="0"/>
    <x v="0"/>
    <x v="1"/>
    <x v="349"/>
    <x v="1"/>
    <x v="1"/>
  </r>
  <r>
    <x v="350"/>
    <x v="114"/>
    <x v="0"/>
    <x v="3"/>
    <x v="17"/>
    <x v="4"/>
    <x v="1"/>
    <x v="0"/>
    <x v="1"/>
    <x v="4"/>
    <x v="349"/>
    <x v="0"/>
    <x v="350"/>
    <x v="350"/>
    <x v="350"/>
    <x v="9"/>
    <x v="7"/>
    <x v="0"/>
    <x v="1"/>
    <x v="1"/>
    <x v="1"/>
    <x v="0"/>
    <x v="3"/>
    <x v="350"/>
    <x v="3"/>
    <x v="1"/>
  </r>
  <r>
    <x v="351"/>
    <x v="196"/>
    <x v="2"/>
    <x v="3"/>
    <x v="17"/>
    <x v="9"/>
    <x v="8"/>
    <x v="2"/>
    <x v="2"/>
    <x v="1"/>
    <x v="350"/>
    <x v="0"/>
    <x v="351"/>
    <x v="351"/>
    <x v="351"/>
    <x v="12"/>
    <x v="10"/>
    <x v="0"/>
    <x v="1"/>
    <x v="1"/>
    <x v="1"/>
    <x v="0"/>
    <x v="3"/>
    <x v="351"/>
    <x v="3"/>
    <x v="1"/>
  </r>
  <r>
    <x v="352"/>
    <x v="217"/>
    <x v="1"/>
    <x v="4"/>
    <x v="8"/>
    <x v="1"/>
    <x v="1"/>
    <x v="0"/>
    <x v="3"/>
    <x v="1"/>
    <x v="351"/>
    <x v="2"/>
    <x v="352"/>
    <x v="352"/>
    <x v="352"/>
    <x v="22"/>
    <x v="4"/>
    <x v="0"/>
    <x v="1"/>
    <x v="1"/>
    <x v="1"/>
    <x v="1"/>
    <x v="4"/>
    <x v="352"/>
    <x v="4"/>
    <x v="1"/>
  </r>
  <r>
    <x v="353"/>
    <x v="218"/>
    <x v="1"/>
    <x v="0"/>
    <x v="0"/>
    <x v="4"/>
    <x v="1"/>
    <x v="0"/>
    <x v="0"/>
    <x v="4"/>
    <x v="352"/>
    <x v="0"/>
    <x v="353"/>
    <x v="353"/>
    <x v="353"/>
    <x v="15"/>
    <x v="10"/>
    <x v="0"/>
    <x v="0"/>
    <x v="0"/>
    <x v="0"/>
    <x v="0"/>
    <x v="0"/>
    <x v="353"/>
    <x v="0"/>
    <x v="1"/>
  </r>
  <r>
    <x v="354"/>
    <x v="201"/>
    <x v="0"/>
    <x v="3"/>
    <x v="3"/>
    <x v="5"/>
    <x v="4"/>
    <x v="2"/>
    <x v="2"/>
    <x v="5"/>
    <x v="353"/>
    <x v="1"/>
    <x v="354"/>
    <x v="354"/>
    <x v="354"/>
    <x v="25"/>
    <x v="11"/>
    <x v="0"/>
    <x v="0"/>
    <x v="1"/>
    <x v="1"/>
    <x v="0"/>
    <x v="3"/>
    <x v="354"/>
    <x v="3"/>
    <x v="1"/>
  </r>
  <r>
    <x v="355"/>
    <x v="219"/>
    <x v="0"/>
    <x v="2"/>
    <x v="12"/>
    <x v="4"/>
    <x v="1"/>
    <x v="0"/>
    <x v="0"/>
    <x v="3"/>
    <x v="354"/>
    <x v="2"/>
    <x v="355"/>
    <x v="355"/>
    <x v="355"/>
    <x v="21"/>
    <x v="4"/>
    <x v="0"/>
    <x v="0"/>
    <x v="0"/>
    <x v="0"/>
    <x v="1"/>
    <x v="2"/>
    <x v="355"/>
    <x v="2"/>
    <x v="1"/>
  </r>
  <r>
    <x v="356"/>
    <x v="125"/>
    <x v="0"/>
    <x v="0"/>
    <x v="0"/>
    <x v="5"/>
    <x v="4"/>
    <x v="2"/>
    <x v="3"/>
    <x v="2"/>
    <x v="355"/>
    <x v="0"/>
    <x v="356"/>
    <x v="356"/>
    <x v="356"/>
    <x v="24"/>
    <x v="8"/>
    <x v="0"/>
    <x v="0"/>
    <x v="0"/>
    <x v="0"/>
    <x v="0"/>
    <x v="0"/>
    <x v="356"/>
    <x v="0"/>
    <x v="1"/>
  </r>
  <r>
    <x v="357"/>
    <x v="12"/>
    <x v="0"/>
    <x v="1"/>
    <x v="5"/>
    <x v="2"/>
    <x v="2"/>
    <x v="1"/>
    <x v="2"/>
    <x v="3"/>
    <x v="356"/>
    <x v="1"/>
    <x v="357"/>
    <x v="357"/>
    <x v="357"/>
    <x v="0"/>
    <x v="0"/>
    <x v="0"/>
    <x v="0"/>
    <x v="1"/>
    <x v="0"/>
    <x v="0"/>
    <x v="1"/>
    <x v="357"/>
    <x v="1"/>
    <x v="1"/>
  </r>
  <r>
    <x v="358"/>
    <x v="0"/>
    <x v="0"/>
    <x v="4"/>
    <x v="16"/>
    <x v="7"/>
    <x v="6"/>
    <x v="2"/>
    <x v="1"/>
    <x v="2"/>
    <x v="357"/>
    <x v="0"/>
    <x v="358"/>
    <x v="358"/>
    <x v="358"/>
    <x v="24"/>
    <x v="0"/>
    <x v="0"/>
    <x v="1"/>
    <x v="1"/>
    <x v="0"/>
    <x v="0"/>
    <x v="4"/>
    <x v="358"/>
    <x v="4"/>
    <x v="1"/>
  </r>
  <r>
    <x v="359"/>
    <x v="182"/>
    <x v="2"/>
    <x v="1"/>
    <x v="5"/>
    <x v="2"/>
    <x v="2"/>
    <x v="1"/>
    <x v="0"/>
    <x v="5"/>
    <x v="358"/>
    <x v="1"/>
    <x v="359"/>
    <x v="359"/>
    <x v="359"/>
    <x v="19"/>
    <x v="11"/>
    <x v="0"/>
    <x v="0"/>
    <x v="0"/>
    <x v="0"/>
    <x v="0"/>
    <x v="1"/>
    <x v="359"/>
    <x v="1"/>
    <x v="1"/>
  </r>
  <r>
    <x v="360"/>
    <x v="20"/>
    <x v="1"/>
    <x v="0"/>
    <x v="18"/>
    <x v="1"/>
    <x v="1"/>
    <x v="0"/>
    <x v="3"/>
    <x v="0"/>
    <x v="359"/>
    <x v="3"/>
    <x v="360"/>
    <x v="360"/>
    <x v="360"/>
    <x v="14"/>
    <x v="0"/>
    <x v="0"/>
    <x v="0"/>
    <x v="0"/>
    <x v="1"/>
    <x v="0"/>
    <x v="0"/>
    <x v="360"/>
    <x v="0"/>
    <x v="1"/>
  </r>
  <r>
    <x v="361"/>
    <x v="220"/>
    <x v="0"/>
    <x v="0"/>
    <x v="0"/>
    <x v="5"/>
    <x v="4"/>
    <x v="2"/>
    <x v="0"/>
    <x v="2"/>
    <x v="360"/>
    <x v="1"/>
    <x v="361"/>
    <x v="361"/>
    <x v="361"/>
    <x v="16"/>
    <x v="9"/>
    <x v="0"/>
    <x v="0"/>
    <x v="0"/>
    <x v="0"/>
    <x v="0"/>
    <x v="0"/>
    <x v="361"/>
    <x v="0"/>
    <x v="0"/>
  </r>
  <r>
    <x v="362"/>
    <x v="123"/>
    <x v="0"/>
    <x v="0"/>
    <x v="18"/>
    <x v="1"/>
    <x v="1"/>
    <x v="0"/>
    <x v="2"/>
    <x v="3"/>
    <x v="361"/>
    <x v="3"/>
    <x v="362"/>
    <x v="362"/>
    <x v="362"/>
    <x v="12"/>
    <x v="8"/>
    <x v="0"/>
    <x v="0"/>
    <x v="0"/>
    <x v="1"/>
    <x v="0"/>
    <x v="0"/>
    <x v="362"/>
    <x v="0"/>
    <x v="1"/>
  </r>
  <r>
    <x v="363"/>
    <x v="221"/>
    <x v="0"/>
    <x v="1"/>
    <x v="10"/>
    <x v="3"/>
    <x v="3"/>
    <x v="0"/>
    <x v="2"/>
    <x v="6"/>
    <x v="362"/>
    <x v="0"/>
    <x v="363"/>
    <x v="363"/>
    <x v="363"/>
    <x v="3"/>
    <x v="9"/>
    <x v="0"/>
    <x v="0"/>
    <x v="0"/>
    <x v="0"/>
    <x v="0"/>
    <x v="1"/>
    <x v="363"/>
    <x v="1"/>
    <x v="1"/>
  </r>
  <r>
    <x v="364"/>
    <x v="80"/>
    <x v="1"/>
    <x v="0"/>
    <x v="6"/>
    <x v="9"/>
    <x v="8"/>
    <x v="2"/>
    <x v="1"/>
    <x v="4"/>
    <x v="363"/>
    <x v="0"/>
    <x v="364"/>
    <x v="364"/>
    <x v="364"/>
    <x v="5"/>
    <x v="11"/>
    <x v="0"/>
    <x v="0"/>
    <x v="0"/>
    <x v="1"/>
    <x v="0"/>
    <x v="0"/>
    <x v="364"/>
    <x v="0"/>
    <x v="1"/>
  </r>
  <r>
    <x v="365"/>
    <x v="222"/>
    <x v="1"/>
    <x v="1"/>
    <x v="5"/>
    <x v="6"/>
    <x v="5"/>
    <x v="3"/>
    <x v="3"/>
    <x v="4"/>
    <x v="364"/>
    <x v="0"/>
    <x v="365"/>
    <x v="365"/>
    <x v="365"/>
    <x v="10"/>
    <x v="0"/>
    <x v="0"/>
    <x v="1"/>
    <x v="1"/>
    <x v="0"/>
    <x v="0"/>
    <x v="1"/>
    <x v="365"/>
    <x v="1"/>
    <x v="1"/>
  </r>
  <r>
    <x v="366"/>
    <x v="16"/>
    <x v="2"/>
    <x v="0"/>
    <x v="13"/>
    <x v="1"/>
    <x v="1"/>
    <x v="0"/>
    <x v="3"/>
    <x v="5"/>
    <x v="365"/>
    <x v="2"/>
    <x v="366"/>
    <x v="366"/>
    <x v="366"/>
    <x v="21"/>
    <x v="8"/>
    <x v="0"/>
    <x v="0"/>
    <x v="0"/>
    <x v="0"/>
    <x v="1"/>
    <x v="0"/>
    <x v="366"/>
    <x v="0"/>
    <x v="1"/>
  </r>
  <r>
    <x v="367"/>
    <x v="223"/>
    <x v="1"/>
    <x v="2"/>
    <x v="14"/>
    <x v="9"/>
    <x v="8"/>
    <x v="2"/>
    <x v="1"/>
    <x v="2"/>
    <x v="366"/>
    <x v="1"/>
    <x v="367"/>
    <x v="367"/>
    <x v="367"/>
    <x v="0"/>
    <x v="2"/>
    <x v="0"/>
    <x v="0"/>
    <x v="0"/>
    <x v="0"/>
    <x v="0"/>
    <x v="2"/>
    <x v="367"/>
    <x v="2"/>
    <x v="1"/>
  </r>
  <r>
    <x v="368"/>
    <x v="49"/>
    <x v="2"/>
    <x v="0"/>
    <x v="6"/>
    <x v="4"/>
    <x v="1"/>
    <x v="0"/>
    <x v="1"/>
    <x v="0"/>
    <x v="367"/>
    <x v="1"/>
    <x v="368"/>
    <x v="368"/>
    <x v="368"/>
    <x v="18"/>
    <x v="2"/>
    <x v="0"/>
    <x v="0"/>
    <x v="0"/>
    <x v="1"/>
    <x v="0"/>
    <x v="0"/>
    <x v="368"/>
    <x v="0"/>
    <x v="1"/>
  </r>
  <r>
    <x v="369"/>
    <x v="224"/>
    <x v="2"/>
    <x v="1"/>
    <x v="10"/>
    <x v="2"/>
    <x v="2"/>
    <x v="1"/>
    <x v="3"/>
    <x v="2"/>
    <x v="368"/>
    <x v="2"/>
    <x v="369"/>
    <x v="369"/>
    <x v="369"/>
    <x v="25"/>
    <x v="10"/>
    <x v="0"/>
    <x v="0"/>
    <x v="0"/>
    <x v="1"/>
    <x v="1"/>
    <x v="1"/>
    <x v="369"/>
    <x v="1"/>
    <x v="1"/>
  </r>
  <r>
    <x v="370"/>
    <x v="225"/>
    <x v="0"/>
    <x v="3"/>
    <x v="17"/>
    <x v="4"/>
    <x v="1"/>
    <x v="0"/>
    <x v="0"/>
    <x v="4"/>
    <x v="369"/>
    <x v="1"/>
    <x v="370"/>
    <x v="370"/>
    <x v="370"/>
    <x v="20"/>
    <x v="8"/>
    <x v="0"/>
    <x v="0"/>
    <x v="0"/>
    <x v="0"/>
    <x v="0"/>
    <x v="3"/>
    <x v="370"/>
    <x v="3"/>
    <x v="1"/>
  </r>
  <r>
    <x v="371"/>
    <x v="78"/>
    <x v="2"/>
    <x v="0"/>
    <x v="6"/>
    <x v="6"/>
    <x v="5"/>
    <x v="3"/>
    <x v="0"/>
    <x v="1"/>
    <x v="370"/>
    <x v="4"/>
    <x v="371"/>
    <x v="371"/>
    <x v="371"/>
    <x v="9"/>
    <x v="2"/>
    <x v="0"/>
    <x v="0"/>
    <x v="0"/>
    <x v="1"/>
    <x v="1"/>
    <x v="0"/>
    <x v="371"/>
    <x v="0"/>
    <x v="1"/>
  </r>
  <r>
    <x v="372"/>
    <x v="57"/>
    <x v="0"/>
    <x v="3"/>
    <x v="3"/>
    <x v="5"/>
    <x v="4"/>
    <x v="2"/>
    <x v="1"/>
    <x v="6"/>
    <x v="371"/>
    <x v="2"/>
    <x v="372"/>
    <x v="372"/>
    <x v="372"/>
    <x v="0"/>
    <x v="7"/>
    <x v="0"/>
    <x v="0"/>
    <x v="0"/>
    <x v="0"/>
    <x v="1"/>
    <x v="3"/>
    <x v="372"/>
    <x v="3"/>
    <x v="1"/>
  </r>
  <r>
    <x v="373"/>
    <x v="226"/>
    <x v="2"/>
    <x v="2"/>
    <x v="4"/>
    <x v="3"/>
    <x v="3"/>
    <x v="0"/>
    <x v="0"/>
    <x v="5"/>
    <x v="372"/>
    <x v="0"/>
    <x v="373"/>
    <x v="373"/>
    <x v="373"/>
    <x v="14"/>
    <x v="7"/>
    <x v="0"/>
    <x v="0"/>
    <x v="0"/>
    <x v="1"/>
    <x v="0"/>
    <x v="2"/>
    <x v="373"/>
    <x v="2"/>
    <x v="1"/>
  </r>
  <r>
    <x v="374"/>
    <x v="63"/>
    <x v="0"/>
    <x v="4"/>
    <x v="8"/>
    <x v="9"/>
    <x v="8"/>
    <x v="2"/>
    <x v="3"/>
    <x v="1"/>
    <x v="373"/>
    <x v="4"/>
    <x v="374"/>
    <x v="374"/>
    <x v="374"/>
    <x v="16"/>
    <x v="0"/>
    <x v="0"/>
    <x v="1"/>
    <x v="1"/>
    <x v="0"/>
    <x v="1"/>
    <x v="4"/>
    <x v="374"/>
    <x v="4"/>
    <x v="1"/>
  </r>
  <r>
    <x v="375"/>
    <x v="29"/>
    <x v="2"/>
    <x v="2"/>
    <x v="2"/>
    <x v="3"/>
    <x v="3"/>
    <x v="0"/>
    <x v="2"/>
    <x v="3"/>
    <x v="374"/>
    <x v="1"/>
    <x v="375"/>
    <x v="375"/>
    <x v="375"/>
    <x v="23"/>
    <x v="6"/>
    <x v="0"/>
    <x v="0"/>
    <x v="0"/>
    <x v="1"/>
    <x v="0"/>
    <x v="2"/>
    <x v="375"/>
    <x v="2"/>
    <x v="1"/>
  </r>
  <r>
    <x v="376"/>
    <x v="41"/>
    <x v="2"/>
    <x v="0"/>
    <x v="13"/>
    <x v="7"/>
    <x v="6"/>
    <x v="2"/>
    <x v="2"/>
    <x v="0"/>
    <x v="375"/>
    <x v="3"/>
    <x v="376"/>
    <x v="376"/>
    <x v="376"/>
    <x v="21"/>
    <x v="2"/>
    <x v="0"/>
    <x v="0"/>
    <x v="0"/>
    <x v="0"/>
    <x v="0"/>
    <x v="0"/>
    <x v="376"/>
    <x v="0"/>
    <x v="1"/>
  </r>
  <r>
    <x v="377"/>
    <x v="227"/>
    <x v="2"/>
    <x v="3"/>
    <x v="3"/>
    <x v="1"/>
    <x v="1"/>
    <x v="0"/>
    <x v="0"/>
    <x v="1"/>
    <x v="376"/>
    <x v="0"/>
    <x v="377"/>
    <x v="377"/>
    <x v="377"/>
    <x v="15"/>
    <x v="3"/>
    <x v="0"/>
    <x v="1"/>
    <x v="1"/>
    <x v="0"/>
    <x v="0"/>
    <x v="3"/>
    <x v="377"/>
    <x v="3"/>
    <x v="1"/>
  </r>
  <r>
    <x v="378"/>
    <x v="66"/>
    <x v="1"/>
    <x v="3"/>
    <x v="3"/>
    <x v="5"/>
    <x v="4"/>
    <x v="2"/>
    <x v="1"/>
    <x v="3"/>
    <x v="377"/>
    <x v="3"/>
    <x v="378"/>
    <x v="378"/>
    <x v="378"/>
    <x v="23"/>
    <x v="9"/>
    <x v="0"/>
    <x v="1"/>
    <x v="1"/>
    <x v="1"/>
    <x v="0"/>
    <x v="3"/>
    <x v="378"/>
    <x v="3"/>
    <x v="1"/>
  </r>
  <r>
    <x v="379"/>
    <x v="88"/>
    <x v="0"/>
    <x v="1"/>
    <x v="10"/>
    <x v="7"/>
    <x v="6"/>
    <x v="2"/>
    <x v="1"/>
    <x v="1"/>
    <x v="378"/>
    <x v="2"/>
    <x v="379"/>
    <x v="379"/>
    <x v="379"/>
    <x v="11"/>
    <x v="1"/>
    <x v="0"/>
    <x v="0"/>
    <x v="0"/>
    <x v="1"/>
    <x v="1"/>
    <x v="1"/>
    <x v="379"/>
    <x v="1"/>
    <x v="1"/>
  </r>
  <r>
    <x v="380"/>
    <x v="228"/>
    <x v="0"/>
    <x v="3"/>
    <x v="7"/>
    <x v="8"/>
    <x v="7"/>
    <x v="2"/>
    <x v="1"/>
    <x v="0"/>
    <x v="379"/>
    <x v="1"/>
    <x v="380"/>
    <x v="380"/>
    <x v="380"/>
    <x v="18"/>
    <x v="10"/>
    <x v="0"/>
    <x v="0"/>
    <x v="1"/>
    <x v="1"/>
    <x v="0"/>
    <x v="3"/>
    <x v="380"/>
    <x v="3"/>
    <x v="1"/>
  </r>
  <r>
    <x v="381"/>
    <x v="68"/>
    <x v="0"/>
    <x v="1"/>
    <x v="1"/>
    <x v="1"/>
    <x v="1"/>
    <x v="0"/>
    <x v="1"/>
    <x v="1"/>
    <x v="380"/>
    <x v="0"/>
    <x v="381"/>
    <x v="381"/>
    <x v="381"/>
    <x v="21"/>
    <x v="4"/>
    <x v="0"/>
    <x v="0"/>
    <x v="0"/>
    <x v="0"/>
    <x v="0"/>
    <x v="1"/>
    <x v="381"/>
    <x v="1"/>
    <x v="1"/>
  </r>
  <r>
    <x v="382"/>
    <x v="51"/>
    <x v="0"/>
    <x v="4"/>
    <x v="19"/>
    <x v="4"/>
    <x v="1"/>
    <x v="0"/>
    <x v="1"/>
    <x v="5"/>
    <x v="381"/>
    <x v="0"/>
    <x v="382"/>
    <x v="382"/>
    <x v="382"/>
    <x v="13"/>
    <x v="8"/>
    <x v="0"/>
    <x v="1"/>
    <x v="1"/>
    <x v="1"/>
    <x v="0"/>
    <x v="4"/>
    <x v="382"/>
    <x v="4"/>
    <x v="1"/>
  </r>
  <r>
    <x v="383"/>
    <x v="229"/>
    <x v="1"/>
    <x v="0"/>
    <x v="13"/>
    <x v="2"/>
    <x v="2"/>
    <x v="1"/>
    <x v="0"/>
    <x v="4"/>
    <x v="382"/>
    <x v="0"/>
    <x v="383"/>
    <x v="383"/>
    <x v="383"/>
    <x v="20"/>
    <x v="11"/>
    <x v="0"/>
    <x v="0"/>
    <x v="0"/>
    <x v="0"/>
    <x v="0"/>
    <x v="0"/>
    <x v="383"/>
    <x v="0"/>
    <x v="0"/>
  </r>
  <r>
    <x v="384"/>
    <x v="209"/>
    <x v="0"/>
    <x v="1"/>
    <x v="5"/>
    <x v="9"/>
    <x v="8"/>
    <x v="2"/>
    <x v="2"/>
    <x v="2"/>
    <x v="383"/>
    <x v="3"/>
    <x v="384"/>
    <x v="384"/>
    <x v="384"/>
    <x v="13"/>
    <x v="10"/>
    <x v="0"/>
    <x v="0"/>
    <x v="0"/>
    <x v="1"/>
    <x v="0"/>
    <x v="1"/>
    <x v="384"/>
    <x v="1"/>
    <x v="1"/>
  </r>
  <r>
    <x v="385"/>
    <x v="173"/>
    <x v="2"/>
    <x v="4"/>
    <x v="11"/>
    <x v="6"/>
    <x v="5"/>
    <x v="3"/>
    <x v="2"/>
    <x v="1"/>
    <x v="384"/>
    <x v="3"/>
    <x v="385"/>
    <x v="385"/>
    <x v="385"/>
    <x v="1"/>
    <x v="0"/>
    <x v="0"/>
    <x v="1"/>
    <x v="1"/>
    <x v="1"/>
    <x v="0"/>
    <x v="4"/>
    <x v="385"/>
    <x v="4"/>
    <x v="1"/>
  </r>
  <r>
    <x v="386"/>
    <x v="53"/>
    <x v="1"/>
    <x v="3"/>
    <x v="7"/>
    <x v="6"/>
    <x v="5"/>
    <x v="3"/>
    <x v="0"/>
    <x v="5"/>
    <x v="385"/>
    <x v="2"/>
    <x v="386"/>
    <x v="386"/>
    <x v="386"/>
    <x v="12"/>
    <x v="11"/>
    <x v="0"/>
    <x v="1"/>
    <x v="1"/>
    <x v="1"/>
    <x v="1"/>
    <x v="3"/>
    <x v="386"/>
    <x v="3"/>
    <x v="1"/>
  </r>
  <r>
    <x v="387"/>
    <x v="204"/>
    <x v="2"/>
    <x v="3"/>
    <x v="17"/>
    <x v="4"/>
    <x v="1"/>
    <x v="0"/>
    <x v="1"/>
    <x v="2"/>
    <x v="386"/>
    <x v="1"/>
    <x v="387"/>
    <x v="387"/>
    <x v="387"/>
    <x v="9"/>
    <x v="3"/>
    <x v="0"/>
    <x v="0"/>
    <x v="0"/>
    <x v="1"/>
    <x v="0"/>
    <x v="3"/>
    <x v="387"/>
    <x v="3"/>
    <x v="1"/>
  </r>
  <r>
    <x v="388"/>
    <x v="75"/>
    <x v="0"/>
    <x v="4"/>
    <x v="8"/>
    <x v="0"/>
    <x v="0"/>
    <x v="0"/>
    <x v="0"/>
    <x v="3"/>
    <x v="387"/>
    <x v="2"/>
    <x v="388"/>
    <x v="388"/>
    <x v="388"/>
    <x v="22"/>
    <x v="1"/>
    <x v="0"/>
    <x v="1"/>
    <x v="1"/>
    <x v="1"/>
    <x v="1"/>
    <x v="4"/>
    <x v="388"/>
    <x v="4"/>
    <x v="1"/>
  </r>
  <r>
    <x v="389"/>
    <x v="57"/>
    <x v="2"/>
    <x v="3"/>
    <x v="9"/>
    <x v="6"/>
    <x v="5"/>
    <x v="3"/>
    <x v="2"/>
    <x v="2"/>
    <x v="388"/>
    <x v="0"/>
    <x v="389"/>
    <x v="389"/>
    <x v="389"/>
    <x v="19"/>
    <x v="7"/>
    <x v="0"/>
    <x v="0"/>
    <x v="0"/>
    <x v="0"/>
    <x v="0"/>
    <x v="3"/>
    <x v="389"/>
    <x v="3"/>
    <x v="1"/>
  </r>
  <r>
    <x v="390"/>
    <x v="230"/>
    <x v="2"/>
    <x v="4"/>
    <x v="16"/>
    <x v="9"/>
    <x v="8"/>
    <x v="2"/>
    <x v="3"/>
    <x v="3"/>
    <x v="389"/>
    <x v="2"/>
    <x v="390"/>
    <x v="390"/>
    <x v="390"/>
    <x v="6"/>
    <x v="7"/>
    <x v="0"/>
    <x v="0"/>
    <x v="0"/>
    <x v="0"/>
    <x v="1"/>
    <x v="4"/>
    <x v="390"/>
    <x v="4"/>
    <x v="1"/>
  </r>
  <r>
    <x v="391"/>
    <x v="164"/>
    <x v="1"/>
    <x v="1"/>
    <x v="5"/>
    <x v="4"/>
    <x v="1"/>
    <x v="0"/>
    <x v="0"/>
    <x v="1"/>
    <x v="390"/>
    <x v="0"/>
    <x v="391"/>
    <x v="391"/>
    <x v="391"/>
    <x v="22"/>
    <x v="10"/>
    <x v="0"/>
    <x v="0"/>
    <x v="0"/>
    <x v="1"/>
    <x v="0"/>
    <x v="1"/>
    <x v="391"/>
    <x v="1"/>
    <x v="1"/>
  </r>
  <r>
    <x v="392"/>
    <x v="231"/>
    <x v="1"/>
    <x v="1"/>
    <x v="15"/>
    <x v="5"/>
    <x v="4"/>
    <x v="2"/>
    <x v="1"/>
    <x v="5"/>
    <x v="391"/>
    <x v="1"/>
    <x v="392"/>
    <x v="392"/>
    <x v="392"/>
    <x v="21"/>
    <x v="9"/>
    <x v="0"/>
    <x v="0"/>
    <x v="0"/>
    <x v="0"/>
    <x v="0"/>
    <x v="1"/>
    <x v="392"/>
    <x v="1"/>
    <x v="1"/>
  </r>
  <r>
    <x v="393"/>
    <x v="212"/>
    <x v="1"/>
    <x v="4"/>
    <x v="19"/>
    <x v="6"/>
    <x v="5"/>
    <x v="3"/>
    <x v="2"/>
    <x v="4"/>
    <x v="392"/>
    <x v="0"/>
    <x v="393"/>
    <x v="393"/>
    <x v="393"/>
    <x v="3"/>
    <x v="10"/>
    <x v="0"/>
    <x v="1"/>
    <x v="1"/>
    <x v="0"/>
    <x v="0"/>
    <x v="4"/>
    <x v="393"/>
    <x v="4"/>
    <x v="1"/>
  </r>
  <r>
    <x v="394"/>
    <x v="179"/>
    <x v="0"/>
    <x v="1"/>
    <x v="15"/>
    <x v="3"/>
    <x v="3"/>
    <x v="0"/>
    <x v="2"/>
    <x v="1"/>
    <x v="393"/>
    <x v="2"/>
    <x v="394"/>
    <x v="394"/>
    <x v="394"/>
    <x v="1"/>
    <x v="1"/>
    <x v="0"/>
    <x v="0"/>
    <x v="0"/>
    <x v="1"/>
    <x v="1"/>
    <x v="1"/>
    <x v="394"/>
    <x v="1"/>
    <x v="1"/>
  </r>
  <r>
    <x v="395"/>
    <x v="232"/>
    <x v="1"/>
    <x v="1"/>
    <x v="1"/>
    <x v="4"/>
    <x v="1"/>
    <x v="0"/>
    <x v="2"/>
    <x v="3"/>
    <x v="394"/>
    <x v="3"/>
    <x v="395"/>
    <x v="395"/>
    <x v="395"/>
    <x v="14"/>
    <x v="5"/>
    <x v="0"/>
    <x v="1"/>
    <x v="1"/>
    <x v="1"/>
    <x v="0"/>
    <x v="1"/>
    <x v="395"/>
    <x v="1"/>
    <x v="1"/>
  </r>
  <r>
    <x v="396"/>
    <x v="233"/>
    <x v="0"/>
    <x v="1"/>
    <x v="5"/>
    <x v="9"/>
    <x v="8"/>
    <x v="2"/>
    <x v="2"/>
    <x v="0"/>
    <x v="395"/>
    <x v="4"/>
    <x v="396"/>
    <x v="396"/>
    <x v="396"/>
    <x v="18"/>
    <x v="1"/>
    <x v="0"/>
    <x v="0"/>
    <x v="1"/>
    <x v="1"/>
    <x v="1"/>
    <x v="1"/>
    <x v="396"/>
    <x v="1"/>
    <x v="1"/>
  </r>
  <r>
    <x v="397"/>
    <x v="7"/>
    <x v="0"/>
    <x v="2"/>
    <x v="4"/>
    <x v="3"/>
    <x v="3"/>
    <x v="0"/>
    <x v="1"/>
    <x v="2"/>
    <x v="154"/>
    <x v="0"/>
    <x v="397"/>
    <x v="397"/>
    <x v="397"/>
    <x v="13"/>
    <x v="5"/>
    <x v="0"/>
    <x v="0"/>
    <x v="0"/>
    <x v="1"/>
    <x v="0"/>
    <x v="2"/>
    <x v="397"/>
    <x v="2"/>
    <x v="1"/>
  </r>
  <r>
    <x v="398"/>
    <x v="77"/>
    <x v="0"/>
    <x v="0"/>
    <x v="0"/>
    <x v="1"/>
    <x v="1"/>
    <x v="0"/>
    <x v="3"/>
    <x v="1"/>
    <x v="396"/>
    <x v="1"/>
    <x v="398"/>
    <x v="398"/>
    <x v="398"/>
    <x v="19"/>
    <x v="8"/>
    <x v="0"/>
    <x v="0"/>
    <x v="0"/>
    <x v="0"/>
    <x v="0"/>
    <x v="0"/>
    <x v="398"/>
    <x v="0"/>
    <x v="1"/>
  </r>
  <r>
    <x v="399"/>
    <x v="234"/>
    <x v="0"/>
    <x v="3"/>
    <x v="7"/>
    <x v="1"/>
    <x v="1"/>
    <x v="0"/>
    <x v="2"/>
    <x v="3"/>
    <x v="397"/>
    <x v="3"/>
    <x v="399"/>
    <x v="399"/>
    <x v="399"/>
    <x v="15"/>
    <x v="1"/>
    <x v="0"/>
    <x v="0"/>
    <x v="1"/>
    <x v="0"/>
    <x v="0"/>
    <x v="3"/>
    <x v="399"/>
    <x v="3"/>
    <x v="1"/>
  </r>
  <r>
    <x v="400"/>
    <x v="209"/>
    <x v="0"/>
    <x v="2"/>
    <x v="14"/>
    <x v="6"/>
    <x v="5"/>
    <x v="3"/>
    <x v="0"/>
    <x v="2"/>
    <x v="398"/>
    <x v="4"/>
    <x v="400"/>
    <x v="400"/>
    <x v="400"/>
    <x v="18"/>
    <x v="10"/>
    <x v="0"/>
    <x v="0"/>
    <x v="0"/>
    <x v="1"/>
    <x v="1"/>
    <x v="2"/>
    <x v="400"/>
    <x v="2"/>
    <x v="1"/>
  </r>
  <r>
    <x v="401"/>
    <x v="78"/>
    <x v="0"/>
    <x v="1"/>
    <x v="10"/>
    <x v="3"/>
    <x v="3"/>
    <x v="0"/>
    <x v="3"/>
    <x v="3"/>
    <x v="399"/>
    <x v="3"/>
    <x v="401"/>
    <x v="401"/>
    <x v="401"/>
    <x v="25"/>
    <x v="2"/>
    <x v="0"/>
    <x v="1"/>
    <x v="1"/>
    <x v="1"/>
    <x v="0"/>
    <x v="1"/>
    <x v="401"/>
    <x v="1"/>
    <x v="1"/>
  </r>
  <r>
    <x v="402"/>
    <x v="1"/>
    <x v="2"/>
    <x v="4"/>
    <x v="8"/>
    <x v="2"/>
    <x v="2"/>
    <x v="1"/>
    <x v="2"/>
    <x v="5"/>
    <x v="400"/>
    <x v="2"/>
    <x v="402"/>
    <x v="402"/>
    <x v="402"/>
    <x v="20"/>
    <x v="1"/>
    <x v="0"/>
    <x v="1"/>
    <x v="1"/>
    <x v="0"/>
    <x v="1"/>
    <x v="4"/>
    <x v="402"/>
    <x v="4"/>
    <x v="1"/>
  </r>
  <r>
    <x v="403"/>
    <x v="44"/>
    <x v="1"/>
    <x v="1"/>
    <x v="10"/>
    <x v="1"/>
    <x v="1"/>
    <x v="0"/>
    <x v="3"/>
    <x v="6"/>
    <x v="401"/>
    <x v="2"/>
    <x v="209"/>
    <x v="403"/>
    <x v="403"/>
    <x v="3"/>
    <x v="11"/>
    <x v="0"/>
    <x v="0"/>
    <x v="0"/>
    <x v="0"/>
    <x v="1"/>
    <x v="1"/>
    <x v="403"/>
    <x v="1"/>
    <x v="0"/>
  </r>
  <r>
    <x v="404"/>
    <x v="65"/>
    <x v="2"/>
    <x v="0"/>
    <x v="6"/>
    <x v="2"/>
    <x v="2"/>
    <x v="1"/>
    <x v="0"/>
    <x v="1"/>
    <x v="402"/>
    <x v="3"/>
    <x v="403"/>
    <x v="404"/>
    <x v="404"/>
    <x v="21"/>
    <x v="0"/>
    <x v="0"/>
    <x v="0"/>
    <x v="0"/>
    <x v="0"/>
    <x v="0"/>
    <x v="0"/>
    <x v="404"/>
    <x v="0"/>
    <x v="1"/>
  </r>
  <r>
    <x v="405"/>
    <x v="235"/>
    <x v="0"/>
    <x v="1"/>
    <x v="10"/>
    <x v="5"/>
    <x v="4"/>
    <x v="2"/>
    <x v="2"/>
    <x v="4"/>
    <x v="403"/>
    <x v="1"/>
    <x v="404"/>
    <x v="405"/>
    <x v="405"/>
    <x v="16"/>
    <x v="0"/>
    <x v="0"/>
    <x v="0"/>
    <x v="1"/>
    <x v="0"/>
    <x v="0"/>
    <x v="1"/>
    <x v="405"/>
    <x v="1"/>
    <x v="1"/>
  </r>
  <r>
    <x v="406"/>
    <x v="7"/>
    <x v="0"/>
    <x v="4"/>
    <x v="11"/>
    <x v="4"/>
    <x v="1"/>
    <x v="0"/>
    <x v="0"/>
    <x v="1"/>
    <x v="404"/>
    <x v="0"/>
    <x v="405"/>
    <x v="406"/>
    <x v="406"/>
    <x v="9"/>
    <x v="5"/>
    <x v="0"/>
    <x v="1"/>
    <x v="1"/>
    <x v="1"/>
    <x v="0"/>
    <x v="4"/>
    <x v="406"/>
    <x v="4"/>
    <x v="1"/>
  </r>
  <r>
    <x v="407"/>
    <x v="59"/>
    <x v="1"/>
    <x v="0"/>
    <x v="13"/>
    <x v="7"/>
    <x v="6"/>
    <x v="2"/>
    <x v="1"/>
    <x v="2"/>
    <x v="405"/>
    <x v="3"/>
    <x v="406"/>
    <x v="407"/>
    <x v="407"/>
    <x v="3"/>
    <x v="1"/>
    <x v="0"/>
    <x v="0"/>
    <x v="0"/>
    <x v="0"/>
    <x v="0"/>
    <x v="0"/>
    <x v="407"/>
    <x v="0"/>
    <x v="1"/>
  </r>
  <r>
    <x v="408"/>
    <x v="136"/>
    <x v="0"/>
    <x v="1"/>
    <x v="5"/>
    <x v="9"/>
    <x v="8"/>
    <x v="2"/>
    <x v="2"/>
    <x v="5"/>
    <x v="406"/>
    <x v="2"/>
    <x v="407"/>
    <x v="408"/>
    <x v="408"/>
    <x v="0"/>
    <x v="4"/>
    <x v="0"/>
    <x v="0"/>
    <x v="0"/>
    <x v="0"/>
    <x v="1"/>
    <x v="1"/>
    <x v="408"/>
    <x v="1"/>
    <x v="1"/>
  </r>
  <r>
    <x v="409"/>
    <x v="234"/>
    <x v="0"/>
    <x v="0"/>
    <x v="0"/>
    <x v="4"/>
    <x v="1"/>
    <x v="0"/>
    <x v="2"/>
    <x v="3"/>
    <x v="407"/>
    <x v="3"/>
    <x v="408"/>
    <x v="409"/>
    <x v="409"/>
    <x v="5"/>
    <x v="1"/>
    <x v="0"/>
    <x v="0"/>
    <x v="0"/>
    <x v="1"/>
    <x v="0"/>
    <x v="0"/>
    <x v="409"/>
    <x v="0"/>
    <x v="1"/>
  </r>
  <r>
    <x v="410"/>
    <x v="87"/>
    <x v="1"/>
    <x v="3"/>
    <x v="17"/>
    <x v="9"/>
    <x v="8"/>
    <x v="2"/>
    <x v="2"/>
    <x v="0"/>
    <x v="250"/>
    <x v="0"/>
    <x v="409"/>
    <x v="410"/>
    <x v="410"/>
    <x v="4"/>
    <x v="10"/>
    <x v="0"/>
    <x v="0"/>
    <x v="0"/>
    <x v="0"/>
    <x v="0"/>
    <x v="3"/>
    <x v="410"/>
    <x v="3"/>
    <x v="1"/>
  </r>
  <r>
    <x v="411"/>
    <x v="113"/>
    <x v="0"/>
    <x v="3"/>
    <x v="9"/>
    <x v="3"/>
    <x v="3"/>
    <x v="0"/>
    <x v="2"/>
    <x v="4"/>
    <x v="408"/>
    <x v="2"/>
    <x v="410"/>
    <x v="411"/>
    <x v="411"/>
    <x v="25"/>
    <x v="8"/>
    <x v="0"/>
    <x v="0"/>
    <x v="0"/>
    <x v="1"/>
    <x v="1"/>
    <x v="3"/>
    <x v="411"/>
    <x v="3"/>
    <x v="1"/>
  </r>
  <r>
    <x v="412"/>
    <x v="1"/>
    <x v="1"/>
    <x v="1"/>
    <x v="1"/>
    <x v="5"/>
    <x v="4"/>
    <x v="2"/>
    <x v="1"/>
    <x v="5"/>
    <x v="409"/>
    <x v="3"/>
    <x v="411"/>
    <x v="412"/>
    <x v="412"/>
    <x v="9"/>
    <x v="1"/>
    <x v="0"/>
    <x v="1"/>
    <x v="1"/>
    <x v="1"/>
    <x v="0"/>
    <x v="1"/>
    <x v="412"/>
    <x v="1"/>
    <x v="1"/>
  </r>
  <r>
    <x v="413"/>
    <x v="33"/>
    <x v="1"/>
    <x v="0"/>
    <x v="18"/>
    <x v="8"/>
    <x v="7"/>
    <x v="2"/>
    <x v="2"/>
    <x v="1"/>
    <x v="410"/>
    <x v="3"/>
    <x v="412"/>
    <x v="413"/>
    <x v="413"/>
    <x v="25"/>
    <x v="9"/>
    <x v="0"/>
    <x v="0"/>
    <x v="0"/>
    <x v="1"/>
    <x v="0"/>
    <x v="0"/>
    <x v="413"/>
    <x v="0"/>
    <x v="0"/>
  </r>
  <r>
    <x v="414"/>
    <x v="236"/>
    <x v="0"/>
    <x v="4"/>
    <x v="16"/>
    <x v="6"/>
    <x v="5"/>
    <x v="3"/>
    <x v="3"/>
    <x v="0"/>
    <x v="288"/>
    <x v="3"/>
    <x v="413"/>
    <x v="414"/>
    <x v="414"/>
    <x v="17"/>
    <x v="8"/>
    <x v="0"/>
    <x v="0"/>
    <x v="0"/>
    <x v="1"/>
    <x v="0"/>
    <x v="4"/>
    <x v="414"/>
    <x v="4"/>
    <x v="1"/>
  </r>
  <r>
    <x v="415"/>
    <x v="111"/>
    <x v="0"/>
    <x v="1"/>
    <x v="5"/>
    <x v="9"/>
    <x v="8"/>
    <x v="2"/>
    <x v="2"/>
    <x v="5"/>
    <x v="411"/>
    <x v="3"/>
    <x v="414"/>
    <x v="415"/>
    <x v="415"/>
    <x v="22"/>
    <x v="11"/>
    <x v="0"/>
    <x v="0"/>
    <x v="0"/>
    <x v="1"/>
    <x v="0"/>
    <x v="1"/>
    <x v="415"/>
    <x v="1"/>
    <x v="1"/>
  </r>
  <r>
    <x v="416"/>
    <x v="237"/>
    <x v="1"/>
    <x v="3"/>
    <x v="3"/>
    <x v="9"/>
    <x v="8"/>
    <x v="2"/>
    <x v="1"/>
    <x v="6"/>
    <x v="412"/>
    <x v="0"/>
    <x v="415"/>
    <x v="416"/>
    <x v="416"/>
    <x v="12"/>
    <x v="8"/>
    <x v="0"/>
    <x v="0"/>
    <x v="0"/>
    <x v="1"/>
    <x v="0"/>
    <x v="3"/>
    <x v="416"/>
    <x v="3"/>
    <x v="1"/>
  </r>
  <r>
    <x v="417"/>
    <x v="192"/>
    <x v="1"/>
    <x v="3"/>
    <x v="3"/>
    <x v="3"/>
    <x v="3"/>
    <x v="0"/>
    <x v="2"/>
    <x v="4"/>
    <x v="413"/>
    <x v="2"/>
    <x v="416"/>
    <x v="417"/>
    <x v="417"/>
    <x v="13"/>
    <x v="5"/>
    <x v="0"/>
    <x v="1"/>
    <x v="1"/>
    <x v="1"/>
    <x v="1"/>
    <x v="3"/>
    <x v="417"/>
    <x v="3"/>
    <x v="1"/>
  </r>
  <r>
    <x v="418"/>
    <x v="238"/>
    <x v="0"/>
    <x v="1"/>
    <x v="5"/>
    <x v="2"/>
    <x v="2"/>
    <x v="1"/>
    <x v="3"/>
    <x v="2"/>
    <x v="300"/>
    <x v="3"/>
    <x v="417"/>
    <x v="418"/>
    <x v="418"/>
    <x v="2"/>
    <x v="0"/>
    <x v="0"/>
    <x v="0"/>
    <x v="0"/>
    <x v="1"/>
    <x v="0"/>
    <x v="1"/>
    <x v="418"/>
    <x v="1"/>
    <x v="0"/>
  </r>
  <r>
    <x v="419"/>
    <x v="239"/>
    <x v="2"/>
    <x v="0"/>
    <x v="13"/>
    <x v="4"/>
    <x v="1"/>
    <x v="0"/>
    <x v="1"/>
    <x v="5"/>
    <x v="414"/>
    <x v="0"/>
    <x v="418"/>
    <x v="419"/>
    <x v="419"/>
    <x v="8"/>
    <x v="10"/>
    <x v="0"/>
    <x v="0"/>
    <x v="0"/>
    <x v="1"/>
    <x v="0"/>
    <x v="0"/>
    <x v="419"/>
    <x v="0"/>
    <x v="1"/>
  </r>
  <r>
    <x v="420"/>
    <x v="3"/>
    <x v="0"/>
    <x v="3"/>
    <x v="17"/>
    <x v="8"/>
    <x v="7"/>
    <x v="2"/>
    <x v="1"/>
    <x v="5"/>
    <x v="415"/>
    <x v="0"/>
    <x v="419"/>
    <x v="420"/>
    <x v="420"/>
    <x v="9"/>
    <x v="2"/>
    <x v="0"/>
    <x v="0"/>
    <x v="1"/>
    <x v="1"/>
    <x v="0"/>
    <x v="3"/>
    <x v="420"/>
    <x v="3"/>
    <x v="1"/>
  </r>
  <r>
    <x v="421"/>
    <x v="178"/>
    <x v="1"/>
    <x v="0"/>
    <x v="0"/>
    <x v="0"/>
    <x v="0"/>
    <x v="0"/>
    <x v="3"/>
    <x v="6"/>
    <x v="416"/>
    <x v="3"/>
    <x v="420"/>
    <x v="421"/>
    <x v="421"/>
    <x v="21"/>
    <x v="2"/>
    <x v="0"/>
    <x v="0"/>
    <x v="0"/>
    <x v="0"/>
    <x v="0"/>
    <x v="0"/>
    <x v="421"/>
    <x v="0"/>
    <x v="1"/>
  </r>
  <r>
    <x v="422"/>
    <x v="240"/>
    <x v="2"/>
    <x v="3"/>
    <x v="17"/>
    <x v="6"/>
    <x v="5"/>
    <x v="3"/>
    <x v="3"/>
    <x v="1"/>
    <x v="417"/>
    <x v="3"/>
    <x v="421"/>
    <x v="422"/>
    <x v="422"/>
    <x v="12"/>
    <x v="2"/>
    <x v="0"/>
    <x v="1"/>
    <x v="1"/>
    <x v="1"/>
    <x v="0"/>
    <x v="3"/>
    <x v="422"/>
    <x v="3"/>
    <x v="1"/>
  </r>
  <r>
    <x v="423"/>
    <x v="241"/>
    <x v="0"/>
    <x v="3"/>
    <x v="9"/>
    <x v="7"/>
    <x v="6"/>
    <x v="2"/>
    <x v="3"/>
    <x v="3"/>
    <x v="418"/>
    <x v="2"/>
    <x v="422"/>
    <x v="423"/>
    <x v="423"/>
    <x v="8"/>
    <x v="5"/>
    <x v="0"/>
    <x v="1"/>
    <x v="1"/>
    <x v="1"/>
    <x v="1"/>
    <x v="3"/>
    <x v="423"/>
    <x v="3"/>
    <x v="1"/>
  </r>
  <r>
    <x v="424"/>
    <x v="242"/>
    <x v="0"/>
    <x v="2"/>
    <x v="4"/>
    <x v="0"/>
    <x v="0"/>
    <x v="0"/>
    <x v="3"/>
    <x v="3"/>
    <x v="419"/>
    <x v="0"/>
    <x v="423"/>
    <x v="424"/>
    <x v="424"/>
    <x v="6"/>
    <x v="4"/>
    <x v="0"/>
    <x v="0"/>
    <x v="0"/>
    <x v="0"/>
    <x v="0"/>
    <x v="2"/>
    <x v="424"/>
    <x v="2"/>
    <x v="1"/>
  </r>
  <r>
    <x v="425"/>
    <x v="13"/>
    <x v="0"/>
    <x v="3"/>
    <x v="17"/>
    <x v="4"/>
    <x v="1"/>
    <x v="0"/>
    <x v="3"/>
    <x v="4"/>
    <x v="420"/>
    <x v="0"/>
    <x v="424"/>
    <x v="425"/>
    <x v="425"/>
    <x v="20"/>
    <x v="3"/>
    <x v="0"/>
    <x v="0"/>
    <x v="0"/>
    <x v="0"/>
    <x v="0"/>
    <x v="3"/>
    <x v="425"/>
    <x v="3"/>
    <x v="1"/>
  </r>
  <r>
    <x v="426"/>
    <x v="148"/>
    <x v="0"/>
    <x v="4"/>
    <x v="8"/>
    <x v="6"/>
    <x v="5"/>
    <x v="3"/>
    <x v="1"/>
    <x v="4"/>
    <x v="421"/>
    <x v="0"/>
    <x v="425"/>
    <x v="426"/>
    <x v="426"/>
    <x v="3"/>
    <x v="3"/>
    <x v="0"/>
    <x v="1"/>
    <x v="1"/>
    <x v="0"/>
    <x v="0"/>
    <x v="4"/>
    <x v="426"/>
    <x v="4"/>
    <x v="1"/>
  </r>
  <r>
    <x v="427"/>
    <x v="243"/>
    <x v="0"/>
    <x v="1"/>
    <x v="1"/>
    <x v="9"/>
    <x v="8"/>
    <x v="2"/>
    <x v="1"/>
    <x v="2"/>
    <x v="422"/>
    <x v="1"/>
    <x v="426"/>
    <x v="427"/>
    <x v="427"/>
    <x v="2"/>
    <x v="2"/>
    <x v="0"/>
    <x v="0"/>
    <x v="0"/>
    <x v="1"/>
    <x v="0"/>
    <x v="1"/>
    <x v="427"/>
    <x v="1"/>
    <x v="1"/>
  </r>
  <r>
    <x v="428"/>
    <x v="244"/>
    <x v="1"/>
    <x v="1"/>
    <x v="5"/>
    <x v="7"/>
    <x v="6"/>
    <x v="2"/>
    <x v="2"/>
    <x v="5"/>
    <x v="423"/>
    <x v="0"/>
    <x v="427"/>
    <x v="428"/>
    <x v="428"/>
    <x v="11"/>
    <x v="11"/>
    <x v="0"/>
    <x v="1"/>
    <x v="1"/>
    <x v="1"/>
    <x v="0"/>
    <x v="1"/>
    <x v="428"/>
    <x v="1"/>
    <x v="1"/>
  </r>
  <r>
    <x v="429"/>
    <x v="163"/>
    <x v="0"/>
    <x v="0"/>
    <x v="18"/>
    <x v="2"/>
    <x v="2"/>
    <x v="1"/>
    <x v="2"/>
    <x v="0"/>
    <x v="424"/>
    <x v="0"/>
    <x v="428"/>
    <x v="429"/>
    <x v="429"/>
    <x v="15"/>
    <x v="5"/>
    <x v="0"/>
    <x v="0"/>
    <x v="0"/>
    <x v="0"/>
    <x v="0"/>
    <x v="0"/>
    <x v="429"/>
    <x v="0"/>
    <x v="1"/>
  </r>
  <r>
    <x v="430"/>
    <x v="141"/>
    <x v="1"/>
    <x v="3"/>
    <x v="17"/>
    <x v="8"/>
    <x v="7"/>
    <x v="2"/>
    <x v="0"/>
    <x v="5"/>
    <x v="425"/>
    <x v="0"/>
    <x v="429"/>
    <x v="430"/>
    <x v="430"/>
    <x v="25"/>
    <x v="1"/>
    <x v="0"/>
    <x v="1"/>
    <x v="1"/>
    <x v="1"/>
    <x v="0"/>
    <x v="3"/>
    <x v="430"/>
    <x v="3"/>
    <x v="1"/>
  </r>
  <r>
    <x v="431"/>
    <x v="240"/>
    <x v="2"/>
    <x v="4"/>
    <x v="8"/>
    <x v="2"/>
    <x v="2"/>
    <x v="1"/>
    <x v="2"/>
    <x v="3"/>
    <x v="426"/>
    <x v="3"/>
    <x v="430"/>
    <x v="431"/>
    <x v="431"/>
    <x v="1"/>
    <x v="2"/>
    <x v="0"/>
    <x v="1"/>
    <x v="1"/>
    <x v="1"/>
    <x v="0"/>
    <x v="4"/>
    <x v="431"/>
    <x v="4"/>
    <x v="1"/>
  </r>
  <r>
    <x v="432"/>
    <x v="96"/>
    <x v="2"/>
    <x v="0"/>
    <x v="13"/>
    <x v="5"/>
    <x v="4"/>
    <x v="2"/>
    <x v="2"/>
    <x v="2"/>
    <x v="427"/>
    <x v="1"/>
    <x v="431"/>
    <x v="432"/>
    <x v="432"/>
    <x v="18"/>
    <x v="11"/>
    <x v="0"/>
    <x v="0"/>
    <x v="0"/>
    <x v="1"/>
    <x v="0"/>
    <x v="0"/>
    <x v="432"/>
    <x v="0"/>
    <x v="1"/>
  </r>
  <r>
    <x v="433"/>
    <x v="245"/>
    <x v="1"/>
    <x v="2"/>
    <x v="12"/>
    <x v="3"/>
    <x v="3"/>
    <x v="0"/>
    <x v="3"/>
    <x v="5"/>
    <x v="428"/>
    <x v="1"/>
    <x v="432"/>
    <x v="433"/>
    <x v="433"/>
    <x v="3"/>
    <x v="4"/>
    <x v="0"/>
    <x v="0"/>
    <x v="0"/>
    <x v="0"/>
    <x v="0"/>
    <x v="2"/>
    <x v="433"/>
    <x v="2"/>
    <x v="1"/>
  </r>
  <r>
    <x v="434"/>
    <x v="39"/>
    <x v="0"/>
    <x v="0"/>
    <x v="18"/>
    <x v="6"/>
    <x v="5"/>
    <x v="3"/>
    <x v="3"/>
    <x v="6"/>
    <x v="429"/>
    <x v="4"/>
    <x v="433"/>
    <x v="434"/>
    <x v="434"/>
    <x v="11"/>
    <x v="8"/>
    <x v="0"/>
    <x v="0"/>
    <x v="0"/>
    <x v="1"/>
    <x v="1"/>
    <x v="0"/>
    <x v="434"/>
    <x v="0"/>
    <x v="1"/>
  </r>
  <r>
    <x v="435"/>
    <x v="65"/>
    <x v="1"/>
    <x v="0"/>
    <x v="0"/>
    <x v="2"/>
    <x v="2"/>
    <x v="1"/>
    <x v="2"/>
    <x v="3"/>
    <x v="430"/>
    <x v="3"/>
    <x v="434"/>
    <x v="435"/>
    <x v="435"/>
    <x v="24"/>
    <x v="0"/>
    <x v="0"/>
    <x v="0"/>
    <x v="1"/>
    <x v="0"/>
    <x v="0"/>
    <x v="0"/>
    <x v="435"/>
    <x v="0"/>
    <x v="1"/>
  </r>
  <r>
    <x v="436"/>
    <x v="118"/>
    <x v="1"/>
    <x v="3"/>
    <x v="17"/>
    <x v="0"/>
    <x v="0"/>
    <x v="0"/>
    <x v="0"/>
    <x v="5"/>
    <x v="431"/>
    <x v="0"/>
    <x v="435"/>
    <x v="436"/>
    <x v="436"/>
    <x v="6"/>
    <x v="3"/>
    <x v="0"/>
    <x v="0"/>
    <x v="0"/>
    <x v="0"/>
    <x v="0"/>
    <x v="3"/>
    <x v="436"/>
    <x v="3"/>
    <x v="1"/>
  </r>
  <r>
    <x v="437"/>
    <x v="228"/>
    <x v="0"/>
    <x v="2"/>
    <x v="2"/>
    <x v="3"/>
    <x v="3"/>
    <x v="0"/>
    <x v="3"/>
    <x v="5"/>
    <x v="432"/>
    <x v="1"/>
    <x v="436"/>
    <x v="437"/>
    <x v="437"/>
    <x v="2"/>
    <x v="10"/>
    <x v="0"/>
    <x v="0"/>
    <x v="0"/>
    <x v="1"/>
    <x v="0"/>
    <x v="2"/>
    <x v="437"/>
    <x v="2"/>
    <x v="1"/>
  </r>
  <r>
    <x v="438"/>
    <x v="144"/>
    <x v="0"/>
    <x v="0"/>
    <x v="18"/>
    <x v="2"/>
    <x v="2"/>
    <x v="1"/>
    <x v="2"/>
    <x v="3"/>
    <x v="433"/>
    <x v="1"/>
    <x v="437"/>
    <x v="438"/>
    <x v="438"/>
    <x v="20"/>
    <x v="7"/>
    <x v="0"/>
    <x v="0"/>
    <x v="0"/>
    <x v="0"/>
    <x v="0"/>
    <x v="0"/>
    <x v="438"/>
    <x v="0"/>
    <x v="1"/>
  </r>
  <r>
    <x v="439"/>
    <x v="246"/>
    <x v="2"/>
    <x v="4"/>
    <x v="8"/>
    <x v="1"/>
    <x v="1"/>
    <x v="0"/>
    <x v="2"/>
    <x v="0"/>
    <x v="434"/>
    <x v="0"/>
    <x v="438"/>
    <x v="439"/>
    <x v="439"/>
    <x v="21"/>
    <x v="3"/>
    <x v="0"/>
    <x v="0"/>
    <x v="0"/>
    <x v="0"/>
    <x v="0"/>
    <x v="4"/>
    <x v="439"/>
    <x v="4"/>
    <x v="1"/>
  </r>
  <r>
    <x v="440"/>
    <x v="247"/>
    <x v="0"/>
    <x v="4"/>
    <x v="11"/>
    <x v="5"/>
    <x v="4"/>
    <x v="2"/>
    <x v="1"/>
    <x v="3"/>
    <x v="435"/>
    <x v="0"/>
    <x v="439"/>
    <x v="440"/>
    <x v="440"/>
    <x v="0"/>
    <x v="6"/>
    <x v="0"/>
    <x v="1"/>
    <x v="1"/>
    <x v="0"/>
    <x v="0"/>
    <x v="4"/>
    <x v="440"/>
    <x v="4"/>
    <x v="0"/>
  </r>
  <r>
    <x v="441"/>
    <x v="11"/>
    <x v="0"/>
    <x v="1"/>
    <x v="15"/>
    <x v="4"/>
    <x v="1"/>
    <x v="0"/>
    <x v="0"/>
    <x v="6"/>
    <x v="436"/>
    <x v="0"/>
    <x v="440"/>
    <x v="441"/>
    <x v="441"/>
    <x v="1"/>
    <x v="2"/>
    <x v="0"/>
    <x v="0"/>
    <x v="0"/>
    <x v="1"/>
    <x v="0"/>
    <x v="1"/>
    <x v="441"/>
    <x v="1"/>
    <x v="1"/>
  </r>
  <r>
    <x v="442"/>
    <x v="248"/>
    <x v="0"/>
    <x v="2"/>
    <x v="4"/>
    <x v="8"/>
    <x v="7"/>
    <x v="2"/>
    <x v="1"/>
    <x v="6"/>
    <x v="437"/>
    <x v="1"/>
    <x v="441"/>
    <x v="442"/>
    <x v="442"/>
    <x v="0"/>
    <x v="11"/>
    <x v="0"/>
    <x v="0"/>
    <x v="0"/>
    <x v="0"/>
    <x v="0"/>
    <x v="2"/>
    <x v="442"/>
    <x v="2"/>
    <x v="1"/>
  </r>
  <r>
    <x v="443"/>
    <x v="177"/>
    <x v="0"/>
    <x v="2"/>
    <x v="12"/>
    <x v="5"/>
    <x v="4"/>
    <x v="2"/>
    <x v="0"/>
    <x v="5"/>
    <x v="438"/>
    <x v="0"/>
    <x v="442"/>
    <x v="443"/>
    <x v="443"/>
    <x v="2"/>
    <x v="5"/>
    <x v="0"/>
    <x v="0"/>
    <x v="0"/>
    <x v="1"/>
    <x v="0"/>
    <x v="2"/>
    <x v="443"/>
    <x v="2"/>
    <x v="1"/>
  </r>
  <r>
    <x v="444"/>
    <x v="249"/>
    <x v="2"/>
    <x v="1"/>
    <x v="15"/>
    <x v="3"/>
    <x v="3"/>
    <x v="0"/>
    <x v="3"/>
    <x v="4"/>
    <x v="439"/>
    <x v="1"/>
    <x v="443"/>
    <x v="444"/>
    <x v="444"/>
    <x v="19"/>
    <x v="8"/>
    <x v="0"/>
    <x v="1"/>
    <x v="1"/>
    <x v="0"/>
    <x v="0"/>
    <x v="1"/>
    <x v="444"/>
    <x v="1"/>
    <x v="1"/>
  </r>
  <r>
    <x v="445"/>
    <x v="80"/>
    <x v="1"/>
    <x v="0"/>
    <x v="18"/>
    <x v="1"/>
    <x v="1"/>
    <x v="0"/>
    <x v="0"/>
    <x v="0"/>
    <x v="440"/>
    <x v="1"/>
    <x v="444"/>
    <x v="445"/>
    <x v="445"/>
    <x v="2"/>
    <x v="11"/>
    <x v="0"/>
    <x v="0"/>
    <x v="0"/>
    <x v="1"/>
    <x v="0"/>
    <x v="0"/>
    <x v="445"/>
    <x v="0"/>
    <x v="1"/>
  </r>
  <r>
    <x v="446"/>
    <x v="250"/>
    <x v="1"/>
    <x v="2"/>
    <x v="12"/>
    <x v="6"/>
    <x v="5"/>
    <x v="3"/>
    <x v="2"/>
    <x v="5"/>
    <x v="441"/>
    <x v="0"/>
    <x v="445"/>
    <x v="446"/>
    <x v="446"/>
    <x v="2"/>
    <x v="2"/>
    <x v="0"/>
    <x v="0"/>
    <x v="0"/>
    <x v="1"/>
    <x v="0"/>
    <x v="2"/>
    <x v="446"/>
    <x v="2"/>
    <x v="1"/>
  </r>
  <r>
    <x v="447"/>
    <x v="128"/>
    <x v="0"/>
    <x v="4"/>
    <x v="11"/>
    <x v="0"/>
    <x v="0"/>
    <x v="0"/>
    <x v="2"/>
    <x v="3"/>
    <x v="442"/>
    <x v="3"/>
    <x v="446"/>
    <x v="447"/>
    <x v="447"/>
    <x v="0"/>
    <x v="5"/>
    <x v="0"/>
    <x v="1"/>
    <x v="1"/>
    <x v="0"/>
    <x v="0"/>
    <x v="4"/>
    <x v="447"/>
    <x v="4"/>
    <x v="1"/>
  </r>
  <r>
    <x v="448"/>
    <x v="251"/>
    <x v="0"/>
    <x v="4"/>
    <x v="8"/>
    <x v="8"/>
    <x v="7"/>
    <x v="2"/>
    <x v="0"/>
    <x v="5"/>
    <x v="443"/>
    <x v="1"/>
    <x v="447"/>
    <x v="448"/>
    <x v="448"/>
    <x v="3"/>
    <x v="3"/>
    <x v="0"/>
    <x v="0"/>
    <x v="1"/>
    <x v="0"/>
    <x v="0"/>
    <x v="4"/>
    <x v="448"/>
    <x v="4"/>
    <x v="0"/>
  </r>
  <r>
    <x v="449"/>
    <x v="8"/>
    <x v="1"/>
    <x v="3"/>
    <x v="7"/>
    <x v="8"/>
    <x v="7"/>
    <x v="2"/>
    <x v="0"/>
    <x v="2"/>
    <x v="444"/>
    <x v="0"/>
    <x v="448"/>
    <x v="449"/>
    <x v="449"/>
    <x v="7"/>
    <x v="0"/>
    <x v="0"/>
    <x v="0"/>
    <x v="0"/>
    <x v="1"/>
    <x v="0"/>
    <x v="3"/>
    <x v="449"/>
    <x v="3"/>
    <x v="1"/>
  </r>
  <r>
    <x v="450"/>
    <x v="217"/>
    <x v="0"/>
    <x v="2"/>
    <x v="4"/>
    <x v="5"/>
    <x v="4"/>
    <x v="2"/>
    <x v="0"/>
    <x v="2"/>
    <x v="445"/>
    <x v="0"/>
    <x v="449"/>
    <x v="450"/>
    <x v="450"/>
    <x v="17"/>
    <x v="4"/>
    <x v="0"/>
    <x v="0"/>
    <x v="0"/>
    <x v="1"/>
    <x v="0"/>
    <x v="2"/>
    <x v="450"/>
    <x v="2"/>
    <x v="1"/>
  </r>
  <r>
    <x v="451"/>
    <x v="55"/>
    <x v="0"/>
    <x v="0"/>
    <x v="18"/>
    <x v="3"/>
    <x v="3"/>
    <x v="0"/>
    <x v="1"/>
    <x v="4"/>
    <x v="446"/>
    <x v="2"/>
    <x v="450"/>
    <x v="451"/>
    <x v="451"/>
    <x v="2"/>
    <x v="1"/>
    <x v="0"/>
    <x v="0"/>
    <x v="0"/>
    <x v="1"/>
    <x v="1"/>
    <x v="0"/>
    <x v="451"/>
    <x v="0"/>
    <x v="1"/>
  </r>
  <r>
    <x v="452"/>
    <x v="23"/>
    <x v="1"/>
    <x v="1"/>
    <x v="1"/>
    <x v="6"/>
    <x v="5"/>
    <x v="3"/>
    <x v="0"/>
    <x v="0"/>
    <x v="447"/>
    <x v="3"/>
    <x v="451"/>
    <x v="452"/>
    <x v="452"/>
    <x v="19"/>
    <x v="10"/>
    <x v="0"/>
    <x v="0"/>
    <x v="0"/>
    <x v="0"/>
    <x v="0"/>
    <x v="1"/>
    <x v="452"/>
    <x v="1"/>
    <x v="1"/>
  </r>
  <r>
    <x v="453"/>
    <x v="128"/>
    <x v="0"/>
    <x v="1"/>
    <x v="1"/>
    <x v="9"/>
    <x v="8"/>
    <x v="2"/>
    <x v="3"/>
    <x v="1"/>
    <x v="448"/>
    <x v="1"/>
    <x v="452"/>
    <x v="453"/>
    <x v="453"/>
    <x v="20"/>
    <x v="5"/>
    <x v="0"/>
    <x v="0"/>
    <x v="1"/>
    <x v="0"/>
    <x v="0"/>
    <x v="1"/>
    <x v="453"/>
    <x v="1"/>
    <x v="1"/>
  </r>
  <r>
    <x v="454"/>
    <x v="252"/>
    <x v="1"/>
    <x v="0"/>
    <x v="6"/>
    <x v="1"/>
    <x v="1"/>
    <x v="0"/>
    <x v="1"/>
    <x v="2"/>
    <x v="449"/>
    <x v="3"/>
    <x v="453"/>
    <x v="454"/>
    <x v="454"/>
    <x v="0"/>
    <x v="4"/>
    <x v="0"/>
    <x v="0"/>
    <x v="0"/>
    <x v="0"/>
    <x v="0"/>
    <x v="0"/>
    <x v="454"/>
    <x v="0"/>
    <x v="1"/>
  </r>
  <r>
    <x v="455"/>
    <x v="121"/>
    <x v="0"/>
    <x v="3"/>
    <x v="7"/>
    <x v="9"/>
    <x v="8"/>
    <x v="2"/>
    <x v="1"/>
    <x v="1"/>
    <x v="450"/>
    <x v="4"/>
    <x v="454"/>
    <x v="455"/>
    <x v="455"/>
    <x v="9"/>
    <x v="9"/>
    <x v="0"/>
    <x v="1"/>
    <x v="1"/>
    <x v="1"/>
    <x v="1"/>
    <x v="3"/>
    <x v="455"/>
    <x v="3"/>
    <x v="1"/>
  </r>
  <r>
    <x v="456"/>
    <x v="61"/>
    <x v="0"/>
    <x v="1"/>
    <x v="5"/>
    <x v="0"/>
    <x v="0"/>
    <x v="0"/>
    <x v="0"/>
    <x v="6"/>
    <x v="451"/>
    <x v="0"/>
    <x v="455"/>
    <x v="456"/>
    <x v="456"/>
    <x v="2"/>
    <x v="1"/>
    <x v="0"/>
    <x v="0"/>
    <x v="0"/>
    <x v="1"/>
    <x v="0"/>
    <x v="1"/>
    <x v="456"/>
    <x v="1"/>
    <x v="1"/>
  </r>
  <r>
    <x v="457"/>
    <x v="253"/>
    <x v="0"/>
    <x v="2"/>
    <x v="4"/>
    <x v="6"/>
    <x v="5"/>
    <x v="3"/>
    <x v="3"/>
    <x v="2"/>
    <x v="452"/>
    <x v="0"/>
    <x v="456"/>
    <x v="457"/>
    <x v="457"/>
    <x v="16"/>
    <x v="6"/>
    <x v="0"/>
    <x v="0"/>
    <x v="0"/>
    <x v="0"/>
    <x v="0"/>
    <x v="2"/>
    <x v="457"/>
    <x v="2"/>
    <x v="1"/>
  </r>
  <r>
    <x v="458"/>
    <x v="254"/>
    <x v="2"/>
    <x v="3"/>
    <x v="17"/>
    <x v="6"/>
    <x v="5"/>
    <x v="3"/>
    <x v="1"/>
    <x v="2"/>
    <x v="453"/>
    <x v="1"/>
    <x v="457"/>
    <x v="458"/>
    <x v="458"/>
    <x v="3"/>
    <x v="11"/>
    <x v="0"/>
    <x v="0"/>
    <x v="0"/>
    <x v="0"/>
    <x v="0"/>
    <x v="3"/>
    <x v="458"/>
    <x v="3"/>
    <x v="1"/>
  </r>
  <r>
    <x v="459"/>
    <x v="255"/>
    <x v="2"/>
    <x v="2"/>
    <x v="14"/>
    <x v="1"/>
    <x v="1"/>
    <x v="0"/>
    <x v="2"/>
    <x v="0"/>
    <x v="454"/>
    <x v="0"/>
    <x v="458"/>
    <x v="459"/>
    <x v="459"/>
    <x v="9"/>
    <x v="2"/>
    <x v="0"/>
    <x v="0"/>
    <x v="0"/>
    <x v="1"/>
    <x v="0"/>
    <x v="2"/>
    <x v="459"/>
    <x v="2"/>
    <x v="1"/>
  </r>
  <r>
    <x v="460"/>
    <x v="10"/>
    <x v="2"/>
    <x v="4"/>
    <x v="19"/>
    <x v="7"/>
    <x v="6"/>
    <x v="2"/>
    <x v="1"/>
    <x v="4"/>
    <x v="455"/>
    <x v="1"/>
    <x v="459"/>
    <x v="460"/>
    <x v="460"/>
    <x v="3"/>
    <x v="1"/>
    <x v="0"/>
    <x v="1"/>
    <x v="1"/>
    <x v="0"/>
    <x v="0"/>
    <x v="4"/>
    <x v="460"/>
    <x v="4"/>
    <x v="1"/>
  </r>
  <r>
    <x v="461"/>
    <x v="256"/>
    <x v="1"/>
    <x v="3"/>
    <x v="9"/>
    <x v="9"/>
    <x v="8"/>
    <x v="2"/>
    <x v="0"/>
    <x v="1"/>
    <x v="456"/>
    <x v="0"/>
    <x v="460"/>
    <x v="461"/>
    <x v="461"/>
    <x v="7"/>
    <x v="5"/>
    <x v="0"/>
    <x v="0"/>
    <x v="0"/>
    <x v="1"/>
    <x v="0"/>
    <x v="3"/>
    <x v="461"/>
    <x v="3"/>
    <x v="1"/>
  </r>
  <r>
    <x v="462"/>
    <x v="257"/>
    <x v="0"/>
    <x v="1"/>
    <x v="5"/>
    <x v="2"/>
    <x v="2"/>
    <x v="1"/>
    <x v="3"/>
    <x v="3"/>
    <x v="457"/>
    <x v="2"/>
    <x v="461"/>
    <x v="462"/>
    <x v="462"/>
    <x v="25"/>
    <x v="3"/>
    <x v="0"/>
    <x v="0"/>
    <x v="0"/>
    <x v="1"/>
    <x v="1"/>
    <x v="1"/>
    <x v="462"/>
    <x v="1"/>
    <x v="1"/>
  </r>
  <r>
    <x v="463"/>
    <x v="111"/>
    <x v="1"/>
    <x v="3"/>
    <x v="7"/>
    <x v="8"/>
    <x v="7"/>
    <x v="2"/>
    <x v="0"/>
    <x v="2"/>
    <x v="458"/>
    <x v="4"/>
    <x v="462"/>
    <x v="463"/>
    <x v="463"/>
    <x v="22"/>
    <x v="11"/>
    <x v="0"/>
    <x v="0"/>
    <x v="0"/>
    <x v="1"/>
    <x v="1"/>
    <x v="3"/>
    <x v="463"/>
    <x v="3"/>
    <x v="1"/>
  </r>
  <r>
    <x v="464"/>
    <x v="230"/>
    <x v="1"/>
    <x v="3"/>
    <x v="17"/>
    <x v="7"/>
    <x v="6"/>
    <x v="2"/>
    <x v="2"/>
    <x v="2"/>
    <x v="459"/>
    <x v="0"/>
    <x v="463"/>
    <x v="464"/>
    <x v="464"/>
    <x v="8"/>
    <x v="7"/>
    <x v="0"/>
    <x v="0"/>
    <x v="0"/>
    <x v="1"/>
    <x v="0"/>
    <x v="3"/>
    <x v="464"/>
    <x v="3"/>
    <x v="1"/>
  </r>
  <r>
    <x v="465"/>
    <x v="191"/>
    <x v="2"/>
    <x v="3"/>
    <x v="7"/>
    <x v="2"/>
    <x v="2"/>
    <x v="1"/>
    <x v="2"/>
    <x v="0"/>
    <x v="460"/>
    <x v="0"/>
    <x v="464"/>
    <x v="465"/>
    <x v="465"/>
    <x v="13"/>
    <x v="0"/>
    <x v="0"/>
    <x v="0"/>
    <x v="0"/>
    <x v="1"/>
    <x v="0"/>
    <x v="3"/>
    <x v="465"/>
    <x v="3"/>
    <x v="1"/>
  </r>
  <r>
    <x v="466"/>
    <x v="258"/>
    <x v="0"/>
    <x v="3"/>
    <x v="17"/>
    <x v="3"/>
    <x v="3"/>
    <x v="0"/>
    <x v="2"/>
    <x v="0"/>
    <x v="461"/>
    <x v="2"/>
    <x v="465"/>
    <x v="466"/>
    <x v="466"/>
    <x v="9"/>
    <x v="3"/>
    <x v="0"/>
    <x v="1"/>
    <x v="1"/>
    <x v="1"/>
    <x v="1"/>
    <x v="3"/>
    <x v="466"/>
    <x v="3"/>
    <x v="1"/>
  </r>
  <r>
    <x v="467"/>
    <x v="259"/>
    <x v="1"/>
    <x v="2"/>
    <x v="14"/>
    <x v="1"/>
    <x v="1"/>
    <x v="0"/>
    <x v="0"/>
    <x v="4"/>
    <x v="462"/>
    <x v="0"/>
    <x v="466"/>
    <x v="467"/>
    <x v="467"/>
    <x v="17"/>
    <x v="2"/>
    <x v="0"/>
    <x v="0"/>
    <x v="0"/>
    <x v="1"/>
    <x v="0"/>
    <x v="2"/>
    <x v="467"/>
    <x v="2"/>
    <x v="1"/>
  </r>
  <r>
    <x v="468"/>
    <x v="180"/>
    <x v="0"/>
    <x v="4"/>
    <x v="8"/>
    <x v="3"/>
    <x v="3"/>
    <x v="0"/>
    <x v="1"/>
    <x v="1"/>
    <x v="463"/>
    <x v="1"/>
    <x v="467"/>
    <x v="468"/>
    <x v="468"/>
    <x v="0"/>
    <x v="4"/>
    <x v="0"/>
    <x v="1"/>
    <x v="1"/>
    <x v="0"/>
    <x v="0"/>
    <x v="4"/>
    <x v="468"/>
    <x v="4"/>
    <x v="1"/>
  </r>
  <r>
    <x v="469"/>
    <x v="260"/>
    <x v="0"/>
    <x v="0"/>
    <x v="6"/>
    <x v="8"/>
    <x v="7"/>
    <x v="2"/>
    <x v="0"/>
    <x v="6"/>
    <x v="464"/>
    <x v="0"/>
    <x v="468"/>
    <x v="469"/>
    <x v="469"/>
    <x v="11"/>
    <x v="10"/>
    <x v="0"/>
    <x v="0"/>
    <x v="0"/>
    <x v="1"/>
    <x v="0"/>
    <x v="0"/>
    <x v="469"/>
    <x v="0"/>
    <x v="1"/>
  </r>
  <r>
    <x v="470"/>
    <x v="261"/>
    <x v="1"/>
    <x v="3"/>
    <x v="7"/>
    <x v="4"/>
    <x v="1"/>
    <x v="0"/>
    <x v="3"/>
    <x v="3"/>
    <x v="465"/>
    <x v="1"/>
    <x v="469"/>
    <x v="470"/>
    <x v="470"/>
    <x v="5"/>
    <x v="8"/>
    <x v="0"/>
    <x v="0"/>
    <x v="0"/>
    <x v="1"/>
    <x v="0"/>
    <x v="3"/>
    <x v="470"/>
    <x v="3"/>
    <x v="1"/>
  </r>
  <r>
    <x v="471"/>
    <x v="262"/>
    <x v="1"/>
    <x v="1"/>
    <x v="1"/>
    <x v="2"/>
    <x v="2"/>
    <x v="1"/>
    <x v="1"/>
    <x v="4"/>
    <x v="466"/>
    <x v="0"/>
    <x v="470"/>
    <x v="471"/>
    <x v="471"/>
    <x v="1"/>
    <x v="6"/>
    <x v="0"/>
    <x v="0"/>
    <x v="1"/>
    <x v="1"/>
    <x v="0"/>
    <x v="1"/>
    <x v="471"/>
    <x v="1"/>
    <x v="1"/>
  </r>
  <r>
    <x v="472"/>
    <x v="74"/>
    <x v="0"/>
    <x v="3"/>
    <x v="7"/>
    <x v="7"/>
    <x v="6"/>
    <x v="2"/>
    <x v="2"/>
    <x v="6"/>
    <x v="467"/>
    <x v="0"/>
    <x v="471"/>
    <x v="472"/>
    <x v="472"/>
    <x v="13"/>
    <x v="4"/>
    <x v="0"/>
    <x v="0"/>
    <x v="0"/>
    <x v="1"/>
    <x v="0"/>
    <x v="3"/>
    <x v="472"/>
    <x v="3"/>
    <x v="1"/>
  </r>
  <r>
    <x v="473"/>
    <x v="47"/>
    <x v="0"/>
    <x v="1"/>
    <x v="1"/>
    <x v="2"/>
    <x v="2"/>
    <x v="1"/>
    <x v="0"/>
    <x v="5"/>
    <x v="468"/>
    <x v="0"/>
    <x v="472"/>
    <x v="473"/>
    <x v="473"/>
    <x v="20"/>
    <x v="2"/>
    <x v="0"/>
    <x v="0"/>
    <x v="1"/>
    <x v="0"/>
    <x v="0"/>
    <x v="1"/>
    <x v="473"/>
    <x v="1"/>
    <x v="1"/>
  </r>
  <r>
    <x v="474"/>
    <x v="202"/>
    <x v="1"/>
    <x v="2"/>
    <x v="2"/>
    <x v="2"/>
    <x v="2"/>
    <x v="1"/>
    <x v="2"/>
    <x v="2"/>
    <x v="469"/>
    <x v="3"/>
    <x v="473"/>
    <x v="474"/>
    <x v="474"/>
    <x v="1"/>
    <x v="11"/>
    <x v="0"/>
    <x v="0"/>
    <x v="0"/>
    <x v="1"/>
    <x v="0"/>
    <x v="2"/>
    <x v="474"/>
    <x v="2"/>
    <x v="1"/>
  </r>
  <r>
    <x v="475"/>
    <x v="263"/>
    <x v="1"/>
    <x v="1"/>
    <x v="10"/>
    <x v="1"/>
    <x v="1"/>
    <x v="0"/>
    <x v="2"/>
    <x v="1"/>
    <x v="470"/>
    <x v="1"/>
    <x v="474"/>
    <x v="475"/>
    <x v="475"/>
    <x v="0"/>
    <x v="11"/>
    <x v="0"/>
    <x v="0"/>
    <x v="0"/>
    <x v="0"/>
    <x v="0"/>
    <x v="1"/>
    <x v="475"/>
    <x v="1"/>
    <x v="1"/>
  </r>
  <r>
    <x v="476"/>
    <x v="163"/>
    <x v="2"/>
    <x v="0"/>
    <x v="6"/>
    <x v="3"/>
    <x v="3"/>
    <x v="0"/>
    <x v="3"/>
    <x v="4"/>
    <x v="471"/>
    <x v="0"/>
    <x v="475"/>
    <x v="476"/>
    <x v="476"/>
    <x v="21"/>
    <x v="5"/>
    <x v="0"/>
    <x v="0"/>
    <x v="0"/>
    <x v="0"/>
    <x v="0"/>
    <x v="0"/>
    <x v="476"/>
    <x v="0"/>
    <x v="1"/>
  </r>
  <r>
    <x v="477"/>
    <x v="12"/>
    <x v="2"/>
    <x v="4"/>
    <x v="11"/>
    <x v="9"/>
    <x v="8"/>
    <x v="2"/>
    <x v="1"/>
    <x v="2"/>
    <x v="472"/>
    <x v="2"/>
    <x v="476"/>
    <x v="477"/>
    <x v="477"/>
    <x v="11"/>
    <x v="0"/>
    <x v="0"/>
    <x v="0"/>
    <x v="0"/>
    <x v="1"/>
    <x v="1"/>
    <x v="4"/>
    <x v="477"/>
    <x v="4"/>
    <x v="0"/>
  </r>
  <r>
    <x v="478"/>
    <x v="220"/>
    <x v="1"/>
    <x v="1"/>
    <x v="10"/>
    <x v="4"/>
    <x v="1"/>
    <x v="0"/>
    <x v="3"/>
    <x v="1"/>
    <x v="473"/>
    <x v="0"/>
    <x v="477"/>
    <x v="478"/>
    <x v="478"/>
    <x v="17"/>
    <x v="9"/>
    <x v="0"/>
    <x v="0"/>
    <x v="1"/>
    <x v="1"/>
    <x v="0"/>
    <x v="1"/>
    <x v="478"/>
    <x v="1"/>
    <x v="1"/>
  </r>
  <r>
    <x v="479"/>
    <x v="264"/>
    <x v="0"/>
    <x v="1"/>
    <x v="5"/>
    <x v="1"/>
    <x v="1"/>
    <x v="0"/>
    <x v="3"/>
    <x v="1"/>
    <x v="474"/>
    <x v="3"/>
    <x v="478"/>
    <x v="479"/>
    <x v="479"/>
    <x v="1"/>
    <x v="10"/>
    <x v="0"/>
    <x v="0"/>
    <x v="0"/>
    <x v="1"/>
    <x v="0"/>
    <x v="1"/>
    <x v="479"/>
    <x v="1"/>
    <x v="1"/>
  </r>
  <r>
    <x v="480"/>
    <x v="199"/>
    <x v="1"/>
    <x v="4"/>
    <x v="16"/>
    <x v="0"/>
    <x v="0"/>
    <x v="0"/>
    <x v="3"/>
    <x v="1"/>
    <x v="475"/>
    <x v="2"/>
    <x v="479"/>
    <x v="480"/>
    <x v="480"/>
    <x v="12"/>
    <x v="2"/>
    <x v="0"/>
    <x v="1"/>
    <x v="1"/>
    <x v="1"/>
    <x v="1"/>
    <x v="4"/>
    <x v="480"/>
    <x v="4"/>
    <x v="1"/>
  </r>
  <r>
    <x v="481"/>
    <x v="66"/>
    <x v="0"/>
    <x v="0"/>
    <x v="6"/>
    <x v="1"/>
    <x v="1"/>
    <x v="0"/>
    <x v="2"/>
    <x v="2"/>
    <x v="476"/>
    <x v="2"/>
    <x v="480"/>
    <x v="481"/>
    <x v="481"/>
    <x v="20"/>
    <x v="9"/>
    <x v="0"/>
    <x v="0"/>
    <x v="0"/>
    <x v="0"/>
    <x v="1"/>
    <x v="0"/>
    <x v="481"/>
    <x v="0"/>
    <x v="1"/>
  </r>
  <r>
    <x v="482"/>
    <x v="201"/>
    <x v="0"/>
    <x v="3"/>
    <x v="7"/>
    <x v="8"/>
    <x v="7"/>
    <x v="2"/>
    <x v="3"/>
    <x v="4"/>
    <x v="477"/>
    <x v="1"/>
    <x v="481"/>
    <x v="482"/>
    <x v="482"/>
    <x v="21"/>
    <x v="11"/>
    <x v="0"/>
    <x v="1"/>
    <x v="1"/>
    <x v="0"/>
    <x v="0"/>
    <x v="3"/>
    <x v="482"/>
    <x v="3"/>
    <x v="1"/>
  </r>
  <r>
    <x v="483"/>
    <x v="124"/>
    <x v="2"/>
    <x v="1"/>
    <x v="5"/>
    <x v="4"/>
    <x v="1"/>
    <x v="0"/>
    <x v="3"/>
    <x v="3"/>
    <x v="478"/>
    <x v="1"/>
    <x v="482"/>
    <x v="483"/>
    <x v="483"/>
    <x v="12"/>
    <x v="8"/>
    <x v="0"/>
    <x v="1"/>
    <x v="1"/>
    <x v="1"/>
    <x v="0"/>
    <x v="1"/>
    <x v="483"/>
    <x v="1"/>
    <x v="1"/>
  </r>
  <r>
    <x v="484"/>
    <x v="261"/>
    <x v="0"/>
    <x v="4"/>
    <x v="16"/>
    <x v="6"/>
    <x v="5"/>
    <x v="3"/>
    <x v="1"/>
    <x v="0"/>
    <x v="479"/>
    <x v="0"/>
    <x v="483"/>
    <x v="484"/>
    <x v="484"/>
    <x v="17"/>
    <x v="8"/>
    <x v="0"/>
    <x v="1"/>
    <x v="1"/>
    <x v="1"/>
    <x v="0"/>
    <x v="4"/>
    <x v="484"/>
    <x v="4"/>
    <x v="1"/>
  </r>
  <r>
    <x v="485"/>
    <x v="13"/>
    <x v="2"/>
    <x v="2"/>
    <x v="14"/>
    <x v="0"/>
    <x v="0"/>
    <x v="0"/>
    <x v="1"/>
    <x v="2"/>
    <x v="480"/>
    <x v="2"/>
    <x v="484"/>
    <x v="485"/>
    <x v="485"/>
    <x v="5"/>
    <x v="3"/>
    <x v="0"/>
    <x v="0"/>
    <x v="0"/>
    <x v="1"/>
    <x v="1"/>
    <x v="2"/>
    <x v="485"/>
    <x v="2"/>
    <x v="1"/>
  </r>
  <r>
    <x v="486"/>
    <x v="117"/>
    <x v="1"/>
    <x v="4"/>
    <x v="11"/>
    <x v="5"/>
    <x v="4"/>
    <x v="2"/>
    <x v="3"/>
    <x v="1"/>
    <x v="481"/>
    <x v="4"/>
    <x v="485"/>
    <x v="486"/>
    <x v="486"/>
    <x v="7"/>
    <x v="0"/>
    <x v="0"/>
    <x v="1"/>
    <x v="1"/>
    <x v="1"/>
    <x v="1"/>
    <x v="4"/>
    <x v="486"/>
    <x v="4"/>
    <x v="1"/>
  </r>
  <r>
    <x v="487"/>
    <x v="265"/>
    <x v="1"/>
    <x v="2"/>
    <x v="2"/>
    <x v="1"/>
    <x v="1"/>
    <x v="0"/>
    <x v="1"/>
    <x v="4"/>
    <x v="482"/>
    <x v="2"/>
    <x v="486"/>
    <x v="487"/>
    <x v="487"/>
    <x v="1"/>
    <x v="4"/>
    <x v="0"/>
    <x v="0"/>
    <x v="0"/>
    <x v="1"/>
    <x v="1"/>
    <x v="2"/>
    <x v="487"/>
    <x v="2"/>
    <x v="1"/>
  </r>
  <r>
    <x v="488"/>
    <x v="49"/>
    <x v="1"/>
    <x v="0"/>
    <x v="13"/>
    <x v="2"/>
    <x v="2"/>
    <x v="1"/>
    <x v="1"/>
    <x v="3"/>
    <x v="483"/>
    <x v="0"/>
    <x v="487"/>
    <x v="488"/>
    <x v="488"/>
    <x v="13"/>
    <x v="2"/>
    <x v="0"/>
    <x v="0"/>
    <x v="0"/>
    <x v="1"/>
    <x v="0"/>
    <x v="0"/>
    <x v="488"/>
    <x v="0"/>
    <x v="1"/>
  </r>
  <r>
    <x v="489"/>
    <x v="266"/>
    <x v="2"/>
    <x v="3"/>
    <x v="9"/>
    <x v="9"/>
    <x v="8"/>
    <x v="2"/>
    <x v="3"/>
    <x v="5"/>
    <x v="484"/>
    <x v="0"/>
    <x v="488"/>
    <x v="489"/>
    <x v="489"/>
    <x v="17"/>
    <x v="10"/>
    <x v="0"/>
    <x v="0"/>
    <x v="0"/>
    <x v="1"/>
    <x v="0"/>
    <x v="3"/>
    <x v="489"/>
    <x v="3"/>
    <x v="1"/>
  </r>
  <r>
    <x v="490"/>
    <x v="15"/>
    <x v="1"/>
    <x v="4"/>
    <x v="8"/>
    <x v="6"/>
    <x v="5"/>
    <x v="3"/>
    <x v="2"/>
    <x v="6"/>
    <x v="485"/>
    <x v="1"/>
    <x v="489"/>
    <x v="490"/>
    <x v="490"/>
    <x v="15"/>
    <x v="4"/>
    <x v="0"/>
    <x v="0"/>
    <x v="0"/>
    <x v="0"/>
    <x v="0"/>
    <x v="4"/>
    <x v="490"/>
    <x v="4"/>
    <x v="0"/>
  </r>
  <r>
    <x v="491"/>
    <x v="140"/>
    <x v="1"/>
    <x v="1"/>
    <x v="15"/>
    <x v="1"/>
    <x v="1"/>
    <x v="0"/>
    <x v="3"/>
    <x v="1"/>
    <x v="486"/>
    <x v="1"/>
    <x v="490"/>
    <x v="491"/>
    <x v="491"/>
    <x v="3"/>
    <x v="8"/>
    <x v="0"/>
    <x v="0"/>
    <x v="1"/>
    <x v="0"/>
    <x v="0"/>
    <x v="1"/>
    <x v="491"/>
    <x v="1"/>
    <x v="1"/>
  </r>
  <r>
    <x v="492"/>
    <x v="267"/>
    <x v="0"/>
    <x v="0"/>
    <x v="13"/>
    <x v="1"/>
    <x v="1"/>
    <x v="0"/>
    <x v="1"/>
    <x v="5"/>
    <x v="487"/>
    <x v="0"/>
    <x v="491"/>
    <x v="492"/>
    <x v="492"/>
    <x v="5"/>
    <x v="3"/>
    <x v="0"/>
    <x v="0"/>
    <x v="0"/>
    <x v="1"/>
    <x v="0"/>
    <x v="0"/>
    <x v="492"/>
    <x v="0"/>
    <x v="1"/>
  </r>
  <r>
    <x v="493"/>
    <x v="4"/>
    <x v="1"/>
    <x v="4"/>
    <x v="8"/>
    <x v="7"/>
    <x v="6"/>
    <x v="2"/>
    <x v="2"/>
    <x v="0"/>
    <x v="488"/>
    <x v="0"/>
    <x v="492"/>
    <x v="493"/>
    <x v="493"/>
    <x v="2"/>
    <x v="3"/>
    <x v="0"/>
    <x v="1"/>
    <x v="1"/>
    <x v="1"/>
    <x v="0"/>
    <x v="4"/>
    <x v="493"/>
    <x v="4"/>
    <x v="1"/>
  </r>
  <r>
    <x v="494"/>
    <x v="268"/>
    <x v="0"/>
    <x v="1"/>
    <x v="15"/>
    <x v="7"/>
    <x v="6"/>
    <x v="2"/>
    <x v="0"/>
    <x v="3"/>
    <x v="489"/>
    <x v="0"/>
    <x v="493"/>
    <x v="494"/>
    <x v="494"/>
    <x v="19"/>
    <x v="2"/>
    <x v="0"/>
    <x v="0"/>
    <x v="0"/>
    <x v="0"/>
    <x v="0"/>
    <x v="1"/>
    <x v="494"/>
    <x v="1"/>
    <x v="1"/>
  </r>
  <r>
    <x v="495"/>
    <x v="189"/>
    <x v="1"/>
    <x v="4"/>
    <x v="8"/>
    <x v="6"/>
    <x v="5"/>
    <x v="3"/>
    <x v="2"/>
    <x v="3"/>
    <x v="490"/>
    <x v="0"/>
    <x v="494"/>
    <x v="495"/>
    <x v="495"/>
    <x v="22"/>
    <x v="0"/>
    <x v="0"/>
    <x v="1"/>
    <x v="1"/>
    <x v="1"/>
    <x v="0"/>
    <x v="4"/>
    <x v="495"/>
    <x v="4"/>
    <x v="0"/>
  </r>
  <r>
    <x v="496"/>
    <x v="100"/>
    <x v="1"/>
    <x v="2"/>
    <x v="2"/>
    <x v="3"/>
    <x v="3"/>
    <x v="0"/>
    <x v="1"/>
    <x v="1"/>
    <x v="491"/>
    <x v="3"/>
    <x v="495"/>
    <x v="496"/>
    <x v="496"/>
    <x v="21"/>
    <x v="3"/>
    <x v="0"/>
    <x v="0"/>
    <x v="0"/>
    <x v="0"/>
    <x v="0"/>
    <x v="2"/>
    <x v="496"/>
    <x v="2"/>
    <x v="1"/>
  </r>
  <r>
    <x v="497"/>
    <x v="269"/>
    <x v="1"/>
    <x v="4"/>
    <x v="8"/>
    <x v="7"/>
    <x v="6"/>
    <x v="2"/>
    <x v="2"/>
    <x v="3"/>
    <x v="492"/>
    <x v="0"/>
    <x v="496"/>
    <x v="497"/>
    <x v="497"/>
    <x v="18"/>
    <x v="5"/>
    <x v="0"/>
    <x v="1"/>
    <x v="1"/>
    <x v="1"/>
    <x v="0"/>
    <x v="4"/>
    <x v="497"/>
    <x v="4"/>
    <x v="1"/>
  </r>
  <r>
    <x v="498"/>
    <x v="196"/>
    <x v="0"/>
    <x v="4"/>
    <x v="19"/>
    <x v="2"/>
    <x v="2"/>
    <x v="1"/>
    <x v="3"/>
    <x v="5"/>
    <x v="493"/>
    <x v="1"/>
    <x v="497"/>
    <x v="498"/>
    <x v="498"/>
    <x v="21"/>
    <x v="10"/>
    <x v="0"/>
    <x v="1"/>
    <x v="1"/>
    <x v="0"/>
    <x v="0"/>
    <x v="4"/>
    <x v="498"/>
    <x v="4"/>
    <x v="1"/>
  </r>
  <r>
    <x v="499"/>
    <x v="24"/>
    <x v="0"/>
    <x v="4"/>
    <x v="16"/>
    <x v="0"/>
    <x v="0"/>
    <x v="0"/>
    <x v="0"/>
    <x v="1"/>
    <x v="494"/>
    <x v="3"/>
    <x v="498"/>
    <x v="499"/>
    <x v="499"/>
    <x v="18"/>
    <x v="2"/>
    <x v="0"/>
    <x v="1"/>
    <x v="1"/>
    <x v="1"/>
    <x v="0"/>
    <x v="4"/>
    <x v="499"/>
    <x v="4"/>
    <x v="1"/>
  </r>
  <r>
    <x v="500"/>
    <x v="270"/>
    <x v="1"/>
    <x v="0"/>
    <x v="6"/>
    <x v="5"/>
    <x v="4"/>
    <x v="2"/>
    <x v="0"/>
    <x v="2"/>
    <x v="495"/>
    <x v="2"/>
    <x v="499"/>
    <x v="500"/>
    <x v="500"/>
    <x v="19"/>
    <x v="6"/>
    <x v="0"/>
    <x v="0"/>
    <x v="0"/>
    <x v="0"/>
    <x v="1"/>
    <x v="0"/>
    <x v="500"/>
    <x v="0"/>
    <x v="1"/>
  </r>
  <r>
    <x v="501"/>
    <x v="195"/>
    <x v="0"/>
    <x v="4"/>
    <x v="19"/>
    <x v="4"/>
    <x v="1"/>
    <x v="0"/>
    <x v="0"/>
    <x v="4"/>
    <x v="496"/>
    <x v="0"/>
    <x v="500"/>
    <x v="501"/>
    <x v="501"/>
    <x v="4"/>
    <x v="5"/>
    <x v="0"/>
    <x v="1"/>
    <x v="1"/>
    <x v="0"/>
    <x v="0"/>
    <x v="4"/>
    <x v="501"/>
    <x v="4"/>
    <x v="1"/>
  </r>
  <r>
    <x v="502"/>
    <x v="100"/>
    <x v="0"/>
    <x v="1"/>
    <x v="5"/>
    <x v="5"/>
    <x v="4"/>
    <x v="2"/>
    <x v="1"/>
    <x v="5"/>
    <x v="497"/>
    <x v="4"/>
    <x v="501"/>
    <x v="502"/>
    <x v="502"/>
    <x v="0"/>
    <x v="3"/>
    <x v="0"/>
    <x v="0"/>
    <x v="0"/>
    <x v="0"/>
    <x v="1"/>
    <x v="1"/>
    <x v="502"/>
    <x v="1"/>
    <x v="1"/>
  </r>
  <r>
    <x v="503"/>
    <x v="156"/>
    <x v="0"/>
    <x v="2"/>
    <x v="14"/>
    <x v="5"/>
    <x v="4"/>
    <x v="2"/>
    <x v="1"/>
    <x v="4"/>
    <x v="498"/>
    <x v="3"/>
    <x v="502"/>
    <x v="503"/>
    <x v="503"/>
    <x v="4"/>
    <x v="2"/>
    <x v="0"/>
    <x v="0"/>
    <x v="0"/>
    <x v="0"/>
    <x v="0"/>
    <x v="2"/>
    <x v="503"/>
    <x v="2"/>
    <x v="1"/>
  </r>
  <r>
    <x v="504"/>
    <x v="271"/>
    <x v="2"/>
    <x v="2"/>
    <x v="12"/>
    <x v="4"/>
    <x v="1"/>
    <x v="0"/>
    <x v="0"/>
    <x v="2"/>
    <x v="499"/>
    <x v="0"/>
    <x v="503"/>
    <x v="504"/>
    <x v="504"/>
    <x v="21"/>
    <x v="8"/>
    <x v="0"/>
    <x v="0"/>
    <x v="0"/>
    <x v="0"/>
    <x v="0"/>
    <x v="2"/>
    <x v="504"/>
    <x v="2"/>
    <x v="1"/>
  </r>
  <r>
    <x v="505"/>
    <x v="194"/>
    <x v="1"/>
    <x v="4"/>
    <x v="19"/>
    <x v="7"/>
    <x v="6"/>
    <x v="2"/>
    <x v="2"/>
    <x v="2"/>
    <x v="500"/>
    <x v="3"/>
    <x v="504"/>
    <x v="505"/>
    <x v="505"/>
    <x v="1"/>
    <x v="5"/>
    <x v="0"/>
    <x v="0"/>
    <x v="1"/>
    <x v="1"/>
    <x v="0"/>
    <x v="4"/>
    <x v="505"/>
    <x v="4"/>
    <x v="1"/>
  </r>
  <r>
    <x v="506"/>
    <x v="19"/>
    <x v="0"/>
    <x v="0"/>
    <x v="6"/>
    <x v="6"/>
    <x v="5"/>
    <x v="3"/>
    <x v="0"/>
    <x v="4"/>
    <x v="501"/>
    <x v="3"/>
    <x v="505"/>
    <x v="506"/>
    <x v="506"/>
    <x v="3"/>
    <x v="4"/>
    <x v="0"/>
    <x v="0"/>
    <x v="0"/>
    <x v="0"/>
    <x v="0"/>
    <x v="0"/>
    <x v="506"/>
    <x v="0"/>
    <x v="1"/>
  </r>
  <r>
    <x v="507"/>
    <x v="181"/>
    <x v="0"/>
    <x v="0"/>
    <x v="18"/>
    <x v="4"/>
    <x v="1"/>
    <x v="0"/>
    <x v="2"/>
    <x v="5"/>
    <x v="502"/>
    <x v="2"/>
    <x v="506"/>
    <x v="507"/>
    <x v="507"/>
    <x v="19"/>
    <x v="3"/>
    <x v="0"/>
    <x v="0"/>
    <x v="0"/>
    <x v="0"/>
    <x v="1"/>
    <x v="0"/>
    <x v="507"/>
    <x v="0"/>
    <x v="1"/>
  </r>
  <r>
    <x v="508"/>
    <x v="0"/>
    <x v="0"/>
    <x v="1"/>
    <x v="5"/>
    <x v="8"/>
    <x v="7"/>
    <x v="2"/>
    <x v="2"/>
    <x v="4"/>
    <x v="503"/>
    <x v="0"/>
    <x v="507"/>
    <x v="508"/>
    <x v="508"/>
    <x v="2"/>
    <x v="0"/>
    <x v="0"/>
    <x v="0"/>
    <x v="0"/>
    <x v="1"/>
    <x v="0"/>
    <x v="1"/>
    <x v="508"/>
    <x v="1"/>
    <x v="1"/>
  </r>
  <r>
    <x v="509"/>
    <x v="271"/>
    <x v="1"/>
    <x v="4"/>
    <x v="8"/>
    <x v="3"/>
    <x v="3"/>
    <x v="0"/>
    <x v="1"/>
    <x v="4"/>
    <x v="504"/>
    <x v="2"/>
    <x v="508"/>
    <x v="509"/>
    <x v="509"/>
    <x v="24"/>
    <x v="8"/>
    <x v="0"/>
    <x v="1"/>
    <x v="1"/>
    <x v="0"/>
    <x v="1"/>
    <x v="4"/>
    <x v="509"/>
    <x v="4"/>
    <x v="1"/>
  </r>
  <r>
    <x v="510"/>
    <x v="123"/>
    <x v="1"/>
    <x v="2"/>
    <x v="4"/>
    <x v="0"/>
    <x v="0"/>
    <x v="0"/>
    <x v="2"/>
    <x v="6"/>
    <x v="505"/>
    <x v="1"/>
    <x v="509"/>
    <x v="510"/>
    <x v="510"/>
    <x v="21"/>
    <x v="8"/>
    <x v="0"/>
    <x v="0"/>
    <x v="0"/>
    <x v="0"/>
    <x v="0"/>
    <x v="2"/>
    <x v="510"/>
    <x v="2"/>
    <x v="1"/>
  </r>
  <r>
    <x v="511"/>
    <x v="131"/>
    <x v="0"/>
    <x v="0"/>
    <x v="6"/>
    <x v="9"/>
    <x v="8"/>
    <x v="2"/>
    <x v="0"/>
    <x v="5"/>
    <x v="506"/>
    <x v="2"/>
    <x v="510"/>
    <x v="511"/>
    <x v="511"/>
    <x v="13"/>
    <x v="1"/>
    <x v="0"/>
    <x v="0"/>
    <x v="0"/>
    <x v="1"/>
    <x v="1"/>
    <x v="0"/>
    <x v="511"/>
    <x v="0"/>
    <x v="1"/>
  </r>
  <r>
    <x v="512"/>
    <x v="17"/>
    <x v="0"/>
    <x v="4"/>
    <x v="16"/>
    <x v="7"/>
    <x v="6"/>
    <x v="2"/>
    <x v="1"/>
    <x v="6"/>
    <x v="507"/>
    <x v="1"/>
    <x v="511"/>
    <x v="512"/>
    <x v="512"/>
    <x v="1"/>
    <x v="9"/>
    <x v="0"/>
    <x v="0"/>
    <x v="0"/>
    <x v="1"/>
    <x v="0"/>
    <x v="4"/>
    <x v="512"/>
    <x v="4"/>
    <x v="1"/>
  </r>
  <r>
    <x v="513"/>
    <x v="144"/>
    <x v="0"/>
    <x v="0"/>
    <x v="0"/>
    <x v="3"/>
    <x v="3"/>
    <x v="0"/>
    <x v="3"/>
    <x v="1"/>
    <x v="508"/>
    <x v="2"/>
    <x v="512"/>
    <x v="513"/>
    <x v="513"/>
    <x v="25"/>
    <x v="7"/>
    <x v="0"/>
    <x v="0"/>
    <x v="0"/>
    <x v="1"/>
    <x v="1"/>
    <x v="0"/>
    <x v="513"/>
    <x v="0"/>
    <x v="1"/>
  </r>
  <r>
    <x v="514"/>
    <x v="13"/>
    <x v="1"/>
    <x v="0"/>
    <x v="18"/>
    <x v="4"/>
    <x v="1"/>
    <x v="0"/>
    <x v="3"/>
    <x v="3"/>
    <x v="509"/>
    <x v="3"/>
    <x v="513"/>
    <x v="514"/>
    <x v="514"/>
    <x v="14"/>
    <x v="3"/>
    <x v="0"/>
    <x v="0"/>
    <x v="0"/>
    <x v="1"/>
    <x v="0"/>
    <x v="0"/>
    <x v="514"/>
    <x v="0"/>
    <x v="1"/>
  </r>
  <r>
    <x v="515"/>
    <x v="187"/>
    <x v="1"/>
    <x v="2"/>
    <x v="14"/>
    <x v="8"/>
    <x v="7"/>
    <x v="2"/>
    <x v="1"/>
    <x v="4"/>
    <x v="510"/>
    <x v="3"/>
    <x v="514"/>
    <x v="515"/>
    <x v="515"/>
    <x v="5"/>
    <x v="1"/>
    <x v="0"/>
    <x v="0"/>
    <x v="0"/>
    <x v="1"/>
    <x v="0"/>
    <x v="2"/>
    <x v="515"/>
    <x v="2"/>
    <x v="1"/>
  </r>
  <r>
    <x v="516"/>
    <x v="164"/>
    <x v="0"/>
    <x v="3"/>
    <x v="7"/>
    <x v="9"/>
    <x v="8"/>
    <x v="2"/>
    <x v="0"/>
    <x v="1"/>
    <x v="511"/>
    <x v="0"/>
    <x v="515"/>
    <x v="516"/>
    <x v="516"/>
    <x v="13"/>
    <x v="10"/>
    <x v="0"/>
    <x v="0"/>
    <x v="0"/>
    <x v="1"/>
    <x v="0"/>
    <x v="3"/>
    <x v="516"/>
    <x v="3"/>
    <x v="1"/>
  </r>
  <r>
    <x v="517"/>
    <x v="243"/>
    <x v="0"/>
    <x v="1"/>
    <x v="15"/>
    <x v="0"/>
    <x v="0"/>
    <x v="0"/>
    <x v="3"/>
    <x v="5"/>
    <x v="512"/>
    <x v="2"/>
    <x v="516"/>
    <x v="517"/>
    <x v="517"/>
    <x v="23"/>
    <x v="2"/>
    <x v="0"/>
    <x v="0"/>
    <x v="0"/>
    <x v="1"/>
    <x v="1"/>
    <x v="1"/>
    <x v="517"/>
    <x v="1"/>
    <x v="1"/>
  </r>
  <r>
    <x v="518"/>
    <x v="227"/>
    <x v="0"/>
    <x v="1"/>
    <x v="1"/>
    <x v="0"/>
    <x v="0"/>
    <x v="0"/>
    <x v="3"/>
    <x v="4"/>
    <x v="513"/>
    <x v="1"/>
    <x v="517"/>
    <x v="518"/>
    <x v="518"/>
    <x v="1"/>
    <x v="3"/>
    <x v="0"/>
    <x v="0"/>
    <x v="0"/>
    <x v="1"/>
    <x v="0"/>
    <x v="1"/>
    <x v="518"/>
    <x v="1"/>
    <x v="1"/>
  </r>
  <r>
    <x v="519"/>
    <x v="64"/>
    <x v="2"/>
    <x v="2"/>
    <x v="4"/>
    <x v="7"/>
    <x v="6"/>
    <x v="2"/>
    <x v="2"/>
    <x v="3"/>
    <x v="514"/>
    <x v="3"/>
    <x v="518"/>
    <x v="519"/>
    <x v="519"/>
    <x v="10"/>
    <x v="7"/>
    <x v="0"/>
    <x v="0"/>
    <x v="0"/>
    <x v="0"/>
    <x v="0"/>
    <x v="2"/>
    <x v="519"/>
    <x v="2"/>
    <x v="1"/>
  </r>
  <r>
    <x v="520"/>
    <x v="272"/>
    <x v="0"/>
    <x v="0"/>
    <x v="6"/>
    <x v="4"/>
    <x v="1"/>
    <x v="0"/>
    <x v="2"/>
    <x v="1"/>
    <x v="515"/>
    <x v="2"/>
    <x v="519"/>
    <x v="520"/>
    <x v="520"/>
    <x v="23"/>
    <x v="10"/>
    <x v="0"/>
    <x v="0"/>
    <x v="0"/>
    <x v="1"/>
    <x v="1"/>
    <x v="0"/>
    <x v="520"/>
    <x v="0"/>
    <x v="1"/>
  </r>
  <r>
    <x v="521"/>
    <x v="108"/>
    <x v="1"/>
    <x v="4"/>
    <x v="8"/>
    <x v="3"/>
    <x v="3"/>
    <x v="0"/>
    <x v="0"/>
    <x v="0"/>
    <x v="516"/>
    <x v="3"/>
    <x v="520"/>
    <x v="521"/>
    <x v="521"/>
    <x v="1"/>
    <x v="8"/>
    <x v="0"/>
    <x v="1"/>
    <x v="1"/>
    <x v="1"/>
    <x v="0"/>
    <x v="4"/>
    <x v="521"/>
    <x v="4"/>
    <x v="1"/>
  </r>
  <r>
    <x v="522"/>
    <x v="273"/>
    <x v="1"/>
    <x v="0"/>
    <x v="13"/>
    <x v="6"/>
    <x v="5"/>
    <x v="3"/>
    <x v="1"/>
    <x v="2"/>
    <x v="517"/>
    <x v="1"/>
    <x v="521"/>
    <x v="522"/>
    <x v="522"/>
    <x v="11"/>
    <x v="8"/>
    <x v="0"/>
    <x v="0"/>
    <x v="0"/>
    <x v="1"/>
    <x v="0"/>
    <x v="0"/>
    <x v="522"/>
    <x v="0"/>
    <x v="1"/>
  </r>
  <r>
    <x v="523"/>
    <x v="139"/>
    <x v="0"/>
    <x v="2"/>
    <x v="12"/>
    <x v="3"/>
    <x v="3"/>
    <x v="0"/>
    <x v="0"/>
    <x v="4"/>
    <x v="518"/>
    <x v="3"/>
    <x v="522"/>
    <x v="523"/>
    <x v="523"/>
    <x v="9"/>
    <x v="0"/>
    <x v="0"/>
    <x v="0"/>
    <x v="0"/>
    <x v="1"/>
    <x v="0"/>
    <x v="2"/>
    <x v="523"/>
    <x v="2"/>
    <x v="1"/>
  </r>
  <r>
    <x v="524"/>
    <x v="116"/>
    <x v="0"/>
    <x v="1"/>
    <x v="10"/>
    <x v="3"/>
    <x v="3"/>
    <x v="0"/>
    <x v="1"/>
    <x v="3"/>
    <x v="519"/>
    <x v="3"/>
    <x v="523"/>
    <x v="524"/>
    <x v="524"/>
    <x v="20"/>
    <x v="11"/>
    <x v="0"/>
    <x v="0"/>
    <x v="0"/>
    <x v="0"/>
    <x v="0"/>
    <x v="1"/>
    <x v="524"/>
    <x v="1"/>
    <x v="1"/>
  </r>
  <r>
    <x v="525"/>
    <x v="274"/>
    <x v="0"/>
    <x v="0"/>
    <x v="0"/>
    <x v="0"/>
    <x v="0"/>
    <x v="0"/>
    <x v="3"/>
    <x v="2"/>
    <x v="520"/>
    <x v="2"/>
    <x v="524"/>
    <x v="525"/>
    <x v="525"/>
    <x v="7"/>
    <x v="8"/>
    <x v="0"/>
    <x v="0"/>
    <x v="0"/>
    <x v="1"/>
    <x v="1"/>
    <x v="0"/>
    <x v="525"/>
    <x v="0"/>
    <x v="1"/>
  </r>
  <r>
    <x v="526"/>
    <x v="234"/>
    <x v="1"/>
    <x v="1"/>
    <x v="10"/>
    <x v="6"/>
    <x v="5"/>
    <x v="3"/>
    <x v="2"/>
    <x v="6"/>
    <x v="521"/>
    <x v="2"/>
    <x v="525"/>
    <x v="526"/>
    <x v="526"/>
    <x v="20"/>
    <x v="1"/>
    <x v="0"/>
    <x v="0"/>
    <x v="0"/>
    <x v="0"/>
    <x v="1"/>
    <x v="1"/>
    <x v="526"/>
    <x v="1"/>
    <x v="1"/>
  </r>
  <r>
    <x v="527"/>
    <x v="275"/>
    <x v="1"/>
    <x v="4"/>
    <x v="16"/>
    <x v="6"/>
    <x v="5"/>
    <x v="3"/>
    <x v="0"/>
    <x v="1"/>
    <x v="522"/>
    <x v="0"/>
    <x v="526"/>
    <x v="527"/>
    <x v="527"/>
    <x v="17"/>
    <x v="5"/>
    <x v="0"/>
    <x v="1"/>
    <x v="1"/>
    <x v="1"/>
    <x v="0"/>
    <x v="4"/>
    <x v="527"/>
    <x v="4"/>
    <x v="1"/>
  </r>
  <r>
    <x v="528"/>
    <x v="258"/>
    <x v="1"/>
    <x v="1"/>
    <x v="1"/>
    <x v="7"/>
    <x v="6"/>
    <x v="2"/>
    <x v="0"/>
    <x v="6"/>
    <x v="523"/>
    <x v="4"/>
    <x v="527"/>
    <x v="528"/>
    <x v="528"/>
    <x v="7"/>
    <x v="3"/>
    <x v="0"/>
    <x v="0"/>
    <x v="0"/>
    <x v="1"/>
    <x v="1"/>
    <x v="1"/>
    <x v="528"/>
    <x v="1"/>
    <x v="1"/>
  </r>
  <r>
    <x v="529"/>
    <x v="276"/>
    <x v="1"/>
    <x v="1"/>
    <x v="1"/>
    <x v="9"/>
    <x v="8"/>
    <x v="2"/>
    <x v="1"/>
    <x v="3"/>
    <x v="524"/>
    <x v="0"/>
    <x v="528"/>
    <x v="529"/>
    <x v="529"/>
    <x v="5"/>
    <x v="7"/>
    <x v="0"/>
    <x v="0"/>
    <x v="1"/>
    <x v="1"/>
    <x v="0"/>
    <x v="1"/>
    <x v="529"/>
    <x v="1"/>
    <x v="1"/>
  </r>
  <r>
    <x v="530"/>
    <x v="277"/>
    <x v="0"/>
    <x v="3"/>
    <x v="7"/>
    <x v="1"/>
    <x v="1"/>
    <x v="0"/>
    <x v="1"/>
    <x v="4"/>
    <x v="525"/>
    <x v="1"/>
    <x v="529"/>
    <x v="530"/>
    <x v="530"/>
    <x v="5"/>
    <x v="5"/>
    <x v="0"/>
    <x v="1"/>
    <x v="1"/>
    <x v="1"/>
    <x v="0"/>
    <x v="3"/>
    <x v="530"/>
    <x v="3"/>
    <x v="1"/>
  </r>
  <r>
    <x v="531"/>
    <x v="170"/>
    <x v="2"/>
    <x v="3"/>
    <x v="3"/>
    <x v="5"/>
    <x v="4"/>
    <x v="2"/>
    <x v="0"/>
    <x v="2"/>
    <x v="526"/>
    <x v="3"/>
    <x v="530"/>
    <x v="531"/>
    <x v="531"/>
    <x v="14"/>
    <x v="4"/>
    <x v="0"/>
    <x v="0"/>
    <x v="0"/>
    <x v="1"/>
    <x v="0"/>
    <x v="3"/>
    <x v="531"/>
    <x v="3"/>
    <x v="1"/>
  </r>
  <r>
    <x v="532"/>
    <x v="273"/>
    <x v="1"/>
    <x v="3"/>
    <x v="17"/>
    <x v="5"/>
    <x v="4"/>
    <x v="2"/>
    <x v="1"/>
    <x v="2"/>
    <x v="527"/>
    <x v="3"/>
    <x v="531"/>
    <x v="532"/>
    <x v="532"/>
    <x v="11"/>
    <x v="8"/>
    <x v="0"/>
    <x v="0"/>
    <x v="0"/>
    <x v="1"/>
    <x v="0"/>
    <x v="3"/>
    <x v="532"/>
    <x v="3"/>
    <x v="1"/>
  </r>
  <r>
    <x v="533"/>
    <x v="278"/>
    <x v="0"/>
    <x v="1"/>
    <x v="15"/>
    <x v="0"/>
    <x v="0"/>
    <x v="0"/>
    <x v="0"/>
    <x v="1"/>
    <x v="528"/>
    <x v="1"/>
    <x v="532"/>
    <x v="533"/>
    <x v="533"/>
    <x v="22"/>
    <x v="10"/>
    <x v="0"/>
    <x v="0"/>
    <x v="0"/>
    <x v="1"/>
    <x v="0"/>
    <x v="1"/>
    <x v="533"/>
    <x v="1"/>
    <x v="1"/>
  </r>
  <r>
    <x v="534"/>
    <x v="249"/>
    <x v="2"/>
    <x v="2"/>
    <x v="4"/>
    <x v="1"/>
    <x v="1"/>
    <x v="0"/>
    <x v="0"/>
    <x v="4"/>
    <x v="529"/>
    <x v="2"/>
    <x v="533"/>
    <x v="534"/>
    <x v="534"/>
    <x v="11"/>
    <x v="8"/>
    <x v="0"/>
    <x v="0"/>
    <x v="0"/>
    <x v="1"/>
    <x v="1"/>
    <x v="2"/>
    <x v="534"/>
    <x v="2"/>
    <x v="1"/>
  </r>
  <r>
    <x v="535"/>
    <x v="279"/>
    <x v="1"/>
    <x v="1"/>
    <x v="5"/>
    <x v="9"/>
    <x v="8"/>
    <x v="2"/>
    <x v="0"/>
    <x v="0"/>
    <x v="530"/>
    <x v="2"/>
    <x v="534"/>
    <x v="535"/>
    <x v="535"/>
    <x v="10"/>
    <x v="4"/>
    <x v="0"/>
    <x v="0"/>
    <x v="0"/>
    <x v="0"/>
    <x v="1"/>
    <x v="1"/>
    <x v="535"/>
    <x v="1"/>
    <x v="1"/>
  </r>
  <r>
    <x v="536"/>
    <x v="280"/>
    <x v="1"/>
    <x v="2"/>
    <x v="14"/>
    <x v="1"/>
    <x v="1"/>
    <x v="0"/>
    <x v="3"/>
    <x v="0"/>
    <x v="531"/>
    <x v="3"/>
    <x v="535"/>
    <x v="536"/>
    <x v="536"/>
    <x v="22"/>
    <x v="4"/>
    <x v="0"/>
    <x v="0"/>
    <x v="0"/>
    <x v="1"/>
    <x v="0"/>
    <x v="2"/>
    <x v="536"/>
    <x v="2"/>
    <x v="1"/>
  </r>
  <r>
    <x v="537"/>
    <x v="114"/>
    <x v="1"/>
    <x v="2"/>
    <x v="2"/>
    <x v="7"/>
    <x v="6"/>
    <x v="2"/>
    <x v="1"/>
    <x v="1"/>
    <x v="532"/>
    <x v="0"/>
    <x v="536"/>
    <x v="537"/>
    <x v="537"/>
    <x v="11"/>
    <x v="7"/>
    <x v="0"/>
    <x v="0"/>
    <x v="0"/>
    <x v="1"/>
    <x v="0"/>
    <x v="2"/>
    <x v="537"/>
    <x v="2"/>
    <x v="1"/>
  </r>
  <r>
    <x v="538"/>
    <x v="281"/>
    <x v="2"/>
    <x v="3"/>
    <x v="3"/>
    <x v="3"/>
    <x v="3"/>
    <x v="0"/>
    <x v="2"/>
    <x v="4"/>
    <x v="533"/>
    <x v="0"/>
    <x v="537"/>
    <x v="538"/>
    <x v="538"/>
    <x v="25"/>
    <x v="11"/>
    <x v="0"/>
    <x v="1"/>
    <x v="1"/>
    <x v="1"/>
    <x v="0"/>
    <x v="3"/>
    <x v="538"/>
    <x v="3"/>
    <x v="1"/>
  </r>
  <r>
    <x v="539"/>
    <x v="47"/>
    <x v="1"/>
    <x v="0"/>
    <x v="13"/>
    <x v="0"/>
    <x v="0"/>
    <x v="0"/>
    <x v="2"/>
    <x v="1"/>
    <x v="77"/>
    <x v="2"/>
    <x v="538"/>
    <x v="539"/>
    <x v="539"/>
    <x v="21"/>
    <x v="2"/>
    <x v="0"/>
    <x v="0"/>
    <x v="0"/>
    <x v="0"/>
    <x v="1"/>
    <x v="0"/>
    <x v="539"/>
    <x v="0"/>
    <x v="1"/>
  </r>
  <r>
    <x v="540"/>
    <x v="209"/>
    <x v="0"/>
    <x v="4"/>
    <x v="19"/>
    <x v="6"/>
    <x v="5"/>
    <x v="3"/>
    <x v="1"/>
    <x v="4"/>
    <x v="534"/>
    <x v="2"/>
    <x v="539"/>
    <x v="540"/>
    <x v="540"/>
    <x v="18"/>
    <x v="10"/>
    <x v="0"/>
    <x v="1"/>
    <x v="1"/>
    <x v="1"/>
    <x v="1"/>
    <x v="4"/>
    <x v="540"/>
    <x v="4"/>
    <x v="1"/>
  </r>
  <r>
    <x v="541"/>
    <x v="282"/>
    <x v="0"/>
    <x v="3"/>
    <x v="3"/>
    <x v="0"/>
    <x v="0"/>
    <x v="0"/>
    <x v="0"/>
    <x v="3"/>
    <x v="535"/>
    <x v="0"/>
    <x v="540"/>
    <x v="541"/>
    <x v="541"/>
    <x v="6"/>
    <x v="9"/>
    <x v="0"/>
    <x v="1"/>
    <x v="1"/>
    <x v="0"/>
    <x v="0"/>
    <x v="3"/>
    <x v="541"/>
    <x v="3"/>
    <x v="1"/>
  </r>
  <r>
    <x v="542"/>
    <x v="177"/>
    <x v="2"/>
    <x v="3"/>
    <x v="7"/>
    <x v="5"/>
    <x v="4"/>
    <x v="2"/>
    <x v="2"/>
    <x v="3"/>
    <x v="536"/>
    <x v="2"/>
    <x v="541"/>
    <x v="542"/>
    <x v="542"/>
    <x v="19"/>
    <x v="5"/>
    <x v="0"/>
    <x v="1"/>
    <x v="1"/>
    <x v="0"/>
    <x v="1"/>
    <x v="3"/>
    <x v="542"/>
    <x v="3"/>
    <x v="1"/>
  </r>
  <r>
    <x v="543"/>
    <x v="29"/>
    <x v="0"/>
    <x v="0"/>
    <x v="13"/>
    <x v="9"/>
    <x v="8"/>
    <x v="2"/>
    <x v="2"/>
    <x v="6"/>
    <x v="537"/>
    <x v="0"/>
    <x v="542"/>
    <x v="543"/>
    <x v="543"/>
    <x v="5"/>
    <x v="6"/>
    <x v="0"/>
    <x v="0"/>
    <x v="0"/>
    <x v="1"/>
    <x v="0"/>
    <x v="0"/>
    <x v="543"/>
    <x v="0"/>
    <x v="0"/>
  </r>
  <r>
    <x v="544"/>
    <x v="274"/>
    <x v="0"/>
    <x v="4"/>
    <x v="19"/>
    <x v="1"/>
    <x v="1"/>
    <x v="0"/>
    <x v="1"/>
    <x v="1"/>
    <x v="538"/>
    <x v="0"/>
    <x v="543"/>
    <x v="544"/>
    <x v="544"/>
    <x v="1"/>
    <x v="8"/>
    <x v="0"/>
    <x v="1"/>
    <x v="1"/>
    <x v="1"/>
    <x v="0"/>
    <x v="4"/>
    <x v="544"/>
    <x v="4"/>
    <x v="1"/>
  </r>
  <r>
    <x v="545"/>
    <x v="283"/>
    <x v="0"/>
    <x v="1"/>
    <x v="1"/>
    <x v="9"/>
    <x v="8"/>
    <x v="2"/>
    <x v="2"/>
    <x v="4"/>
    <x v="539"/>
    <x v="1"/>
    <x v="544"/>
    <x v="545"/>
    <x v="545"/>
    <x v="9"/>
    <x v="6"/>
    <x v="0"/>
    <x v="1"/>
    <x v="1"/>
    <x v="1"/>
    <x v="0"/>
    <x v="1"/>
    <x v="545"/>
    <x v="1"/>
    <x v="1"/>
  </r>
  <r>
    <x v="546"/>
    <x v="196"/>
    <x v="0"/>
    <x v="1"/>
    <x v="15"/>
    <x v="7"/>
    <x v="6"/>
    <x v="2"/>
    <x v="0"/>
    <x v="0"/>
    <x v="540"/>
    <x v="1"/>
    <x v="545"/>
    <x v="546"/>
    <x v="546"/>
    <x v="16"/>
    <x v="10"/>
    <x v="0"/>
    <x v="1"/>
    <x v="1"/>
    <x v="0"/>
    <x v="0"/>
    <x v="1"/>
    <x v="546"/>
    <x v="1"/>
    <x v="1"/>
  </r>
  <r>
    <x v="547"/>
    <x v="5"/>
    <x v="1"/>
    <x v="3"/>
    <x v="17"/>
    <x v="0"/>
    <x v="0"/>
    <x v="0"/>
    <x v="1"/>
    <x v="4"/>
    <x v="541"/>
    <x v="0"/>
    <x v="546"/>
    <x v="547"/>
    <x v="547"/>
    <x v="12"/>
    <x v="4"/>
    <x v="0"/>
    <x v="1"/>
    <x v="1"/>
    <x v="1"/>
    <x v="0"/>
    <x v="3"/>
    <x v="547"/>
    <x v="3"/>
    <x v="1"/>
  </r>
  <r>
    <x v="548"/>
    <x v="53"/>
    <x v="2"/>
    <x v="4"/>
    <x v="16"/>
    <x v="4"/>
    <x v="1"/>
    <x v="0"/>
    <x v="0"/>
    <x v="3"/>
    <x v="542"/>
    <x v="3"/>
    <x v="547"/>
    <x v="548"/>
    <x v="548"/>
    <x v="8"/>
    <x v="11"/>
    <x v="0"/>
    <x v="1"/>
    <x v="1"/>
    <x v="1"/>
    <x v="0"/>
    <x v="4"/>
    <x v="548"/>
    <x v="4"/>
    <x v="1"/>
  </r>
  <r>
    <x v="549"/>
    <x v="282"/>
    <x v="0"/>
    <x v="3"/>
    <x v="17"/>
    <x v="0"/>
    <x v="0"/>
    <x v="0"/>
    <x v="2"/>
    <x v="4"/>
    <x v="543"/>
    <x v="1"/>
    <x v="548"/>
    <x v="549"/>
    <x v="549"/>
    <x v="25"/>
    <x v="9"/>
    <x v="0"/>
    <x v="1"/>
    <x v="1"/>
    <x v="1"/>
    <x v="0"/>
    <x v="3"/>
    <x v="549"/>
    <x v="3"/>
    <x v="1"/>
  </r>
  <r>
    <x v="550"/>
    <x v="192"/>
    <x v="0"/>
    <x v="2"/>
    <x v="12"/>
    <x v="6"/>
    <x v="5"/>
    <x v="3"/>
    <x v="2"/>
    <x v="1"/>
    <x v="544"/>
    <x v="0"/>
    <x v="549"/>
    <x v="550"/>
    <x v="550"/>
    <x v="16"/>
    <x v="5"/>
    <x v="0"/>
    <x v="0"/>
    <x v="0"/>
    <x v="0"/>
    <x v="0"/>
    <x v="2"/>
    <x v="550"/>
    <x v="2"/>
    <x v="1"/>
  </r>
  <r>
    <x v="551"/>
    <x v="64"/>
    <x v="0"/>
    <x v="3"/>
    <x v="3"/>
    <x v="0"/>
    <x v="0"/>
    <x v="0"/>
    <x v="0"/>
    <x v="6"/>
    <x v="545"/>
    <x v="1"/>
    <x v="550"/>
    <x v="551"/>
    <x v="551"/>
    <x v="12"/>
    <x v="7"/>
    <x v="0"/>
    <x v="0"/>
    <x v="0"/>
    <x v="1"/>
    <x v="0"/>
    <x v="3"/>
    <x v="551"/>
    <x v="3"/>
    <x v="1"/>
  </r>
  <r>
    <x v="552"/>
    <x v="245"/>
    <x v="2"/>
    <x v="3"/>
    <x v="3"/>
    <x v="8"/>
    <x v="7"/>
    <x v="2"/>
    <x v="3"/>
    <x v="6"/>
    <x v="546"/>
    <x v="0"/>
    <x v="551"/>
    <x v="552"/>
    <x v="552"/>
    <x v="17"/>
    <x v="4"/>
    <x v="0"/>
    <x v="0"/>
    <x v="0"/>
    <x v="1"/>
    <x v="0"/>
    <x v="3"/>
    <x v="552"/>
    <x v="3"/>
    <x v="1"/>
  </r>
  <r>
    <x v="553"/>
    <x v="284"/>
    <x v="1"/>
    <x v="1"/>
    <x v="1"/>
    <x v="7"/>
    <x v="6"/>
    <x v="2"/>
    <x v="2"/>
    <x v="6"/>
    <x v="449"/>
    <x v="0"/>
    <x v="552"/>
    <x v="553"/>
    <x v="553"/>
    <x v="15"/>
    <x v="11"/>
    <x v="0"/>
    <x v="0"/>
    <x v="0"/>
    <x v="0"/>
    <x v="0"/>
    <x v="1"/>
    <x v="553"/>
    <x v="1"/>
    <x v="1"/>
  </r>
  <r>
    <x v="554"/>
    <x v="106"/>
    <x v="0"/>
    <x v="1"/>
    <x v="10"/>
    <x v="2"/>
    <x v="2"/>
    <x v="1"/>
    <x v="3"/>
    <x v="6"/>
    <x v="547"/>
    <x v="4"/>
    <x v="553"/>
    <x v="554"/>
    <x v="554"/>
    <x v="7"/>
    <x v="6"/>
    <x v="0"/>
    <x v="0"/>
    <x v="0"/>
    <x v="1"/>
    <x v="1"/>
    <x v="1"/>
    <x v="554"/>
    <x v="1"/>
    <x v="1"/>
  </r>
  <r>
    <x v="555"/>
    <x v="159"/>
    <x v="2"/>
    <x v="1"/>
    <x v="10"/>
    <x v="7"/>
    <x v="6"/>
    <x v="2"/>
    <x v="2"/>
    <x v="3"/>
    <x v="548"/>
    <x v="0"/>
    <x v="554"/>
    <x v="555"/>
    <x v="555"/>
    <x v="3"/>
    <x v="3"/>
    <x v="0"/>
    <x v="0"/>
    <x v="1"/>
    <x v="0"/>
    <x v="0"/>
    <x v="1"/>
    <x v="555"/>
    <x v="1"/>
    <x v="1"/>
  </r>
  <r>
    <x v="556"/>
    <x v="61"/>
    <x v="2"/>
    <x v="2"/>
    <x v="12"/>
    <x v="1"/>
    <x v="1"/>
    <x v="0"/>
    <x v="3"/>
    <x v="5"/>
    <x v="549"/>
    <x v="1"/>
    <x v="555"/>
    <x v="556"/>
    <x v="556"/>
    <x v="11"/>
    <x v="1"/>
    <x v="0"/>
    <x v="0"/>
    <x v="0"/>
    <x v="1"/>
    <x v="0"/>
    <x v="2"/>
    <x v="556"/>
    <x v="2"/>
    <x v="1"/>
  </r>
  <r>
    <x v="557"/>
    <x v="201"/>
    <x v="2"/>
    <x v="1"/>
    <x v="5"/>
    <x v="2"/>
    <x v="2"/>
    <x v="1"/>
    <x v="3"/>
    <x v="1"/>
    <x v="550"/>
    <x v="0"/>
    <x v="556"/>
    <x v="557"/>
    <x v="557"/>
    <x v="0"/>
    <x v="11"/>
    <x v="0"/>
    <x v="0"/>
    <x v="0"/>
    <x v="0"/>
    <x v="0"/>
    <x v="1"/>
    <x v="557"/>
    <x v="1"/>
    <x v="1"/>
  </r>
  <r>
    <x v="558"/>
    <x v="190"/>
    <x v="2"/>
    <x v="4"/>
    <x v="8"/>
    <x v="1"/>
    <x v="1"/>
    <x v="0"/>
    <x v="3"/>
    <x v="2"/>
    <x v="551"/>
    <x v="2"/>
    <x v="557"/>
    <x v="558"/>
    <x v="558"/>
    <x v="15"/>
    <x v="9"/>
    <x v="0"/>
    <x v="1"/>
    <x v="1"/>
    <x v="0"/>
    <x v="1"/>
    <x v="4"/>
    <x v="558"/>
    <x v="4"/>
    <x v="1"/>
  </r>
  <r>
    <x v="559"/>
    <x v="278"/>
    <x v="0"/>
    <x v="0"/>
    <x v="18"/>
    <x v="1"/>
    <x v="1"/>
    <x v="0"/>
    <x v="0"/>
    <x v="1"/>
    <x v="552"/>
    <x v="4"/>
    <x v="558"/>
    <x v="559"/>
    <x v="559"/>
    <x v="11"/>
    <x v="10"/>
    <x v="0"/>
    <x v="0"/>
    <x v="0"/>
    <x v="1"/>
    <x v="1"/>
    <x v="0"/>
    <x v="559"/>
    <x v="0"/>
    <x v="1"/>
  </r>
  <r>
    <x v="560"/>
    <x v="285"/>
    <x v="1"/>
    <x v="4"/>
    <x v="8"/>
    <x v="6"/>
    <x v="5"/>
    <x v="3"/>
    <x v="3"/>
    <x v="5"/>
    <x v="553"/>
    <x v="3"/>
    <x v="559"/>
    <x v="560"/>
    <x v="560"/>
    <x v="15"/>
    <x v="5"/>
    <x v="0"/>
    <x v="0"/>
    <x v="0"/>
    <x v="0"/>
    <x v="0"/>
    <x v="4"/>
    <x v="560"/>
    <x v="4"/>
    <x v="1"/>
  </r>
  <r>
    <x v="561"/>
    <x v="77"/>
    <x v="1"/>
    <x v="4"/>
    <x v="8"/>
    <x v="6"/>
    <x v="5"/>
    <x v="3"/>
    <x v="3"/>
    <x v="6"/>
    <x v="554"/>
    <x v="3"/>
    <x v="560"/>
    <x v="561"/>
    <x v="561"/>
    <x v="1"/>
    <x v="8"/>
    <x v="0"/>
    <x v="0"/>
    <x v="0"/>
    <x v="1"/>
    <x v="0"/>
    <x v="4"/>
    <x v="561"/>
    <x v="4"/>
    <x v="1"/>
  </r>
  <r>
    <x v="562"/>
    <x v="215"/>
    <x v="2"/>
    <x v="1"/>
    <x v="1"/>
    <x v="3"/>
    <x v="3"/>
    <x v="0"/>
    <x v="3"/>
    <x v="5"/>
    <x v="555"/>
    <x v="2"/>
    <x v="561"/>
    <x v="562"/>
    <x v="562"/>
    <x v="19"/>
    <x v="6"/>
    <x v="0"/>
    <x v="0"/>
    <x v="0"/>
    <x v="0"/>
    <x v="1"/>
    <x v="1"/>
    <x v="562"/>
    <x v="1"/>
    <x v="1"/>
  </r>
  <r>
    <x v="563"/>
    <x v="56"/>
    <x v="1"/>
    <x v="0"/>
    <x v="0"/>
    <x v="5"/>
    <x v="4"/>
    <x v="2"/>
    <x v="2"/>
    <x v="0"/>
    <x v="556"/>
    <x v="1"/>
    <x v="562"/>
    <x v="563"/>
    <x v="563"/>
    <x v="17"/>
    <x v="9"/>
    <x v="0"/>
    <x v="0"/>
    <x v="0"/>
    <x v="1"/>
    <x v="0"/>
    <x v="0"/>
    <x v="563"/>
    <x v="0"/>
    <x v="0"/>
  </r>
  <r>
    <x v="564"/>
    <x v="138"/>
    <x v="1"/>
    <x v="0"/>
    <x v="0"/>
    <x v="3"/>
    <x v="3"/>
    <x v="0"/>
    <x v="3"/>
    <x v="0"/>
    <x v="557"/>
    <x v="0"/>
    <x v="563"/>
    <x v="564"/>
    <x v="564"/>
    <x v="16"/>
    <x v="5"/>
    <x v="0"/>
    <x v="0"/>
    <x v="0"/>
    <x v="0"/>
    <x v="0"/>
    <x v="0"/>
    <x v="564"/>
    <x v="0"/>
    <x v="1"/>
  </r>
  <r>
    <x v="565"/>
    <x v="286"/>
    <x v="1"/>
    <x v="0"/>
    <x v="18"/>
    <x v="3"/>
    <x v="3"/>
    <x v="0"/>
    <x v="2"/>
    <x v="3"/>
    <x v="558"/>
    <x v="3"/>
    <x v="564"/>
    <x v="565"/>
    <x v="565"/>
    <x v="12"/>
    <x v="9"/>
    <x v="0"/>
    <x v="0"/>
    <x v="0"/>
    <x v="1"/>
    <x v="0"/>
    <x v="0"/>
    <x v="565"/>
    <x v="0"/>
    <x v="1"/>
  </r>
  <r>
    <x v="566"/>
    <x v="287"/>
    <x v="0"/>
    <x v="2"/>
    <x v="12"/>
    <x v="5"/>
    <x v="4"/>
    <x v="2"/>
    <x v="3"/>
    <x v="1"/>
    <x v="559"/>
    <x v="1"/>
    <x v="565"/>
    <x v="566"/>
    <x v="566"/>
    <x v="19"/>
    <x v="10"/>
    <x v="0"/>
    <x v="0"/>
    <x v="0"/>
    <x v="0"/>
    <x v="0"/>
    <x v="2"/>
    <x v="566"/>
    <x v="2"/>
    <x v="1"/>
  </r>
  <r>
    <x v="567"/>
    <x v="288"/>
    <x v="1"/>
    <x v="1"/>
    <x v="10"/>
    <x v="4"/>
    <x v="1"/>
    <x v="0"/>
    <x v="3"/>
    <x v="1"/>
    <x v="560"/>
    <x v="3"/>
    <x v="566"/>
    <x v="567"/>
    <x v="567"/>
    <x v="22"/>
    <x v="3"/>
    <x v="0"/>
    <x v="0"/>
    <x v="0"/>
    <x v="1"/>
    <x v="0"/>
    <x v="1"/>
    <x v="567"/>
    <x v="1"/>
    <x v="1"/>
  </r>
  <r>
    <x v="568"/>
    <x v="276"/>
    <x v="2"/>
    <x v="0"/>
    <x v="13"/>
    <x v="2"/>
    <x v="2"/>
    <x v="1"/>
    <x v="0"/>
    <x v="2"/>
    <x v="561"/>
    <x v="3"/>
    <x v="567"/>
    <x v="568"/>
    <x v="568"/>
    <x v="19"/>
    <x v="7"/>
    <x v="0"/>
    <x v="0"/>
    <x v="0"/>
    <x v="0"/>
    <x v="0"/>
    <x v="0"/>
    <x v="568"/>
    <x v="0"/>
    <x v="1"/>
  </r>
  <r>
    <x v="569"/>
    <x v="186"/>
    <x v="2"/>
    <x v="2"/>
    <x v="4"/>
    <x v="9"/>
    <x v="8"/>
    <x v="2"/>
    <x v="2"/>
    <x v="3"/>
    <x v="562"/>
    <x v="0"/>
    <x v="568"/>
    <x v="569"/>
    <x v="569"/>
    <x v="24"/>
    <x v="8"/>
    <x v="0"/>
    <x v="0"/>
    <x v="0"/>
    <x v="0"/>
    <x v="0"/>
    <x v="2"/>
    <x v="569"/>
    <x v="2"/>
    <x v="1"/>
  </r>
  <r>
    <x v="570"/>
    <x v="219"/>
    <x v="0"/>
    <x v="3"/>
    <x v="7"/>
    <x v="3"/>
    <x v="3"/>
    <x v="0"/>
    <x v="3"/>
    <x v="2"/>
    <x v="563"/>
    <x v="2"/>
    <x v="569"/>
    <x v="570"/>
    <x v="570"/>
    <x v="8"/>
    <x v="4"/>
    <x v="0"/>
    <x v="0"/>
    <x v="0"/>
    <x v="1"/>
    <x v="1"/>
    <x v="3"/>
    <x v="570"/>
    <x v="3"/>
    <x v="1"/>
  </r>
  <r>
    <x v="571"/>
    <x v="289"/>
    <x v="0"/>
    <x v="3"/>
    <x v="9"/>
    <x v="0"/>
    <x v="0"/>
    <x v="0"/>
    <x v="2"/>
    <x v="0"/>
    <x v="564"/>
    <x v="3"/>
    <x v="570"/>
    <x v="571"/>
    <x v="571"/>
    <x v="0"/>
    <x v="8"/>
    <x v="0"/>
    <x v="0"/>
    <x v="0"/>
    <x v="0"/>
    <x v="0"/>
    <x v="3"/>
    <x v="571"/>
    <x v="3"/>
    <x v="1"/>
  </r>
  <r>
    <x v="572"/>
    <x v="129"/>
    <x v="0"/>
    <x v="2"/>
    <x v="12"/>
    <x v="0"/>
    <x v="0"/>
    <x v="0"/>
    <x v="2"/>
    <x v="6"/>
    <x v="565"/>
    <x v="2"/>
    <x v="571"/>
    <x v="572"/>
    <x v="572"/>
    <x v="10"/>
    <x v="8"/>
    <x v="0"/>
    <x v="0"/>
    <x v="0"/>
    <x v="0"/>
    <x v="1"/>
    <x v="2"/>
    <x v="572"/>
    <x v="2"/>
    <x v="1"/>
  </r>
  <r>
    <x v="573"/>
    <x v="290"/>
    <x v="1"/>
    <x v="2"/>
    <x v="14"/>
    <x v="1"/>
    <x v="1"/>
    <x v="0"/>
    <x v="1"/>
    <x v="5"/>
    <x v="566"/>
    <x v="1"/>
    <x v="572"/>
    <x v="573"/>
    <x v="573"/>
    <x v="5"/>
    <x v="3"/>
    <x v="0"/>
    <x v="0"/>
    <x v="0"/>
    <x v="1"/>
    <x v="0"/>
    <x v="2"/>
    <x v="573"/>
    <x v="2"/>
    <x v="1"/>
  </r>
  <r>
    <x v="574"/>
    <x v="261"/>
    <x v="2"/>
    <x v="1"/>
    <x v="1"/>
    <x v="5"/>
    <x v="4"/>
    <x v="2"/>
    <x v="0"/>
    <x v="2"/>
    <x v="567"/>
    <x v="0"/>
    <x v="573"/>
    <x v="574"/>
    <x v="574"/>
    <x v="1"/>
    <x v="8"/>
    <x v="0"/>
    <x v="0"/>
    <x v="0"/>
    <x v="1"/>
    <x v="0"/>
    <x v="1"/>
    <x v="574"/>
    <x v="1"/>
    <x v="1"/>
  </r>
  <r>
    <x v="575"/>
    <x v="69"/>
    <x v="0"/>
    <x v="1"/>
    <x v="5"/>
    <x v="1"/>
    <x v="1"/>
    <x v="0"/>
    <x v="0"/>
    <x v="4"/>
    <x v="568"/>
    <x v="1"/>
    <x v="574"/>
    <x v="575"/>
    <x v="575"/>
    <x v="13"/>
    <x v="10"/>
    <x v="0"/>
    <x v="1"/>
    <x v="1"/>
    <x v="1"/>
    <x v="0"/>
    <x v="1"/>
    <x v="575"/>
    <x v="1"/>
    <x v="1"/>
  </r>
  <r>
    <x v="576"/>
    <x v="234"/>
    <x v="1"/>
    <x v="3"/>
    <x v="17"/>
    <x v="8"/>
    <x v="7"/>
    <x v="2"/>
    <x v="0"/>
    <x v="2"/>
    <x v="569"/>
    <x v="2"/>
    <x v="575"/>
    <x v="576"/>
    <x v="576"/>
    <x v="8"/>
    <x v="1"/>
    <x v="0"/>
    <x v="0"/>
    <x v="0"/>
    <x v="1"/>
    <x v="1"/>
    <x v="3"/>
    <x v="576"/>
    <x v="3"/>
    <x v="1"/>
  </r>
  <r>
    <x v="577"/>
    <x v="291"/>
    <x v="2"/>
    <x v="0"/>
    <x v="0"/>
    <x v="8"/>
    <x v="7"/>
    <x v="2"/>
    <x v="1"/>
    <x v="6"/>
    <x v="570"/>
    <x v="2"/>
    <x v="576"/>
    <x v="577"/>
    <x v="577"/>
    <x v="14"/>
    <x v="1"/>
    <x v="0"/>
    <x v="0"/>
    <x v="0"/>
    <x v="1"/>
    <x v="1"/>
    <x v="0"/>
    <x v="577"/>
    <x v="0"/>
    <x v="1"/>
  </r>
  <r>
    <x v="578"/>
    <x v="292"/>
    <x v="1"/>
    <x v="3"/>
    <x v="7"/>
    <x v="9"/>
    <x v="8"/>
    <x v="2"/>
    <x v="1"/>
    <x v="6"/>
    <x v="571"/>
    <x v="0"/>
    <x v="577"/>
    <x v="578"/>
    <x v="578"/>
    <x v="5"/>
    <x v="10"/>
    <x v="0"/>
    <x v="0"/>
    <x v="0"/>
    <x v="1"/>
    <x v="0"/>
    <x v="3"/>
    <x v="578"/>
    <x v="3"/>
    <x v="1"/>
  </r>
  <r>
    <x v="579"/>
    <x v="110"/>
    <x v="1"/>
    <x v="0"/>
    <x v="6"/>
    <x v="6"/>
    <x v="5"/>
    <x v="3"/>
    <x v="0"/>
    <x v="1"/>
    <x v="572"/>
    <x v="2"/>
    <x v="578"/>
    <x v="579"/>
    <x v="579"/>
    <x v="8"/>
    <x v="3"/>
    <x v="0"/>
    <x v="0"/>
    <x v="0"/>
    <x v="1"/>
    <x v="1"/>
    <x v="0"/>
    <x v="579"/>
    <x v="0"/>
    <x v="1"/>
  </r>
  <r>
    <x v="580"/>
    <x v="103"/>
    <x v="1"/>
    <x v="0"/>
    <x v="13"/>
    <x v="6"/>
    <x v="5"/>
    <x v="3"/>
    <x v="1"/>
    <x v="5"/>
    <x v="573"/>
    <x v="0"/>
    <x v="579"/>
    <x v="580"/>
    <x v="580"/>
    <x v="1"/>
    <x v="10"/>
    <x v="0"/>
    <x v="0"/>
    <x v="0"/>
    <x v="1"/>
    <x v="0"/>
    <x v="0"/>
    <x v="580"/>
    <x v="0"/>
    <x v="0"/>
  </r>
  <r>
    <x v="581"/>
    <x v="226"/>
    <x v="1"/>
    <x v="1"/>
    <x v="15"/>
    <x v="5"/>
    <x v="4"/>
    <x v="2"/>
    <x v="1"/>
    <x v="6"/>
    <x v="574"/>
    <x v="4"/>
    <x v="580"/>
    <x v="581"/>
    <x v="581"/>
    <x v="17"/>
    <x v="7"/>
    <x v="0"/>
    <x v="0"/>
    <x v="0"/>
    <x v="1"/>
    <x v="1"/>
    <x v="1"/>
    <x v="581"/>
    <x v="1"/>
    <x v="1"/>
  </r>
  <r>
    <x v="582"/>
    <x v="142"/>
    <x v="0"/>
    <x v="4"/>
    <x v="8"/>
    <x v="5"/>
    <x v="4"/>
    <x v="2"/>
    <x v="1"/>
    <x v="3"/>
    <x v="575"/>
    <x v="0"/>
    <x v="581"/>
    <x v="582"/>
    <x v="582"/>
    <x v="6"/>
    <x v="7"/>
    <x v="0"/>
    <x v="1"/>
    <x v="1"/>
    <x v="0"/>
    <x v="0"/>
    <x v="4"/>
    <x v="582"/>
    <x v="4"/>
    <x v="1"/>
  </r>
  <r>
    <x v="583"/>
    <x v="90"/>
    <x v="1"/>
    <x v="4"/>
    <x v="11"/>
    <x v="3"/>
    <x v="3"/>
    <x v="0"/>
    <x v="0"/>
    <x v="2"/>
    <x v="576"/>
    <x v="2"/>
    <x v="582"/>
    <x v="583"/>
    <x v="583"/>
    <x v="4"/>
    <x v="9"/>
    <x v="0"/>
    <x v="0"/>
    <x v="0"/>
    <x v="0"/>
    <x v="1"/>
    <x v="4"/>
    <x v="583"/>
    <x v="4"/>
    <x v="1"/>
  </r>
  <r>
    <x v="584"/>
    <x v="46"/>
    <x v="1"/>
    <x v="2"/>
    <x v="2"/>
    <x v="8"/>
    <x v="7"/>
    <x v="2"/>
    <x v="0"/>
    <x v="2"/>
    <x v="577"/>
    <x v="0"/>
    <x v="583"/>
    <x v="584"/>
    <x v="584"/>
    <x v="18"/>
    <x v="0"/>
    <x v="0"/>
    <x v="0"/>
    <x v="0"/>
    <x v="1"/>
    <x v="0"/>
    <x v="2"/>
    <x v="584"/>
    <x v="2"/>
    <x v="1"/>
  </r>
  <r>
    <x v="585"/>
    <x v="102"/>
    <x v="2"/>
    <x v="1"/>
    <x v="1"/>
    <x v="3"/>
    <x v="3"/>
    <x v="0"/>
    <x v="0"/>
    <x v="0"/>
    <x v="578"/>
    <x v="1"/>
    <x v="584"/>
    <x v="585"/>
    <x v="585"/>
    <x v="16"/>
    <x v="9"/>
    <x v="0"/>
    <x v="0"/>
    <x v="0"/>
    <x v="0"/>
    <x v="0"/>
    <x v="1"/>
    <x v="585"/>
    <x v="1"/>
    <x v="1"/>
  </r>
  <r>
    <x v="586"/>
    <x v="291"/>
    <x v="1"/>
    <x v="0"/>
    <x v="18"/>
    <x v="6"/>
    <x v="5"/>
    <x v="3"/>
    <x v="1"/>
    <x v="6"/>
    <x v="579"/>
    <x v="0"/>
    <x v="585"/>
    <x v="586"/>
    <x v="586"/>
    <x v="16"/>
    <x v="1"/>
    <x v="0"/>
    <x v="0"/>
    <x v="0"/>
    <x v="0"/>
    <x v="0"/>
    <x v="0"/>
    <x v="586"/>
    <x v="0"/>
    <x v="0"/>
  </r>
  <r>
    <x v="587"/>
    <x v="143"/>
    <x v="1"/>
    <x v="4"/>
    <x v="16"/>
    <x v="2"/>
    <x v="2"/>
    <x v="1"/>
    <x v="0"/>
    <x v="4"/>
    <x v="580"/>
    <x v="1"/>
    <x v="586"/>
    <x v="587"/>
    <x v="587"/>
    <x v="19"/>
    <x v="7"/>
    <x v="0"/>
    <x v="1"/>
    <x v="1"/>
    <x v="0"/>
    <x v="0"/>
    <x v="4"/>
    <x v="587"/>
    <x v="4"/>
    <x v="1"/>
  </r>
  <r>
    <x v="588"/>
    <x v="77"/>
    <x v="0"/>
    <x v="0"/>
    <x v="0"/>
    <x v="2"/>
    <x v="2"/>
    <x v="1"/>
    <x v="1"/>
    <x v="1"/>
    <x v="581"/>
    <x v="0"/>
    <x v="587"/>
    <x v="588"/>
    <x v="588"/>
    <x v="14"/>
    <x v="8"/>
    <x v="0"/>
    <x v="0"/>
    <x v="0"/>
    <x v="1"/>
    <x v="0"/>
    <x v="0"/>
    <x v="588"/>
    <x v="0"/>
    <x v="1"/>
  </r>
  <r>
    <x v="589"/>
    <x v="293"/>
    <x v="1"/>
    <x v="4"/>
    <x v="8"/>
    <x v="5"/>
    <x v="4"/>
    <x v="2"/>
    <x v="3"/>
    <x v="5"/>
    <x v="582"/>
    <x v="0"/>
    <x v="588"/>
    <x v="589"/>
    <x v="589"/>
    <x v="5"/>
    <x v="4"/>
    <x v="0"/>
    <x v="1"/>
    <x v="1"/>
    <x v="1"/>
    <x v="0"/>
    <x v="4"/>
    <x v="589"/>
    <x v="4"/>
    <x v="1"/>
  </r>
  <r>
    <x v="590"/>
    <x v="12"/>
    <x v="0"/>
    <x v="4"/>
    <x v="11"/>
    <x v="1"/>
    <x v="1"/>
    <x v="0"/>
    <x v="1"/>
    <x v="4"/>
    <x v="583"/>
    <x v="0"/>
    <x v="589"/>
    <x v="590"/>
    <x v="590"/>
    <x v="24"/>
    <x v="0"/>
    <x v="0"/>
    <x v="1"/>
    <x v="1"/>
    <x v="0"/>
    <x v="0"/>
    <x v="4"/>
    <x v="590"/>
    <x v="4"/>
    <x v="1"/>
  </r>
  <r>
    <x v="591"/>
    <x v="167"/>
    <x v="0"/>
    <x v="4"/>
    <x v="19"/>
    <x v="6"/>
    <x v="5"/>
    <x v="3"/>
    <x v="2"/>
    <x v="1"/>
    <x v="584"/>
    <x v="1"/>
    <x v="590"/>
    <x v="591"/>
    <x v="591"/>
    <x v="24"/>
    <x v="10"/>
    <x v="0"/>
    <x v="1"/>
    <x v="1"/>
    <x v="0"/>
    <x v="0"/>
    <x v="4"/>
    <x v="591"/>
    <x v="4"/>
    <x v="1"/>
  </r>
  <r>
    <x v="592"/>
    <x v="266"/>
    <x v="1"/>
    <x v="1"/>
    <x v="10"/>
    <x v="2"/>
    <x v="2"/>
    <x v="1"/>
    <x v="0"/>
    <x v="2"/>
    <x v="585"/>
    <x v="1"/>
    <x v="591"/>
    <x v="592"/>
    <x v="592"/>
    <x v="4"/>
    <x v="10"/>
    <x v="0"/>
    <x v="0"/>
    <x v="0"/>
    <x v="0"/>
    <x v="0"/>
    <x v="1"/>
    <x v="592"/>
    <x v="1"/>
    <x v="1"/>
  </r>
  <r>
    <x v="593"/>
    <x v="222"/>
    <x v="2"/>
    <x v="3"/>
    <x v="7"/>
    <x v="6"/>
    <x v="5"/>
    <x v="3"/>
    <x v="0"/>
    <x v="4"/>
    <x v="586"/>
    <x v="0"/>
    <x v="592"/>
    <x v="593"/>
    <x v="593"/>
    <x v="20"/>
    <x v="0"/>
    <x v="0"/>
    <x v="0"/>
    <x v="0"/>
    <x v="0"/>
    <x v="0"/>
    <x v="3"/>
    <x v="593"/>
    <x v="3"/>
    <x v="1"/>
  </r>
  <r>
    <x v="594"/>
    <x v="242"/>
    <x v="0"/>
    <x v="0"/>
    <x v="13"/>
    <x v="7"/>
    <x v="6"/>
    <x v="2"/>
    <x v="2"/>
    <x v="1"/>
    <x v="587"/>
    <x v="4"/>
    <x v="593"/>
    <x v="594"/>
    <x v="594"/>
    <x v="18"/>
    <x v="4"/>
    <x v="0"/>
    <x v="0"/>
    <x v="0"/>
    <x v="1"/>
    <x v="1"/>
    <x v="0"/>
    <x v="594"/>
    <x v="0"/>
    <x v="1"/>
  </r>
  <r>
    <x v="595"/>
    <x v="34"/>
    <x v="0"/>
    <x v="1"/>
    <x v="15"/>
    <x v="0"/>
    <x v="0"/>
    <x v="0"/>
    <x v="1"/>
    <x v="2"/>
    <x v="588"/>
    <x v="3"/>
    <x v="594"/>
    <x v="595"/>
    <x v="595"/>
    <x v="13"/>
    <x v="2"/>
    <x v="0"/>
    <x v="0"/>
    <x v="0"/>
    <x v="1"/>
    <x v="0"/>
    <x v="1"/>
    <x v="595"/>
    <x v="1"/>
    <x v="1"/>
  </r>
  <r>
    <x v="596"/>
    <x v="221"/>
    <x v="2"/>
    <x v="1"/>
    <x v="15"/>
    <x v="8"/>
    <x v="7"/>
    <x v="2"/>
    <x v="3"/>
    <x v="2"/>
    <x v="589"/>
    <x v="3"/>
    <x v="595"/>
    <x v="596"/>
    <x v="596"/>
    <x v="5"/>
    <x v="9"/>
    <x v="0"/>
    <x v="0"/>
    <x v="0"/>
    <x v="1"/>
    <x v="0"/>
    <x v="1"/>
    <x v="596"/>
    <x v="1"/>
    <x v="1"/>
  </r>
  <r>
    <x v="597"/>
    <x v="264"/>
    <x v="0"/>
    <x v="1"/>
    <x v="5"/>
    <x v="3"/>
    <x v="3"/>
    <x v="0"/>
    <x v="2"/>
    <x v="2"/>
    <x v="153"/>
    <x v="0"/>
    <x v="596"/>
    <x v="597"/>
    <x v="597"/>
    <x v="25"/>
    <x v="10"/>
    <x v="0"/>
    <x v="0"/>
    <x v="0"/>
    <x v="1"/>
    <x v="0"/>
    <x v="1"/>
    <x v="597"/>
    <x v="1"/>
    <x v="1"/>
  </r>
  <r>
    <x v="598"/>
    <x v="294"/>
    <x v="1"/>
    <x v="1"/>
    <x v="15"/>
    <x v="6"/>
    <x v="5"/>
    <x v="3"/>
    <x v="2"/>
    <x v="2"/>
    <x v="590"/>
    <x v="0"/>
    <x v="597"/>
    <x v="598"/>
    <x v="598"/>
    <x v="0"/>
    <x v="5"/>
    <x v="0"/>
    <x v="0"/>
    <x v="0"/>
    <x v="0"/>
    <x v="0"/>
    <x v="1"/>
    <x v="598"/>
    <x v="1"/>
    <x v="1"/>
  </r>
  <r>
    <x v="599"/>
    <x v="157"/>
    <x v="1"/>
    <x v="1"/>
    <x v="10"/>
    <x v="0"/>
    <x v="0"/>
    <x v="0"/>
    <x v="1"/>
    <x v="3"/>
    <x v="591"/>
    <x v="3"/>
    <x v="598"/>
    <x v="599"/>
    <x v="599"/>
    <x v="11"/>
    <x v="8"/>
    <x v="0"/>
    <x v="0"/>
    <x v="1"/>
    <x v="1"/>
    <x v="0"/>
    <x v="1"/>
    <x v="599"/>
    <x v="1"/>
    <x v="1"/>
  </r>
  <r>
    <x v="600"/>
    <x v="203"/>
    <x v="1"/>
    <x v="2"/>
    <x v="12"/>
    <x v="7"/>
    <x v="6"/>
    <x v="2"/>
    <x v="0"/>
    <x v="2"/>
    <x v="592"/>
    <x v="3"/>
    <x v="599"/>
    <x v="600"/>
    <x v="600"/>
    <x v="2"/>
    <x v="2"/>
    <x v="0"/>
    <x v="0"/>
    <x v="0"/>
    <x v="1"/>
    <x v="0"/>
    <x v="2"/>
    <x v="600"/>
    <x v="2"/>
    <x v="1"/>
  </r>
  <r>
    <x v="601"/>
    <x v="84"/>
    <x v="0"/>
    <x v="0"/>
    <x v="13"/>
    <x v="3"/>
    <x v="3"/>
    <x v="0"/>
    <x v="1"/>
    <x v="0"/>
    <x v="593"/>
    <x v="1"/>
    <x v="600"/>
    <x v="601"/>
    <x v="601"/>
    <x v="24"/>
    <x v="1"/>
    <x v="0"/>
    <x v="0"/>
    <x v="0"/>
    <x v="0"/>
    <x v="0"/>
    <x v="0"/>
    <x v="601"/>
    <x v="0"/>
    <x v="1"/>
  </r>
  <r>
    <x v="602"/>
    <x v="295"/>
    <x v="0"/>
    <x v="1"/>
    <x v="10"/>
    <x v="6"/>
    <x v="5"/>
    <x v="3"/>
    <x v="2"/>
    <x v="4"/>
    <x v="594"/>
    <x v="4"/>
    <x v="601"/>
    <x v="602"/>
    <x v="602"/>
    <x v="25"/>
    <x v="3"/>
    <x v="0"/>
    <x v="0"/>
    <x v="1"/>
    <x v="1"/>
    <x v="1"/>
    <x v="1"/>
    <x v="602"/>
    <x v="1"/>
    <x v="1"/>
  </r>
  <r>
    <x v="603"/>
    <x v="151"/>
    <x v="1"/>
    <x v="0"/>
    <x v="6"/>
    <x v="5"/>
    <x v="4"/>
    <x v="2"/>
    <x v="2"/>
    <x v="1"/>
    <x v="595"/>
    <x v="1"/>
    <x v="602"/>
    <x v="603"/>
    <x v="603"/>
    <x v="19"/>
    <x v="10"/>
    <x v="0"/>
    <x v="0"/>
    <x v="0"/>
    <x v="0"/>
    <x v="0"/>
    <x v="0"/>
    <x v="603"/>
    <x v="0"/>
    <x v="1"/>
  </r>
  <r>
    <x v="604"/>
    <x v="90"/>
    <x v="1"/>
    <x v="2"/>
    <x v="14"/>
    <x v="0"/>
    <x v="0"/>
    <x v="0"/>
    <x v="0"/>
    <x v="0"/>
    <x v="596"/>
    <x v="3"/>
    <x v="603"/>
    <x v="604"/>
    <x v="604"/>
    <x v="10"/>
    <x v="9"/>
    <x v="0"/>
    <x v="0"/>
    <x v="0"/>
    <x v="0"/>
    <x v="0"/>
    <x v="2"/>
    <x v="604"/>
    <x v="2"/>
    <x v="1"/>
  </r>
  <r>
    <x v="605"/>
    <x v="232"/>
    <x v="0"/>
    <x v="2"/>
    <x v="2"/>
    <x v="3"/>
    <x v="3"/>
    <x v="0"/>
    <x v="0"/>
    <x v="3"/>
    <x v="597"/>
    <x v="1"/>
    <x v="604"/>
    <x v="605"/>
    <x v="605"/>
    <x v="7"/>
    <x v="5"/>
    <x v="0"/>
    <x v="0"/>
    <x v="0"/>
    <x v="1"/>
    <x v="0"/>
    <x v="2"/>
    <x v="605"/>
    <x v="2"/>
    <x v="1"/>
  </r>
  <r>
    <x v="606"/>
    <x v="214"/>
    <x v="1"/>
    <x v="0"/>
    <x v="6"/>
    <x v="6"/>
    <x v="5"/>
    <x v="3"/>
    <x v="0"/>
    <x v="0"/>
    <x v="598"/>
    <x v="1"/>
    <x v="605"/>
    <x v="606"/>
    <x v="606"/>
    <x v="17"/>
    <x v="4"/>
    <x v="0"/>
    <x v="0"/>
    <x v="0"/>
    <x v="1"/>
    <x v="0"/>
    <x v="0"/>
    <x v="606"/>
    <x v="0"/>
    <x v="1"/>
  </r>
  <r>
    <x v="607"/>
    <x v="296"/>
    <x v="0"/>
    <x v="4"/>
    <x v="8"/>
    <x v="0"/>
    <x v="0"/>
    <x v="0"/>
    <x v="1"/>
    <x v="6"/>
    <x v="599"/>
    <x v="2"/>
    <x v="606"/>
    <x v="607"/>
    <x v="607"/>
    <x v="22"/>
    <x v="4"/>
    <x v="0"/>
    <x v="0"/>
    <x v="0"/>
    <x v="1"/>
    <x v="1"/>
    <x v="4"/>
    <x v="607"/>
    <x v="4"/>
    <x v="1"/>
  </r>
  <r>
    <x v="608"/>
    <x v="291"/>
    <x v="1"/>
    <x v="3"/>
    <x v="3"/>
    <x v="7"/>
    <x v="6"/>
    <x v="2"/>
    <x v="0"/>
    <x v="6"/>
    <x v="600"/>
    <x v="1"/>
    <x v="607"/>
    <x v="608"/>
    <x v="608"/>
    <x v="1"/>
    <x v="1"/>
    <x v="0"/>
    <x v="0"/>
    <x v="0"/>
    <x v="1"/>
    <x v="0"/>
    <x v="3"/>
    <x v="608"/>
    <x v="3"/>
    <x v="1"/>
  </r>
  <r>
    <x v="609"/>
    <x v="191"/>
    <x v="0"/>
    <x v="4"/>
    <x v="19"/>
    <x v="6"/>
    <x v="5"/>
    <x v="3"/>
    <x v="2"/>
    <x v="6"/>
    <x v="601"/>
    <x v="1"/>
    <x v="608"/>
    <x v="609"/>
    <x v="609"/>
    <x v="22"/>
    <x v="0"/>
    <x v="0"/>
    <x v="0"/>
    <x v="0"/>
    <x v="1"/>
    <x v="0"/>
    <x v="4"/>
    <x v="609"/>
    <x v="4"/>
    <x v="1"/>
  </r>
  <r>
    <x v="610"/>
    <x v="244"/>
    <x v="2"/>
    <x v="4"/>
    <x v="11"/>
    <x v="6"/>
    <x v="5"/>
    <x v="3"/>
    <x v="2"/>
    <x v="5"/>
    <x v="602"/>
    <x v="0"/>
    <x v="609"/>
    <x v="610"/>
    <x v="610"/>
    <x v="8"/>
    <x v="11"/>
    <x v="0"/>
    <x v="1"/>
    <x v="1"/>
    <x v="1"/>
    <x v="0"/>
    <x v="4"/>
    <x v="610"/>
    <x v="4"/>
    <x v="1"/>
  </r>
  <r>
    <x v="611"/>
    <x v="297"/>
    <x v="0"/>
    <x v="4"/>
    <x v="11"/>
    <x v="6"/>
    <x v="5"/>
    <x v="3"/>
    <x v="3"/>
    <x v="6"/>
    <x v="603"/>
    <x v="1"/>
    <x v="610"/>
    <x v="611"/>
    <x v="611"/>
    <x v="19"/>
    <x v="9"/>
    <x v="0"/>
    <x v="1"/>
    <x v="1"/>
    <x v="0"/>
    <x v="0"/>
    <x v="4"/>
    <x v="611"/>
    <x v="4"/>
    <x v="1"/>
  </r>
  <r>
    <x v="612"/>
    <x v="83"/>
    <x v="0"/>
    <x v="1"/>
    <x v="10"/>
    <x v="9"/>
    <x v="8"/>
    <x v="2"/>
    <x v="1"/>
    <x v="1"/>
    <x v="604"/>
    <x v="1"/>
    <x v="611"/>
    <x v="612"/>
    <x v="612"/>
    <x v="17"/>
    <x v="4"/>
    <x v="0"/>
    <x v="0"/>
    <x v="0"/>
    <x v="1"/>
    <x v="0"/>
    <x v="1"/>
    <x v="612"/>
    <x v="1"/>
    <x v="1"/>
  </r>
  <r>
    <x v="613"/>
    <x v="247"/>
    <x v="0"/>
    <x v="2"/>
    <x v="4"/>
    <x v="5"/>
    <x v="4"/>
    <x v="2"/>
    <x v="3"/>
    <x v="0"/>
    <x v="605"/>
    <x v="2"/>
    <x v="612"/>
    <x v="613"/>
    <x v="613"/>
    <x v="4"/>
    <x v="6"/>
    <x v="0"/>
    <x v="0"/>
    <x v="0"/>
    <x v="0"/>
    <x v="1"/>
    <x v="2"/>
    <x v="613"/>
    <x v="2"/>
    <x v="1"/>
  </r>
  <r>
    <x v="614"/>
    <x v="143"/>
    <x v="0"/>
    <x v="4"/>
    <x v="11"/>
    <x v="7"/>
    <x v="6"/>
    <x v="2"/>
    <x v="2"/>
    <x v="1"/>
    <x v="606"/>
    <x v="2"/>
    <x v="613"/>
    <x v="614"/>
    <x v="614"/>
    <x v="14"/>
    <x v="7"/>
    <x v="0"/>
    <x v="1"/>
    <x v="1"/>
    <x v="1"/>
    <x v="1"/>
    <x v="4"/>
    <x v="614"/>
    <x v="4"/>
    <x v="1"/>
  </r>
  <r>
    <x v="615"/>
    <x v="234"/>
    <x v="2"/>
    <x v="2"/>
    <x v="2"/>
    <x v="3"/>
    <x v="3"/>
    <x v="0"/>
    <x v="3"/>
    <x v="4"/>
    <x v="607"/>
    <x v="2"/>
    <x v="614"/>
    <x v="615"/>
    <x v="615"/>
    <x v="21"/>
    <x v="1"/>
    <x v="0"/>
    <x v="0"/>
    <x v="0"/>
    <x v="0"/>
    <x v="1"/>
    <x v="2"/>
    <x v="615"/>
    <x v="2"/>
    <x v="1"/>
  </r>
  <r>
    <x v="616"/>
    <x v="298"/>
    <x v="2"/>
    <x v="0"/>
    <x v="6"/>
    <x v="9"/>
    <x v="8"/>
    <x v="2"/>
    <x v="2"/>
    <x v="6"/>
    <x v="608"/>
    <x v="2"/>
    <x v="576"/>
    <x v="616"/>
    <x v="616"/>
    <x v="24"/>
    <x v="0"/>
    <x v="0"/>
    <x v="0"/>
    <x v="0"/>
    <x v="0"/>
    <x v="1"/>
    <x v="0"/>
    <x v="616"/>
    <x v="0"/>
    <x v="1"/>
  </r>
  <r>
    <x v="617"/>
    <x v="234"/>
    <x v="0"/>
    <x v="3"/>
    <x v="3"/>
    <x v="1"/>
    <x v="1"/>
    <x v="0"/>
    <x v="3"/>
    <x v="3"/>
    <x v="609"/>
    <x v="0"/>
    <x v="615"/>
    <x v="617"/>
    <x v="617"/>
    <x v="8"/>
    <x v="1"/>
    <x v="0"/>
    <x v="1"/>
    <x v="1"/>
    <x v="1"/>
    <x v="0"/>
    <x v="3"/>
    <x v="617"/>
    <x v="3"/>
    <x v="1"/>
  </r>
  <r>
    <x v="618"/>
    <x v="225"/>
    <x v="0"/>
    <x v="0"/>
    <x v="13"/>
    <x v="9"/>
    <x v="8"/>
    <x v="2"/>
    <x v="0"/>
    <x v="5"/>
    <x v="610"/>
    <x v="1"/>
    <x v="616"/>
    <x v="618"/>
    <x v="618"/>
    <x v="25"/>
    <x v="8"/>
    <x v="0"/>
    <x v="0"/>
    <x v="0"/>
    <x v="1"/>
    <x v="0"/>
    <x v="0"/>
    <x v="618"/>
    <x v="0"/>
    <x v="0"/>
  </r>
  <r>
    <x v="619"/>
    <x v="299"/>
    <x v="1"/>
    <x v="0"/>
    <x v="18"/>
    <x v="8"/>
    <x v="7"/>
    <x v="2"/>
    <x v="3"/>
    <x v="4"/>
    <x v="611"/>
    <x v="2"/>
    <x v="617"/>
    <x v="619"/>
    <x v="619"/>
    <x v="16"/>
    <x v="2"/>
    <x v="0"/>
    <x v="0"/>
    <x v="0"/>
    <x v="0"/>
    <x v="1"/>
    <x v="0"/>
    <x v="619"/>
    <x v="0"/>
    <x v="0"/>
  </r>
  <r>
    <x v="620"/>
    <x v="179"/>
    <x v="2"/>
    <x v="1"/>
    <x v="15"/>
    <x v="8"/>
    <x v="7"/>
    <x v="2"/>
    <x v="0"/>
    <x v="3"/>
    <x v="612"/>
    <x v="2"/>
    <x v="618"/>
    <x v="620"/>
    <x v="620"/>
    <x v="4"/>
    <x v="1"/>
    <x v="0"/>
    <x v="0"/>
    <x v="0"/>
    <x v="0"/>
    <x v="1"/>
    <x v="1"/>
    <x v="620"/>
    <x v="1"/>
    <x v="1"/>
  </r>
  <r>
    <x v="621"/>
    <x v="210"/>
    <x v="1"/>
    <x v="3"/>
    <x v="7"/>
    <x v="6"/>
    <x v="5"/>
    <x v="3"/>
    <x v="0"/>
    <x v="5"/>
    <x v="613"/>
    <x v="2"/>
    <x v="619"/>
    <x v="621"/>
    <x v="621"/>
    <x v="15"/>
    <x v="5"/>
    <x v="0"/>
    <x v="0"/>
    <x v="0"/>
    <x v="0"/>
    <x v="1"/>
    <x v="3"/>
    <x v="621"/>
    <x v="3"/>
    <x v="1"/>
  </r>
  <r>
    <x v="622"/>
    <x v="125"/>
    <x v="0"/>
    <x v="0"/>
    <x v="6"/>
    <x v="9"/>
    <x v="8"/>
    <x v="2"/>
    <x v="1"/>
    <x v="4"/>
    <x v="614"/>
    <x v="0"/>
    <x v="620"/>
    <x v="622"/>
    <x v="622"/>
    <x v="22"/>
    <x v="8"/>
    <x v="0"/>
    <x v="0"/>
    <x v="0"/>
    <x v="1"/>
    <x v="0"/>
    <x v="0"/>
    <x v="622"/>
    <x v="0"/>
    <x v="1"/>
  </r>
  <r>
    <x v="623"/>
    <x v="296"/>
    <x v="0"/>
    <x v="0"/>
    <x v="6"/>
    <x v="1"/>
    <x v="1"/>
    <x v="0"/>
    <x v="0"/>
    <x v="0"/>
    <x v="615"/>
    <x v="1"/>
    <x v="527"/>
    <x v="623"/>
    <x v="623"/>
    <x v="5"/>
    <x v="4"/>
    <x v="0"/>
    <x v="0"/>
    <x v="0"/>
    <x v="1"/>
    <x v="0"/>
    <x v="0"/>
    <x v="623"/>
    <x v="0"/>
    <x v="1"/>
  </r>
  <r>
    <x v="624"/>
    <x v="57"/>
    <x v="1"/>
    <x v="3"/>
    <x v="17"/>
    <x v="9"/>
    <x v="8"/>
    <x v="2"/>
    <x v="0"/>
    <x v="1"/>
    <x v="616"/>
    <x v="2"/>
    <x v="621"/>
    <x v="624"/>
    <x v="624"/>
    <x v="19"/>
    <x v="7"/>
    <x v="0"/>
    <x v="1"/>
    <x v="1"/>
    <x v="0"/>
    <x v="1"/>
    <x v="3"/>
    <x v="624"/>
    <x v="3"/>
    <x v="1"/>
  </r>
  <r>
    <x v="625"/>
    <x v="74"/>
    <x v="0"/>
    <x v="3"/>
    <x v="3"/>
    <x v="5"/>
    <x v="4"/>
    <x v="2"/>
    <x v="3"/>
    <x v="2"/>
    <x v="617"/>
    <x v="0"/>
    <x v="622"/>
    <x v="625"/>
    <x v="625"/>
    <x v="24"/>
    <x v="4"/>
    <x v="0"/>
    <x v="0"/>
    <x v="0"/>
    <x v="0"/>
    <x v="0"/>
    <x v="3"/>
    <x v="625"/>
    <x v="3"/>
    <x v="1"/>
  </r>
  <r>
    <x v="626"/>
    <x v="139"/>
    <x v="1"/>
    <x v="0"/>
    <x v="0"/>
    <x v="5"/>
    <x v="4"/>
    <x v="2"/>
    <x v="2"/>
    <x v="1"/>
    <x v="618"/>
    <x v="4"/>
    <x v="623"/>
    <x v="626"/>
    <x v="626"/>
    <x v="1"/>
    <x v="0"/>
    <x v="0"/>
    <x v="0"/>
    <x v="0"/>
    <x v="1"/>
    <x v="1"/>
    <x v="0"/>
    <x v="626"/>
    <x v="0"/>
    <x v="1"/>
  </r>
  <r>
    <x v="627"/>
    <x v="269"/>
    <x v="0"/>
    <x v="3"/>
    <x v="7"/>
    <x v="1"/>
    <x v="1"/>
    <x v="0"/>
    <x v="1"/>
    <x v="6"/>
    <x v="619"/>
    <x v="1"/>
    <x v="624"/>
    <x v="627"/>
    <x v="627"/>
    <x v="3"/>
    <x v="5"/>
    <x v="0"/>
    <x v="0"/>
    <x v="0"/>
    <x v="0"/>
    <x v="0"/>
    <x v="3"/>
    <x v="627"/>
    <x v="3"/>
    <x v="1"/>
  </r>
  <r>
    <x v="628"/>
    <x v="139"/>
    <x v="1"/>
    <x v="0"/>
    <x v="0"/>
    <x v="9"/>
    <x v="8"/>
    <x v="2"/>
    <x v="0"/>
    <x v="3"/>
    <x v="620"/>
    <x v="1"/>
    <x v="625"/>
    <x v="628"/>
    <x v="628"/>
    <x v="1"/>
    <x v="0"/>
    <x v="0"/>
    <x v="0"/>
    <x v="0"/>
    <x v="1"/>
    <x v="0"/>
    <x v="0"/>
    <x v="628"/>
    <x v="0"/>
    <x v="1"/>
  </r>
  <r>
    <x v="629"/>
    <x v="140"/>
    <x v="0"/>
    <x v="0"/>
    <x v="18"/>
    <x v="0"/>
    <x v="0"/>
    <x v="0"/>
    <x v="1"/>
    <x v="2"/>
    <x v="621"/>
    <x v="1"/>
    <x v="626"/>
    <x v="629"/>
    <x v="629"/>
    <x v="1"/>
    <x v="8"/>
    <x v="0"/>
    <x v="0"/>
    <x v="0"/>
    <x v="1"/>
    <x v="0"/>
    <x v="0"/>
    <x v="629"/>
    <x v="0"/>
    <x v="1"/>
  </r>
  <r>
    <x v="630"/>
    <x v="70"/>
    <x v="1"/>
    <x v="1"/>
    <x v="15"/>
    <x v="5"/>
    <x v="4"/>
    <x v="2"/>
    <x v="3"/>
    <x v="5"/>
    <x v="622"/>
    <x v="2"/>
    <x v="627"/>
    <x v="630"/>
    <x v="630"/>
    <x v="17"/>
    <x v="0"/>
    <x v="0"/>
    <x v="0"/>
    <x v="0"/>
    <x v="1"/>
    <x v="1"/>
    <x v="1"/>
    <x v="630"/>
    <x v="1"/>
    <x v="1"/>
  </r>
  <r>
    <x v="631"/>
    <x v="98"/>
    <x v="1"/>
    <x v="4"/>
    <x v="8"/>
    <x v="5"/>
    <x v="4"/>
    <x v="2"/>
    <x v="0"/>
    <x v="0"/>
    <x v="623"/>
    <x v="1"/>
    <x v="628"/>
    <x v="631"/>
    <x v="631"/>
    <x v="1"/>
    <x v="4"/>
    <x v="0"/>
    <x v="0"/>
    <x v="1"/>
    <x v="1"/>
    <x v="0"/>
    <x v="4"/>
    <x v="631"/>
    <x v="4"/>
    <x v="1"/>
  </r>
  <r>
    <x v="632"/>
    <x v="264"/>
    <x v="1"/>
    <x v="0"/>
    <x v="0"/>
    <x v="2"/>
    <x v="2"/>
    <x v="1"/>
    <x v="3"/>
    <x v="0"/>
    <x v="624"/>
    <x v="1"/>
    <x v="629"/>
    <x v="632"/>
    <x v="632"/>
    <x v="13"/>
    <x v="10"/>
    <x v="0"/>
    <x v="0"/>
    <x v="0"/>
    <x v="1"/>
    <x v="0"/>
    <x v="0"/>
    <x v="632"/>
    <x v="0"/>
    <x v="1"/>
  </r>
  <r>
    <x v="633"/>
    <x v="242"/>
    <x v="0"/>
    <x v="2"/>
    <x v="4"/>
    <x v="9"/>
    <x v="8"/>
    <x v="2"/>
    <x v="1"/>
    <x v="5"/>
    <x v="625"/>
    <x v="4"/>
    <x v="630"/>
    <x v="633"/>
    <x v="633"/>
    <x v="9"/>
    <x v="4"/>
    <x v="0"/>
    <x v="0"/>
    <x v="0"/>
    <x v="1"/>
    <x v="1"/>
    <x v="2"/>
    <x v="633"/>
    <x v="2"/>
    <x v="1"/>
  </r>
  <r>
    <x v="634"/>
    <x v="70"/>
    <x v="1"/>
    <x v="4"/>
    <x v="11"/>
    <x v="5"/>
    <x v="4"/>
    <x v="2"/>
    <x v="3"/>
    <x v="6"/>
    <x v="626"/>
    <x v="1"/>
    <x v="631"/>
    <x v="634"/>
    <x v="634"/>
    <x v="1"/>
    <x v="0"/>
    <x v="0"/>
    <x v="0"/>
    <x v="0"/>
    <x v="1"/>
    <x v="0"/>
    <x v="4"/>
    <x v="634"/>
    <x v="4"/>
    <x v="1"/>
  </r>
  <r>
    <x v="635"/>
    <x v="177"/>
    <x v="1"/>
    <x v="4"/>
    <x v="8"/>
    <x v="7"/>
    <x v="6"/>
    <x v="2"/>
    <x v="1"/>
    <x v="5"/>
    <x v="627"/>
    <x v="2"/>
    <x v="632"/>
    <x v="635"/>
    <x v="635"/>
    <x v="0"/>
    <x v="5"/>
    <x v="0"/>
    <x v="1"/>
    <x v="1"/>
    <x v="0"/>
    <x v="1"/>
    <x v="4"/>
    <x v="635"/>
    <x v="4"/>
    <x v="1"/>
  </r>
  <r>
    <x v="636"/>
    <x v="27"/>
    <x v="1"/>
    <x v="4"/>
    <x v="8"/>
    <x v="9"/>
    <x v="8"/>
    <x v="2"/>
    <x v="3"/>
    <x v="4"/>
    <x v="628"/>
    <x v="3"/>
    <x v="633"/>
    <x v="636"/>
    <x v="636"/>
    <x v="15"/>
    <x v="3"/>
    <x v="0"/>
    <x v="1"/>
    <x v="1"/>
    <x v="0"/>
    <x v="0"/>
    <x v="4"/>
    <x v="636"/>
    <x v="4"/>
    <x v="1"/>
  </r>
  <r>
    <x v="637"/>
    <x v="193"/>
    <x v="1"/>
    <x v="1"/>
    <x v="1"/>
    <x v="8"/>
    <x v="7"/>
    <x v="2"/>
    <x v="1"/>
    <x v="3"/>
    <x v="629"/>
    <x v="2"/>
    <x v="634"/>
    <x v="637"/>
    <x v="637"/>
    <x v="16"/>
    <x v="7"/>
    <x v="0"/>
    <x v="1"/>
    <x v="1"/>
    <x v="0"/>
    <x v="1"/>
    <x v="1"/>
    <x v="637"/>
    <x v="1"/>
    <x v="1"/>
  </r>
  <r>
    <x v="638"/>
    <x v="123"/>
    <x v="1"/>
    <x v="0"/>
    <x v="6"/>
    <x v="2"/>
    <x v="2"/>
    <x v="1"/>
    <x v="2"/>
    <x v="3"/>
    <x v="630"/>
    <x v="0"/>
    <x v="635"/>
    <x v="438"/>
    <x v="638"/>
    <x v="24"/>
    <x v="8"/>
    <x v="0"/>
    <x v="0"/>
    <x v="0"/>
    <x v="0"/>
    <x v="0"/>
    <x v="0"/>
    <x v="638"/>
    <x v="0"/>
    <x v="1"/>
  </r>
  <r>
    <x v="639"/>
    <x v="249"/>
    <x v="2"/>
    <x v="1"/>
    <x v="10"/>
    <x v="5"/>
    <x v="4"/>
    <x v="2"/>
    <x v="3"/>
    <x v="6"/>
    <x v="631"/>
    <x v="2"/>
    <x v="636"/>
    <x v="638"/>
    <x v="639"/>
    <x v="14"/>
    <x v="8"/>
    <x v="0"/>
    <x v="0"/>
    <x v="0"/>
    <x v="1"/>
    <x v="1"/>
    <x v="1"/>
    <x v="639"/>
    <x v="1"/>
    <x v="1"/>
  </r>
  <r>
    <x v="640"/>
    <x v="1"/>
    <x v="0"/>
    <x v="0"/>
    <x v="6"/>
    <x v="2"/>
    <x v="2"/>
    <x v="1"/>
    <x v="3"/>
    <x v="2"/>
    <x v="632"/>
    <x v="2"/>
    <x v="637"/>
    <x v="639"/>
    <x v="640"/>
    <x v="7"/>
    <x v="1"/>
    <x v="0"/>
    <x v="0"/>
    <x v="0"/>
    <x v="1"/>
    <x v="1"/>
    <x v="0"/>
    <x v="640"/>
    <x v="0"/>
    <x v="1"/>
  </r>
  <r>
    <x v="641"/>
    <x v="255"/>
    <x v="2"/>
    <x v="1"/>
    <x v="5"/>
    <x v="8"/>
    <x v="7"/>
    <x v="2"/>
    <x v="2"/>
    <x v="5"/>
    <x v="633"/>
    <x v="1"/>
    <x v="638"/>
    <x v="640"/>
    <x v="641"/>
    <x v="0"/>
    <x v="2"/>
    <x v="0"/>
    <x v="0"/>
    <x v="0"/>
    <x v="0"/>
    <x v="0"/>
    <x v="1"/>
    <x v="641"/>
    <x v="1"/>
    <x v="1"/>
  </r>
  <r>
    <x v="642"/>
    <x v="261"/>
    <x v="1"/>
    <x v="1"/>
    <x v="10"/>
    <x v="1"/>
    <x v="1"/>
    <x v="0"/>
    <x v="2"/>
    <x v="6"/>
    <x v="634"/>
    <x v="1"/>
    <x v="639"/>
    <x v="641"/>
    <x v="642"/>
    <x v="7"/>
    <x v="8"/>
    <x v="0"/>
    <x v="0"/>
    <x v="0"/>
    <x v="1"/>
    <x v="0"/>
    <x v="1"/>
    <x v="642"/>
    <x v="1"/>
    <x v="1"/>
  </r>
  <r>
    <x v="643"/>
    <x v="125"/>
    <x v="0"/>
    <x v="2"/>
    <x v="2"/>
    <x v="1"/>
    <x v="1"/>
    <x v="0"/>
    <x v="3"/>
    <x v="3"/>
    <x v="635"/>
    <x v="3"/>
    <x v="640"/>
    <x v="642"/>
    <x v="643"/>
    <x v="22"/>
    <x v="8"/>
    <x v="0"/>
    <x v="0"/>
    <x v="0"/>
    <x v="1"/>
    <x v="0"/>
    <x v="2"/>
    <x v="643"/>
    <x v="2"/>
    <x v="1"/>
  </r>
  <r>
    <x v="644"/>
    <x v="244"/>
    <x v="0"/>
    <x v="1"/>
    <x v="5"/>
    <x v="9"/>
    <x v="8"/>
    <x v="2"/>
    <x v="2"/>
    <x v="2"/>
    <x v="636"/>
    <x v="0"/>
    <x v="641"/>
    <x v="643"/>
    <x v="644"/>
    <x v="11"/>
    <x v="11"/>
    <x v="0"/>
    <x v="0"/>
    <x v="0"/>
    <x v="1"/>
    <x v="0"/>
    <x v="1"/>
    <x v="644"/>
    <x v="1"/>
    <x v="1"/>
  </r>
  <r>
    <x v="645"/>
    <x v="265"/>
    <x v="0"/>
    <x v="3"/>
    <x v="7"/>
    <x v="8"/>
    <x v="7"/>
    <x v="2"/>
    <x v="0"/>
    <x v="5"/>
    <x v="637"/>
    <x v="2"/>
    <x v="642"/>
    <x v="644"/>
    <x v="645"/>
    <x v="6"/>
    <x v="4"/>
    <x v="0"/>
    <x v="0"/>
    <x v="0"/>
    <x v="0"/>
    <x v="1"/>
    <x v="3"/>
    <x v="645"/>
    <x v="3"/>
    <x v="1"/>
  </r>
  <r>
    <x v="646"/>
    <x v="300"/>
    <x v="1"/>
    <x v="2"/>
    <x v="2"/>
    <x v="4"/>
    <x v="1"/>
    <x v="0"/>
    <x v="1"/>
    <x v="0"/>
    <x v="638"/>
    <x v="0"/>
    <x v="643"/>
    <x v="645"/>
    <x v="646"/>
    <x v="2"/>
    <x v="9"/>
    <x v="0"/>
    <x v="0"/>
    <x v="0"/>
    <x v="1"/>
    <x v="0"/>
    <x v="2"/>
    <x v="646"/>
    <x v="2"/>
    <x v="1"/>
  </r>
  <r>
    <x v="647"/>
    <x v="86"/>
    <x v="1"/>
    <x v="1"/>
    <x v="10"/>
    <x v="4"/>
    <x v="1"/>
    <x v="0"/>
    <x v="1"/>
    <x v="5"/>
    <x v="639"/>
    <x v="0"/>
    <x v="644"/>
    <x v="646"/>
    <x v="647"/>
    <x v="6"/>
    <x v="6"/>
    <x v="0"/>
    <x v="0"/>
    <x v="0"/>
    <x v="0"/>
    <x v="0"/>
    <x v="1"/>
    <x v="647"/>
    <x v="1"/>
    <x v="1"/>
  </r>
  <r>
    <x v="648"/>
    <x v="161"/>
    <x v="1"/>
    <x v="4"/>
    <x v="8"/>
    <x v="9"/>
    <x v="8"/>
    <x v="2"/>
    <x v="1"/>
    <x v="1"/>
    <x v="640"/>
    <x v="1"/>
    <x v="645"/>
    <x v="647"/>
    <x v="648"/>
    <x v="21"/>
    <x v="8"/>
    <x v="0"/>
    <x v="0"/>
    <x v="0"/>
    <x v="0"/>
    <x v="0"/>
    <x v="4"/>
    <x v="648"/>
    <x v="4"/>
    <x v="1"/>
  </r>
  <r>
    <x v="649"/>
    <x v="49"/>
    <x v="1"/>
    <x v="3"/>
    <x v="7"/>
    <x v="6"/>
    <x v="5"/>
    <x v="3"/>
    <x v="0"/>
    <x v="5"/>
    <x v="641"/>
    <x v="2"/>
    <x v="646"/>
    <x v="648"/>
    <x v="649"/>
    <x v="15"/>
    <x v="2"/>
    <x v="0"/>
    <x v="1"/>
    <x v="1"/>
    <x v="0"/>
    <x v="1"/>
    <x v="3"/>
    <x v="649"/>
    <x v="3"/>
    <x v="1"/>
  </r>
  <r>
    <x v="650"/>
    <x v="0"/>
    <x v="0"/>
    <x v="3"/>
    <x v="3"/>
    <x v="2"/>
    <x v="2"/>
    <x v="1"/>
    <x v="2"/>
    <x v="1"/>
    <x v="642"/>
    <x v="4"/>
    <x v="647"/>
    <x v="649"/>
    <x v="650"/>
    <x v="0"/>
    <x v="0"/>
    <x v="0"/>
    <x v="0"/>
    <x v="1"/>
    <x v="0"/>
    <x v="1"/>
    <x v="3"/>
    <x v="650"/>
    <x v="3"/>
    <x v="1"/>
  </r>
  <r>
    <x v="651"/>
    <x v="80"/>
    <x v="0"/>
    <x v="3"/>
    <x v="17"/>
    <x v="2"/>
    <x v="2"/>
    <x v="1"/>
    <x v="2"/>
    <x v="2"/>
    <x v="643"/>
    <x v="3"/>
    <x v="648"/>
    <x v="650"/>
    <x v="651"/>
    <x v="16"/>
    <x v="11"/>
    <x v="0"/>
    <x v="0"/>
    <x v="1"/>
    <x v="0"/>
    <x v="0"/>
    <x v="3"/>
    <x v="651"/>
    <x v="3"/>
    <x v="1"/>
  </r>
  <r>
    <x v="652"/>
    <x v="192"/>
    <x v="0"/>
    <x v="2"/>
    <x v="2"/>
    <x v="1"/>
    <x v="1"/>
    <x v="0"/>
    <x v="3"/>
    <x v="5"/>
    <x v="644"/>
    <x v="0"/>
    <x v="649"/>
    <x v="651"/>
    <x v="652"/>
    <x v="12"/>
    <x v="5"/>
    <x v="0"/>
    <x v="0"/>
    <x v="0"/>
    <x v="1"/>
    <x v="0"/>
    <x v="2"/>
    <x v="652"/>
    <x v="2"/>
    <x v="1"/>
  </r>
  <r>
    <x v="653"/>
    <x v="6"/>
    <x v="0"/>
    <x v="1"/>
    <x v="15"/>
    <x v="4"/>
    <x v="1"/>
    <x v="0"/>
    <x v="2"/>
    <x v="2"/>
    <x v="645"/>
    <x v="1"/>
    <x v="650"/>
    <x v="652"/>
    <x v="653"/>
    <x v="13"/>
    <x v="0"/>
    <x v="0"/>
    <x v="0"/>
    <x v="0"/>
    <x v="1"/>
    <x v="0"/>
    <x v="1"/>
    <x v="653"/>
    <x v="1"/>
    <x v="1"/>
  </r>
  <r>
    <x v="654"/>
    <x v="166"/>
    <x v="0"/>
    <x v="1"/>
    <x v="10"/>
    <x v="3"/>
    <x v="3"/>
    <x v="0"/>
    <x v="3"/>
    <x v="2"/>
    <x v="646"/>
    <x v="0"/>
    <x v="651"/>
    <x v="653"/>
    <x v="654"/>
    <x v="0"/>
    <x v="11"/>
    <x v="0"/>
    <x v="0"/>
    <x v="0"/>
    <x v="0"/>
    <x v="0"/>
    <x v="1"/>
    <x v="654"/>
    <x v="1"/>
    <x v="1"/>
  </r>
  <r>
    <x v="655"/>
    <x v="160"/>
    <x v="0"/>
    <x v="4"/>
    <x v="11"/>
    <x v="5"/>
    <x v="4"/>
    <x v="2"/>
    <x v="0"/>
    <x v="3"/>
    <x v="647"/>
    <x v="0"/>
    <x v="652"/>
    <x v="654"/>
    <x v="655"/>
    <x v="23"/>
    <x v="9"/>
    <x v="0"/>
    <x v="1"/>
    <x v="1"/>
    <x v="1"/>
    <x v="0"/>
    <x v="4"/>
    <x v="655"/>
    <x v="4"/>
    <x v="1"/>
  </r>
  <r>
    <x v="656"/>
    <x v="140"/>
    <x v="1"/>
    <x v="4"/>
    <x v="16"/>
    <x v="5"/>
    <x v="4"/>
    <x v="2"/>
    <x v="1"/>
    <x v="6"/>
    <x v="648"/>
    <x v="1"/>
    <x v="653"/>
    <x v="655"/>
    <x v="551"/>
    <x v="12"/>
    <x v="8"/>
    <x v="0"/>
    <x v="0"/>
    <x v="0"/>
    <x v="1"/>
    <x v="0"/>
    <x v="4"/>
    <x v="656"/>
    <x v="4"/>
    <x v="1"/>
  </r>
  <r>
    <x v="657"/>
    <x v="301"/>
    <x v="1"/>
    <x v="3"/>
    <x v="3"/>
    <x v="5"/>
    <x v="4"/>
    <x v="2"/>
    <x v="1"/>
    <x v="2"/>
    <x v="649"/>
    <x v="3"/>
    <x v="654"/>
    <x v="656"/>
    <x v="656"/>
    <x v="18"/>
    <x v="6"/>
    <x v="0"/>
    <x v="0"/>
    <x v="1"/>
    <x v="1"/>
    <x v="0"/>
    <x v="3"/>
    <x v="657"/>
    <x v="3"/>
    <x v="1"/>
  </r>
  <r>
    <x v="658"/>
    <x v="302"/>
    <x v="2"/>
    <x v="4"/>
    <x v="8"/>
    <x v="1"/>
    <x v="1"/>
    <x v="0"/>
    <x v="1"/>
    <x v="2"/>
    <x v="650"/>
    <x v="3"/>
    <x v="655"/>
    <x v="657"/>
    <x v="657"/>
    <x v="24"/>
    <x v="9"/>
    <x v="0"/>
    <x v="0"/>
    <x v="1"/>
    <x v="0"/>
    <x v="0"/>
    <x v="4"/>
    <x v="658"/>
    <x v="4"/>
    <x v="0"/>
  </r>
  <r>
    <x v="659"/>
    <x v="145"/>
    <x v="2"/>
    <x v="2"/>
    <x v="14"/>
    <x v="8"/>
    <x v="7"/>
    <x v="2"/>
    <x v="2"/>
    <x v="3"/>
    <x v="651"/>
    <x v="0"/>
    <x v="656"/>
    <x v="658"/>
    <x v="658"/>
    <x v="18"/>
    <x v="7"/>
    <x v="0"/>
    <x v="0"/>
    <x v="0"/>
    <x v="1"/>
    <x v="0"/>
    <x v="2"/>
    <x v="659"/>
    <x v="2"/>
    <x v="1"/>
  </r>
  <r>
    <x v="660"/>
    <x v="303"/>
    <x v="1"/>
    <x v="1"/>
    <x v="5"/>
    <x v="0"/>
    <x v="0"/>
    <x v="0"/>
    <x v="3"/>
    <x v="3"/>
    <x v="652"/>
    <x v="0"/>
    <x v="657"/>
    <x v="659"/>
    <x v="659"/>
    <x v="16"/>
    <x v="7"/>
    <x v="0"/>
    <x v="0"/>
    <x v="1"/>
    <x v="0"/>
    <x v="0"/>
    <x v="1"/>
    <x v="660"/>
    <x v="1"/>
    <x v="1"/>
  </r>
  <r>
    <x v="661"/>
    <x v="152"/>
    <x v="0"/>
    <x v="3"/>
    <x v="17"/>
    <x v="4"/>
    <x v="1"/>
    <x v="0"/>
    <x v="3"/>
    <x v="5"/>
    <x v="653"/>
    <x v="1"/>
    <x v="658"/>
    <x v="660"/>
    <x v="660"/>
    <x v="12"/>
    <x v="3"/>
    <x v="0"/>
    <x v="0"/>
    <x v="1"/>
    <x v="1"/>
    <x v="0"/>
    <x v="3"/>
    <x v="661"/>
    <x v="3"/>
    <x v="1"/>
  </r>
  <r>
    <x v="662"/>
    <x v="293"/>
    <x v="1"/>
    <x v="4"/>
    <x v="16"/>
    <x v="4"/>
    <x v="1"/>
    <x v="0"/>
    <x v="0"/>
    <x v="3"/>
    <x v="654"/>
    <x v="2"/>
    <x v="659"/>
    <x v="661"/>
    <x v="661"/>
    <x v="12"/>
    <x v="4"/>
    <x v="0"/>
    <x v="1"/>
    <x v="1"/>
    <x v="1"/>
    <x v="1"/>
    <x v="4"/>
    <x v="662"/>
    <x v="4"/>
    <x v="1"/>
  </r>
  <r>
    <x v="663"/>
    <x v="269"/>
    <x v="1"/>
    <x v="2"/>
    <x v="2"/>
    <x v="3"/>
    <x v="3"/>
    <x v="0"/>
    <x v="2"/>
    <x v="5"/>
    <x v="655"/>
    <x v="0"/>
    <x v="660"/>
    <x v="662"/>
    <x v="662"/>
    <x v="15"/>
    <x v="5"/>
    <x v="0"/>
    <x v="0"/>
    <x v="0"/>
    <x v="0"/>
    <x v="0"/>
    <x v="2"/>
    <x v="663"/>
    <x v="2"/>
    <x v="1"/>
  </r>
  <r>
    <x v="664"/>
    <x v="132"/>
    <x v="0"/>
    <x v="2"/>
    <x v="14"/>
    <x v="2"/>
    <x v="2"/>
    <x v="1"/>
    <x v="0"/>
    <x v="0"/>
    <x v="656"/>
    <x v="3"/>
    <x v="661"/>
    <x v="663"/>
    <x v="663"/>
    <x v="18"/>
    <x v="3"/>
    <x v="0"/>
    <x v="0"/>
    <x v="0"/>
    <x v="1"/>
    <x v="0"/>
    <x v="2"/>
    <x v="664"/>
    <x v="2"/>
    <x v="1"/>
  </r>
  <r>
    <x v="665"/>
    <x v="13"/>
    <x v="0"/>
    <x v="4"/>
    <x v="19"/>
    <x v="6"/>
    <x v="5"/>
    <x v="3"/>
    <x v="3"/>
    <x v="3"/>
    <x v="657"/>
    <x v="1"/>
    <x v="662"/>
    <x v="664"/>
    <x v="664"/>
    <x v="21"/>
    <x v="3"/>
    <x v="0"/>
    <x v="1"/>
    <x v="1"/>
    <x v="0"/>
    <x v="0"/>
    <x v="4"/>
    <x v="665"/>
    <x v="4"/>
    <x v="1"/>
  </r>
  <r>
    <x v="666"/>
    <x v="220"/>
    <x v="2"/>
    <x v="1"/>
    <x v="1"/>
    <x v="9"/>
    <x v="8"/>
    <x v="2"/>
    <x v="3"/>
    <x v="6"/>
    <x v="658"/>
    <x v="2"/>
    <x v="663"/>
    <x v="665"/>
    <x v="665"/>
    <x v="20"/>
    <x v="9"/>
    <x v="0"/>
    <x v="0"/>
    <x v="0"/>
    <x v="0"/>
    <x v="1"/>
    <x v="1"/>
    <x v="666"/>
    <x v="1"/>
    <x v="1"/>
  </r>
  <r>
    <x v="667"/>
    <x v="63"/>
    <x v="0"/>
    <x v="4"/>
    <x v="11"/>
    <x v="2"/>
    <x v="2"/>
    <x v="1"/>
    <x v="1"/>
    <x v="2"/>
    <x v="659"/>
    <x v="4"/>
    <x v="664"/>
    <x v="666"/>
    <x v="666"/>
    <x v="3"/>
    <x v="0"/>
    <x v="0"/>
    <x v="0"/>
    <x v="1"/>
    <x v="0"/>
    <x v="1"/>
    <x v="4"/>
    <x v="667"/>
    <x v="4"/>
    <x v="1"/>
  </r>
  <r>
    <x v="668"/>
    <x v="134"/>
    <x v="1"/>
    <x v="3"/>
    <x v="3"/>
    <x v="8"/>
    <x v="7"/>
    <x v="2"/>
    <x v="2"/>
    <x v="6"/>
    <x v="660"/>
    <x v="1"/>
    <x v="665"/>
    <x v="667"/>
    <x v="667"/>
    <x v="17"/>
    <x v="5"/>
    <x v="0"/>
    <x v="0"/>
    <x v="0"/>
    <x v="1"/>
    <x v="0"/>
    <x v="3"/>
    <x v="668"/>
    <x v="3"/>
    <x v="1"/>
  </r>
  <r>
    <x v="669"/>
    <x v="221"/>
    <x v="1"/>
    <x v="4"/>
    <x v="16"/>
    <x v="9"/>
    <x v="8"/>
    <x v="2"/>
    <x v="3"/>
    <x v="1"/>
    <x v="661"/>
    <x v="3"/>
    <x v="666"/>
    <x v="668"/>
    <x v="668"/>
    <x v="6"/>
    <x v="9"/>
    <x v="0"/>
    <x v="1"/>
    <x v="1"/>
    <x v="0"/>
    <x v="0"/>
    <x v="4"/>
    <x v="669"/>
    <x v="4"/>
    <x v="1"/>
  </r>
  <r>
    <x v="670"/>
    <x v="254"/>
    <x v="0"/>
    <x v="2"/>
    <x v="12"/>
    <x v="4"/>
    <x v="1"/>
    <x v="0"/>
    <x v="1"/>
    <x v="3"/>
    <x v="662"/>
    <x v="1"/>
    <x v="667"/>
    <x v="669"/>
    <x v="669"/>
    <x v="16"/>
    <x v="11"/>
    <x v="0"/>
    <x v="0"/>
    <x v="0"/>
    <x v="0"/>
    <x v="0"/>
    <x v="2"/>
    <x v="670"/>
    <x v="2"/>
    <x v="1"/>
  </r>
  <r>
    <x v="671"/>
    <x v="149"/>
    <x v="0"/>
    <x v="4"/>
    <x v="19"/>
    <x v="8"/>
    <x v="7"/>
    <x v="2"/>
    <x v="2"/>
    <x v="2"/>
    <x v="663"/>
    <x v="0"/>
    <x v="668"/>
    <x v="670"/>
    <x v="670"/>
    <x v="6"/>
    <x v="7"/>
    <x v="0"/>
    <x v="1"/>
    <x v="1"/>
    <x v="0"/>
    <x v="0"/>
    <x v="4"/>
    <x v="671"/>
    <x v="4"/>
    <x v="1"/>
  </r>
  <r>
    <x v="672"/>
    <x v="31"/>
    <x v="0"/>
    <x v="1"/>
    <x v="15"/>
    <x v="9"/>
    <x v="8"/>
    <x v="2"/>
    <x v="0"/>
    <x v="6"/>
    <x v="664"/>
    <x v="1"/>
    <x v="669"/>
    <x v="671"/>
    <x v="671"/>
    <x v="2"/>
    <x v="8"/>
    <x v="0"/>
    <x v="0"/>
    <x v="0"/>
    <x v="1"/>
    <x v="0"/>
    <x v="1"/>
    <x v="672"/>
    <x v="1"/>
    <x v="1"/>
  </r>
  <r>
    <x v="673"/>
    <x v="304"/>
    <x v="0"/>
    <x v="0"/>
    <x v="13"/>
    <x v="3"/>
    <x v="3"/>
    <x v="0"/>
    <x v="2"/>
    <x v="3"/>
    <x v="665"/>
    <x v="3"/>
    <x v="670"/>
    <x v="672"/>
    <x v="672"/>
    <x v="7"/>
    <x v="6"/>
    <x v="0"/>
    <x v="0"/>
    <x v="1"/>
    <x v="1"/>
    <x v="0"/>
    <x v="0"/>
    <x v="673"/>
    <x v="0"/>
    <x v="0"/>
  </r>
  <r>
    <x v="674"/>
    <x v="204"/>
    <x v="0"/>
    <x v="4"/>
    <x v="16"/>
    <x v="3"/>
    <x v="3"/>
    <x v="0"/>
    <x v="2"/>
    <x v="3"/>
    <x v="666"/>
    <x v="0"/>
    <x v="671"/>
    <x v="673"/>
    <x v="673"/>
    <x v="24"/>
    <x v="3"/>
    <x v="0"/>
    <x v="0"/>
    <x v="1"/>
    <x v="0"/>
    <x v="0"/>
    <x v="4"/>
    <x v="674"/>
    <x v="4"/>
    <x v="0"/>
  </r>
  <r>
    <x v="675"/>
    <x v="153"/>
    <x v="2"/>
    <x v="1"/>
    <x v="1"/>
    <x v="7"/>
    <x v="6"/>
    <x v="2"/>
    <x v="3"/>
    <x v="0"/>
    <x v="667"/>
    <x v="0"/>
    <x v="672"/>
    <x v="674"/>
    <x v="674"/>
    <x v="6"/>
    <x v="3"/>
    <x v="0"/>
    <x v="1"/>
    <x v="1"/>
    <x v="0"/>
    <x v="0"/>
    <x v="1"/>
    <x v="675"/>
    <x v="1"/>
    <x v="1"/>
  </r>
  <r>
    <x v="676"/>
    <x v="83"/>
    <x v="0"/>
    <x v="1"/>
    <x v="10"/>
    <x v="0"/>
    <x v="0"/>
    <x v="0"/>
    <x v="3"/>
    <x v="0"/>
    <x v="668"/>
    <x v="3"/>
    <x v="673"/>
    <x v="675"/>
    <x v="675"/>
    <x v="1"/>
    <x v="4"/>
    <x v="0"/>
    <x v="0"/>
    <x v="1"/>
    <x v="1"/>
    <x v="0"/>
    <x v="1"/>
    <x v="676"/>
    <x v="1"/>
    <x v="1"/>
  </r>
  <r>
    <x v="677"/>
    <x v="272"/>
    <x v="1"/>
    <x v="2"/>
    <x v="2"/>
    <x v="3"/>
    <x v="3"/>
    <x v="0"/>
    <x v="2"/>
    <x v="2"/>
    <x v="669"/>
    <x v="3"/>
    <x v="674"/>
    <x v="676"/>
    <x v="676"/>
    <x v="8"/>
    <x v="10"/>
    <x v="0"/>
    <x v="0"/>
    <x v="0"/>
    <x v="1"/>
    <x v="0"/>
    <x v="2"/>
    <x v="677"/>
    <x v="2"/>
    <x v="1"/>
  </r>
  <r>
    <x v="678"/>
    <x v="114"/>
    <x v="0"/>
    <x v="1"/>
    <x v="10"/>
    <x v="4"/>
    <x v="1"/>
    <x v="0"/>
    <x v="3"/>
    <x v="1"/>
    <x v="670"/>
    <x v="0"/>
    <x v="675"/>
    <x v="677"/>
    <x v="677"/>
    <x v="12"/>
    <x v="7"/>
    <x v="0"/>
    <x v="0"/>
    <x v="1"/>
    <x v="1"/>
    <x v="0"/>
    <x v="1"/>
    <x v="678"/>
    <x v="1"/>
    <x v="1"/>
  </r>
  <r>
    <x v="679"/>
    <x v="226"/>
    <x v="2"/>
    <x v="1"/>
    <x v="10"/>
    <x v="6"/>
    <x v="5"/>
    <x v="3"/>
    <x v="3"/>
    <x v="0"/>
    <x v="671"/>
    <x v="1"/>
    <x v="676"/>
    <x v="678"/>
    <x v="678"/>
    <x v="12"/>
    <x v="7"/>
    <x v="0"/>
    <x v="0"/>
    <x v="0"/>
    <x v="1"/>
    <x v="0"/>
    <x v="1"/>
    <x v="679"/>
    <x v="1"/>
    <x v="1"/>
  </r>
  <r>
    <x v="680"/>
    <x v="305"/>
    <x v="0"/>
    <x v="1"/>
    <x v="10"/>
    <x v="5"/>
    <x v="4"/>
    <x v="2"/>
    <x v="3"/>
    <x v="0"/>
    <x v="672"/>
    <x v="1"/>
    <x v="677"/>
    <x v="679"/>
    <x v="679"/>
    <x v="8"/>
    <x v="6"/>
    <x v="0"/>
    <x v="1"/>
    <x v="1"/>
    <x v="1"/>
    <x v="0"/>
    <x v="1"/>
    <x v="680"/>
    <x v="1"/>
    <x v="1"/>
  </r>
  <r>
    <x v="681"/>
    <x v="198"/>
    <x v="0"/>
    <x v="1"/>
    <x v="15"/>
    <x v="7"/>
    <x v="6"/>
    <x v="2"/>
    <x v="1"/>
    <x v="1"/>
    <x v="673"/>
    <x v="2"/>
    <x v="678"/>
    <x v="680"/>
    <x v="680"/>
    <x v="8"/>
    <x v="3"/>
    <x v="0"/>
    <x v="0"/>
    <x v="1"/>
    <x v="1"/>
    <x v="1"/>
    <x v="1"/>
    <x v="681"/>
    <x v="1"/>
    <x v="1"/>
  </r>
  <r>
    <x v="682"/>
    <x v="222"/>
    <x v="2"/>
    <x v="3"/>
    <x v="9"/>
    <x v="5"/>
    <x v="4"/>
    <x v="2"/>
    <x v="1"/>
    <x v="6"/>
    <x v="674"/>
    <x v="1"/>
    <x v="679"/>
    <x v="681"/>
    <x v="681"/>
    <x v="6"/>
    <x v="0"/>
    <x v="0"/>
    <x v="0"/>
    <x v="0"/>
    <x v="0"/>
    <x v="0"/>
    <x v="3"/>
    <x v="682"/>
    <x v="3"/>
    <x v="1"/>
  </r>
  <r>
    <x v="683"/>
    <x v="273"/>
    <x v="2"/>
    <x v="3"/>
    <x v="3"/>
    <x v="0"/>
    <x v="0"/>
    <x v="0"/>
    <x v="2"/>
    <x v="0"/>
    <x v="675"/>
    <x v="0"/>
    <x v="680"/>
    <x v="682"/>
    <x v="682"/>
    <x v="18"/>
    <x v="8"/>
    <x v="0"/>
    <x v="0"/>
    <x v="0"/>
    <x v="1"/>
    <x v="0"/>
    <x v="3"/>
    <x v="683"/>
    <x v="3"/>
    <x v="1"/>
  </r>
  <r>
    <x v="684"/>
    <x v="306"/>
    <x v="0"/>
    <x v="2"/>
    <x v="2"/>
    <x v="9"/>
    <x v="8"/>
    <x v="2"/>
    <x v="3"/>
    <x v="5"/>
    <x v="676"/>
    <x v="2"/>
    <x v="681"/>
    <x v="683"/>
    <x v="683"/>
    <x v="15"/>
    <x v="5"/>
    <x v="0"/>
    <x v="0"/>
    <x v="0"/>
    <x v="0"/>
    <x v="1"/>
    <x v="2"/>
    <x v="684"/>
    <x v="2"/>
    <x v="1"/>
  </r>
  <r>
    <x v="685"/>
    <x v="269"/>
    <x v="2"/>
    <x v="4"/>
    <x v="19"/>
    <x v="1"/>
    <x v="1"/>
    <x v="0"/>
    <x v="1"/>
    <x v="4"/>
    <x v="677"/>
    <x v="3"/>
    <x v="682"/>
    <x v="684"/>
    <x v="684"/>
    <x v="17"/>
    <x v="5"/>
    <x v="0"/>
    <x v="0"/>
    <x v="0"/>
    <x v="1"/>
    <x v="0"/>
    <x v="4"/>
    <x v="685"/>
    <x v="4"/>
    <x v="1"/>
  </r>
  <r>
    <x v="686"/>
    <x v="187"/>
    <x v="1"/>
    <x v="1"/>
    <x v="10"/>
    <x v="3"/>
    <x v="3"/>
    <x v="0"/>
    <x v="2"/>
    <x v="4"/>
    <x v="678"/>
    <x v="3"/>
    <x v="683"/>
    <x v="685"/>
    <x v="685"/>
    <x v="23"/>
    <x v="1"/>
    <x v="0"/>
    <x v="0"/>
    <x v="1"/>
    <x v="1"/>
    <x v="0"/>
    <x v="1"/>
    <x v="686"/>
    <x v="1"/>
    <x v="1"/>
  </r>
  <r>
    <x v="687"/>
    <x v="45"/>
    <x v="1"/>
    <x v="4"/>
    <x v="11"/>
    <x v="6"/>
    <x v="5"/>
    <x v="3"/>
    <x v="3"/>
    <x v="0"/>
    <x v="679"/>
    <x v="0"/>
    <x v="684"/>
    <x v="686"/>
    <x v="686"/>
    <x v="18"/>
    <x v="7"/>
    <x v="0"/>
    <x v="1"/>
    <x v="1"/>
    <x v="1"/>
    <x v="0"/>
    <x v="4"/>
    <x v="687"/>
    <x v="4"/>
    <x v="1"/>
  </r>
  <r>
    <x v="688"/>
    <x v="146"/>
    <x v="0"/>
    <x v="4"/>
    <x v="19"/>
    <x v="0"/>
    <x v="0"/>
    <x v="0"/>
    <x v="0"/>
    <x v="6"/>
    <x v="680"/>
    <x v="2"/>
    <x v="685"/>
    <x v="687"/>
    <x v="687"/>
    <x v="8"/>
    <x v="9"/>
    <x v="0"/>
    <x v="0"/>
    <x v="1"/>
    <x v="1"/>
    <x v="1"/>
    <x v="4"/>
    <x v="688"/>
    <x v="4"/>
    <x v="1"/>
  </r>
  <r>
    <x v="689"/>
    <x v="228"/>
    <x v="0"/>
    <x v="2"/>
    <x v="14"/>
    <x v="5"/>
    <x v="4"/>
    <x v="2"/>
    <x v="3"/>
    <x v="3"/>
    <x v="681"/>
    <x v="2"/>
    <x v="686"/>
    <x v="688"/>
    <x v="688"/>
    <x v="20"/>
    <x v="10"/>
    <x v="0"/>
    <x v="0"/>
    <x v="0"/>
    <x v="0"/>
    <x v="1"/>
    <x v="2"/>
    <x v="689"/>
    <x v="2"/>
    <x v="1"/>
  </r>
  <r>
    <x v="690"/>
    <x v="52"/>
    <x v="1"/>
    <x v="1"/>
    <x v="1"/>
    <x v="7"/>
    <x v="6"/>
    <x v="2"/>
    <x v="3"/>
    <x v="6"/>
    <x v="682"/>
    <x v="0"/>
    <x v="687"/>
    <x v="689"/>
    <x v="689"/>
    <x v="6"/>
    <x v="9"/>
    <x v="0"/>
    <x v="0"/>
    <x v="0"/>
    <x v="0"/>
    <x v="0"/>
    <x v="1"/>
    <x v="690"/>
    <x v="1"/>
    <x v="1"/>
  </r>
  <r>
    <x v="691"/>
    <x v="225"/>
    <x v="1"/>
    <x v="1"/>
    <x v="1"/>
    <x v="3"/>
    <x v="3"/>
    <x v="0"/>
    <x v="1"/>
    <x v="2"/>
    <x v="683"/>
    <x v="1"/>
    <x v="688"/>
    <x v="690"/>
    <x v="690"/>
    <x v="5"/>
    <x v="8"/>
    <x v="0"/>
    <x v="0"/>
    <x v="0"/>
    <x v="1"/>
    <x v="0"/>
    <x v="1"/>
    <x v="691"/>
    <x v="1"/>
    <x v="1"/>
  </r>
  <r>
    <x v="692"/>
    <x v="307"/>
    <x v="0"/>
    <x v="0"/>
    <x v="6"/>
    <x v="4"/>
    <x v="1"/>
    <x v="0"/>
    <x v="2"/>
    <x v="5"/>
    <x v="684"/>
    <x v="0"/>
    <x v="689"/>
    <x v="691"/>
    <x v="691"/>
    <x v="2"/>
    <x v="1"/>
    <x v="0"/>
    <x v="0"/>
    <x v="0"/>
    <x v="1"/>
    <x v="0"/>
    <x v="0"/>
    <x v="692"/>
    <x v="0"/>
    <x v="1"/>
  </r>
  <r>
    <x v="693"/>
    <x v="252"/>
    <x v="1"/>
    <x v="4"/>
    <x v="16"/>
    <x v="3"/>
    <x v="3"/>
    <x v="0"/>
    <x v="2"/>
    <x v="6"/>
    <x v="685"/>
    <x v="3"/>
    <x v="690"/>
    <x v="692"/>
    <x v="692"/>
    <x v="2"/>
    <x v="4"/>
    <x v="0"/>
    <x v="0"/>
    <x v="1"/>
    <x v="1"/>
    <x v="0"/>
    <x v="4"/>
    <x v="693"/>
    <x v="4"/>
    <x v="1"/>
  </r>
  <r>
    <x v="694"/>
    <x v="308"/>
    <x v="1"/>
    <x v="4"/>
    <x v="11"/>
    <x v="7"/>
    <x v="6"/>
    <x v="2"/>
    <x v="1"/>
    <x v="1"/>
    <x v="686"/>
    <x v="0"/>
    <x v="691"/>
    <x v="693"/>
    <x v="693"/>
    <x v="6"/>
    <x v="9"/>
    <x v="0"/>
    <x v="1"/>
    <x v="1"/>
    <x v="0"/>
    <x v="0"/>
    <x v="4"/>
    <x v="694"/>
    <x v="4"/>
    <x v="1"/>
  </r>
  <r>
    <x v="695"/>
    <x v="209"/>
    <x v="0"/>
    <x v="3"/>
    <x v="3"/>
    <x v="7"/>
    <x v="6"/>
    <x v="2"/>
    <x v="3"/>
    <x v="5"/>
    <x v="687"/>
    <x v="1"/>
    <x v="692"/>
    <x v="694"/>
    <x v="694"/>
    <x v="20"/>
    <x v="10"/>
    <x v="0"/>
    <x v="0"/>
    <x v="0"/>
    <x v="0"/>
    <x v="0"/>
    <x v="3"/>
    <x v="695"/>
    <x v="3"/>
    <x v="1"/>
  </r>
  <r>
    <x v="696"/>
    <x v="309"/>
    <x v="1"/>
    <x v="0"/>
    <x v="13"/>
    <x v="1"/>
    <x v="1"/>
    <x v="0"/>
    <x v="0"/>
    <x v="4"/>
    <x v="688"/>
    <x v="1"/>
    <x v="693"/>
    <x v="695"/>
    <x v="695"/>
    <x v="13"/>
    <x v="11"/>
    <x v="0"/>
    <x v="0"/>
    <x v="0"/>
    <x v="1"/>
    <x v="0"/>
    <x v="0"/>
    <x v="696"/>
    <x v="0"/>
    <x v="1"/>
  </r>
  <r>
    <x v="697"/>
    <x v="145"/>
    <x v="0"/>
    <x v="3"/>
    <x v="3"/>
    <x v="3"/>
    <x v="3"/>
    <x v="0"/>
    <x v="3"/>
    <x v="5"/>
    <x v="689"/>
    <x v="2"/>
    <x v="694"/>
    <x v="696"/>
    <x v="696"/>
    <x v="15"/>
    <x v="7"/>
    <x v="0"/>
    <x v="1"/>
    <x v="1"/>
    <x v="0"/>
    <x v="1"/>
    <x v="3"/>
    <x v="697"/>
    <x v="3"/>
    <x v="1"/>
  </r>
  <r>
    <x v="698"/>
    <x v="218"/>
    <x v="1"/>
    <x v="3"/>
    <x v="17"/>
    <x v="3"/>
    <x v="3"/>
    <x v="0"/>
    <x v="3"/>
    <x v="1"/>
    <x v="690"/>
    <x v="0"/>
    <x v="695"/>
    <x v="697"/>
    <x v="697"/>
    <x v="3"/>
    <x v="10"/>
    <x v="0"/>
    <x v="0"/>
    <x v="0"/>
    <x v="0"/>
    <x v="0"/>
    <x v="3"/>
    <x v="698"/>
    <x v="3"/>
    <x v="1"/>
  </r>
  <r>
    <x v="699"/>
    <x v="217"/>
    <x v="1"/>
    <x v="3"/>
    <x v="9"/>
    <x v="1"/>
    <x v="1"/>
    <x v="0"/>
    <x v="0"/>
    <x v="0"/>
    <x v="691"/>
    <x v="3"/>
    <x v="696"/>
    <x v="698"/>
    <x v="698"/>
    <x v="14"/>
    <x v="4"/>
    <x v="0"/>
    <x v="0"/>
    <x v="1"/>
    <x v="1"/>
    <x v="0"/>
    <x v="3"/>
    <x v="699"/>
    <x v="3"/>
    <x v="1"/>
  </r>
  <r>
    <x v="700"/>
    <x v="180"/>
    <x v="2"/>
    <x v="2"/>
    <x v="14"/>
    <x v="8"/>
    <x v="7"/>
    <x v="2"/>
    <x v="1"/>
    <x v="1"/>
    <x v="692"/>
    <x v="3"/>
    <x v="697"/>
    <x v="699"/>
    <x v="699"/>
    <x v="12"/>
    <x v="4"/>
    <x v="0"/>
    <x v="0"/>
    <x v="0"/>
    <x v="1"/>
    <x v="0"/>
    <x v="2"/>
    <x v="700"/>
    <x v="2"/>
    <x v="1"/>
  </r>
  <r>
    <x v="701"/>
    <x v="239"/>
    <x v="0"/>
    <x v="2"/>
    <x v="2"/>
    <x v="8"/>
    <x v="7"/>
    <x v="2"/>
    <x v="2"/>
    <x v="1"/>
    <x v="693"/>
    <x v="2"/>
    <x v="698"/>
    <x v="700"/>
    <x v="700"/>
    <x v="24"/>
    <x v="10"/>
    <x v="0"/>
    <x v="0"/>
    <x v="0"/>
    <x v="0"/>
    <x v="1"/>
    <x v="2"/>
    <x v="701"/>
    <x v="2"/>
    <x v="1"/>
  </r>
  <r>
    <x v="702"/>
    <x v="310"/>
    <x v="0"/>
    <x v="3"/>
    <x v="9"/>
    <x v="9"/>
    <x v="8"/>
    <x v="2"/>
    <x v="1"/>
    <x v="0"/>
    <x v="694"/>
    <x v="0"/>
    <x v="699"/>
    <x v="701"/>
    <x v="701"/>
    <x v="20"/>
    <x v="6"/>
    <x v="0"/>
    <x v="1"/>
    <x v="1"/>
    <x v="0"/>
    <x v="0"/>
    <x v="3"/>
    <x v="702"/>
    <x v="3"/>
    <x v="1"/>
  </r>
  <r>
    <x v="703"/>
    <x v="230"/>
    <x v="0"/>
    <x v="0"/>
    <x v="0"/>
    <x v="8"/>
    <x v="7"/>
    <x v="2"/>
    <x v="1"/>
    <x v="0"/>
    <x v="695"/>
    <x v="3"/>
    <x v="700"/>
    <x v="702"/>
    <x v="702"/>
    <x v="7"/>
    <x v="7"/>
    <x v="0"/>
    <x v="0"/>
    <x v="0"/>
    <x v="1"/>
    <x v="0"/>
    <x v="0"/>
    <x v="703"/>
    <x v="0"/>
    <x v="0"/>
  </r>
  <r>
    <x v="704"/>
    <x v="192"/>
    <x v="0"/>
    <x v="4"/>
    <x v="8"/>
    <x v="2"/>
    <x v="2"/>
    <x v="1"/>
    <x v="3"/>
    <x v="0"/>
    <x v="696"/>
    <x v="1"/>
    <x v="701"/>
    <x v="703"/>
    <x v="703"/>
    <x v="13"/>
    <x v="5"/>
    <x v="0"/>
    <x v="1"/>
    <x v="1"/>
    <x v="1"/>
    <x v="0"/>
    <x v="4"/>
    <x v="704"/>
    <x v="4"/>
    <x v="1"/>
  </r>
  <r>
    <x v="705"/>
    <x v="8"/>
    <x v="0"/>
    <x v="0"/>
    <x v="18"/>
    <x v="3"/>
    <x v="3"/>
    <x v="0"/>
    <x v="2"/>
    <x v="0"/>
    <x v="697"/>
    <x v="3"/>
    <x v="702"/>
    <x v="704"/>
    <x v="704"/>
    <x v="23"/>
    <x v="0"/>
    <x v="0"/>
    <x v="0"/>
    <x v="0"/>
    <x v="1"/>
    <x v="0"/>
    <x v="0"/>
    <x v="705"/>
    <x v="0"/>
    <x v="1"/>
  </r>
  <r>
    <x v="706"/>
    <x v="23"/>
    <x v="2"/>
    <x v="1"/>
    <x v="5"/>
    <x v="6"/>
    <x v="5"/>
    <x v="3"/>
    <x v="2"/>
    <x v="0"/>
    <x v="698"/>
    <x v="2"/>
    <x v="703"/>
    <x v="705"/>
    <x v="705"/>
    <x v="13"/>
    <x v="10"/>
    <x v="0"/>
    <x v="0"/>
    <x v="1"/>
    <x v="1"/>
    <x v="1"/>
    <x v="1"/>
    <x v="706"/>
    <x v="1"/>
    <x v="0"/>
  </r>
  <r>
    <x v="707"/>
    <x v="302"/>
    <x v="0"/>
    <x v="2"/>
    <x v="2"/>
    <x v="3"/>
    <x v="3"/>
    <x v="0"/>
    <x v="1"/>
    <x v="1"/>
    <x v="699"/>
    <x v="0"/>
    <x v="704"/>
    <x v="706"/>
    <x v="706"/>
    <x v="16"/>
    <x v="9"/>
    <x v="0"/>
    <x v="0"/>
    <x v="0"/>
    <x v="0"/>
    <x v="0"/>
    <x v="2"/>
    <x v="707"/>
    <x v="2"/>
    <x v="1"/>
  </r>
  <r>
    <x v="708"/>
    <x v="282"/>
    <x v="0"/>
    <x v="4"/>
    <x v="8"/>
    <x v="2"/>
    <x v="2"/>
    <x v="1"/>
    <x v="0"/>
    <x v="2"/>
    <x v="700"/>
    <x v="0"/>
    <x v="705"/>
    <x v="114"/>
    <x v="707"/>
    <x v="12"/>
    <x v="9"/>
    <x v="0"/>
    <x v="1"/>
    <x v="1"/>
    <x v="1"/>
    <x v="0"/>
    <x v="4"/>
    <x v="708"/>
    <x v="4"/>
    <x v="1"/>
  </r>
  <r>
    <x v="709"/>
    <x v="205"/>
    <x v="1"/>
    <x v="4"/>
    <x v="8"/>
    <x v="2"/>
    <x v="2"/>
    <x v="1"/>
    <x v="1"/>
    <x v="2"/>
    <x v="701"/>
    <x v="0"/>
    <x v="706"/>
    <x v="707"/>
    <x v="708"/>
    <x v="4"/>
    <x v="11"/>
    <x v="0"/>
    <x v="1"/>
    <x v="1"/>
    <x v="0"/>
    <x v="0"/>
    <x v="4"/>
    <x v="709"/>
    <x v="4"/>
    <x v="1"/>
  </r>
  <r>
    <x v="710"/>
    <x v="1"/>
    <x v="0"/>
    <x v="1"/>
    <x v="5"/>
    <x v="5"/>
    <x v="4"/>
    <x v="2"/>
    <x v="0"/>
    <x v="6"/>
    <x v="702"/>
    <x v="3"/>
    <x v="707"/>
    <x v="708"/>
    <x v="709"/>
    <x v="6"/>
    <x v="1"/>
    <x v="0"/>
    <x v="0"/>
    <x v="0"/>
    <x v="0"/>
    <x v="0"/>
    <x v="1"/>
    <x v="710"/>
    <x v="1"/>
    <x v="1"/>
  </r>
  <r>
    <x v="711"/>
    <x v="114"/>
    <x v="1"/>
    <x v="1"/>
    <x v="10"/>
    <x v="3"/>
    <x v="3"/>
    <x v="0"/>
    <x v="2"/>
    <x v="2"/>
    <x v="519"/>
    <x v="2"/>
    <x v="708"/>
    <x v="709"/>
    <x v="710"/>
    <x v="17"/>
    <x v="7"/>
    <x v="0"/>
    <x v="0"/>
    <x v="0"/>
    <x v="1"/>
    <x v="1"/>
    <x v="1"/>
    <x v="711"/>
    <x v="1"/>
    <x v="1"/>
  </r>
  <r>
    <x v="712"/>
    <x v="278"/>
    <x v="0"/>
    <x v="3"/>
    <x v="3"/>
    <x v="0"/>
    <x v="0"/>
    <x v="0"/>
    <x v="1"/>
    <x v="4"/>
    <x v="703"/>
    <x v="0"/>
    <x v="709"/>
    <x v="710"/>
    <x v="711"/>
    <x v="1"/>
    <x v="10"/>
    <x v="0"/>
    <x v="1"/>
    <x v="1"/>
    <x v="1"/>
    <x v="0"/>
    <x v="3"/>
    <x v="712"/>
    <x v="3"/>
    <x v="1"/>
  </r>
  <r>
    <x v="713"/>
    <x v="163"/>
    <x v="1"/>
    <x v="2"/>
    <x v="4"/>
    <x v="2"/>
    <x v="2"/>
    <x v="1"/>
    <x v="3"/>
    <x v="2"/>
    <x v="704"/>
    <x v="1"/>
    <x v="710"/>
    <x v="711"/>
    <x v="712"/>
    <x v="12"/>
    <x v="5"/>
    <x v="0"/>
    <x v="0"/>
    <x v="0"/>
    <x v="1"/>
    <x v="0"/>
    <x v="2"/>
    <x v="713"/>
    <x v="2"/>
    <x v="1"/>
  </r>
  <r>
    <x v="714"/>
    <x v="155"/>
    <x v="0"/>
    <x v="2"/>
    <x v="12"/>
    <x v="6"/>
    <x v="5"/>
    <x v="3"/>
    <x v="1"/>
    <x v="1"/>
    <x v="705"/>
    <x v="1"/>
    <x v="711"/>
    <x v="712"/>
    <x v="713"/>
    <x v="15"/>
    <x v="8"/>
    <x v="0"/>
    <x v="0"/>
    <x v="0"/>
    <x v="0"/>
    <x v="0"/>
    <x v="2"/>
    <x v="714"/>
    <x v="2"/>
    <x v="1"/>
  </r>
  <r>
    <x v="715"/>
    <x v="139"/>
    <x v="0"/>
    <x v="0"/>
    <x v="0"/>
    <x v="1"/>
    <x v="1"/>
    <x v="0"/>
    <x v="2"/>
    <x v="0"/>
    <x v="706"/>
    <x v="0"/>
    <x v="712"/>
    <x v="713"/>
    <x v="714"/>
    <x v="5"/>
    <x v="0"/>
    <x v="0"/>
    <x v="0"/>
    <x v="0"/>
    <x v="1"/>
    <x v="0"/>
    <x v="0"/>
    <x v="715"/>
    <x v="0"/>
    <x v="1"/>
  </r>
  <r>
    <x v="716"/>
    <x v="164"/>
    <x v="2"/>
    <x v="3"/>
    <x v="7"/>
    <x v="9"/>
    <x v="8"/>
    <x v="2"/>
    <x v="3"/>
    <x v="0"/>
    <x v="707"/>
    <x v="2"/>
    <x v="713"/>
    <x v="714"/>
    <x v="715"/>
    <x v="16"/>
    <x v="10"/>
    <x v="0"/>
    <x v="1"/>
    <x v="1"/>
    <x v="0"/>
    <x v="1"/>
    <x v="3"/>
    <x v="716"/>
    <x v="3"/>
    <x v="1"/>
  </r>
  <r>
    <x v="717"/>
    <x v="311"/>
    <x v="0"/>
    <x v="3"/>
    <x v="7"/>
    <x v="5"/>
    <x v="4"/>
    <x v="2"/>
    <x v="3"/>
    <x v="3"/>
    <x v="708"/>
    <x v="3"/>
    <x v="714"/>
    <x v="715"/>
    <x v="716"/>
    <x v="6"/>
    <x v="9"/>
    <x v="0"/>
    <x v="1"/>
    <x v="1"/>
    <x v="0"/>
    <x v="0"/>
    <x v="3"/>
    <x v="717"/>
    <x v="3"/>
    <x v="1"/>
  </r>
  <r>
    <x v="718"/>
    <x v="312"/>
    <x v="1"/>
    <x v="3"/>
    <x v="17"/>
    <x v="1"/>
    <x v="1"/>
    <x v="0"/>
    <x v="0"/>
    <x v="3"/>
    <x v="709"/>
    <x v="2"/>
    <x v="715"/>
    <x v="716"/>
    <x v="717"/>
    <x v="12"/>
    <x v="10"/>
    <x v="0"/>
    <x v="1"/>
    <x v="1"/>
    <x v="1"/>
    <x v="1"/>
    <x v="3"/>
    <x v="718"/>
    <x v="3"/>
    <x v="1"/>
  </r>
  <r>
    <x v="719"/>
    <x v="12"/>
    <x v="0"/>
    <x v="3"/>
    <x v="9"/>
    <x v="5"/>
    <x v="4"/>
    <x v="2"/>
    <x v="3"/>
    <x v="3"/>
    <x v="710"/>
    <x v="2"/>
    <x v="716"/>
    <x v="717"/>
    <x v="718"/>
    <x v="24"/>
    <x v="0"/>
    <x v="0"/>
    <x v="1"/>
    <x v="1"/>
    <x v="0"/>
    <x v="1"/>
    <x v="3"/>
    <x v="719"/>
    <x v="3"/>
    <x v="1"/>
  </r>
  <r>
    <x v="720"/>
    <x v="58"/>
    <x v="0"/>
    <x v="2"/>
    <x v="14"/>
    <x v="6"/>
    <x v="5"/>
    <x v="3"/>
    <x v="3"/>
    <x v="1"/>
    <x v="711"/>
    <x v="1"/>
    <x v="717"/>
    <x v="718"/>
    <x v="719"/>
    <x v="10"/>
    <x v="10"/>
    <x v="0"/>
    <x v="0"/>
    <x v="0"/>
    <x v="0"/>
    <x v="0"/>
    <x v="2"/>
    <x v="720"/>
    <x v="2"/>
    <x v="1"/>
  </r>
  <r>
    <x v="721"/>
    <x v="101"/>
    <x v="2"/>
    <x v="2"/>
    <x v="4"/>
    <x v="7"/>
    <x v="6"/>
    <x v="2"/>
    <x v="1"/>
    <x v="4"/>
    <x v="712"/>
    <x v="1"/>
    <x v="718"/>
    <x v="719"/>
    <x v="720"/>
    <x v="11"/>
    <x v="1"/>
    <x v="0"/>
    <x v="0"/>
    <x v="0"/>
    <x v="1"/>
    <x v="0"/>
    <x v="2"/>
    <x v="721"/>
    <x v="2"/>
    <x v="1"/>
  </r>
  <r>
    <x v="722"/>
    <x v="263"/>
    <x v="0"/>
    <x v="3"/>
    <x v="7"/>
    <x v="3"/>
    <x v="3"/>
    <x v="0"/>
    <x v="2"/>
    <x v="2"/>
    <x v="713"/>
    <x v="1"/>
    <x v="719"/>
    <x v="720"/>
    <x v="721"/>
    <x v="5"/>
    <x v="11"/>
    <x v="0"/>
    <x v="0"/>
    <x v="0"/>
    <x v="1"/>
    <x v="0"/>
    <x v="3"/>
    <x v="722"/>
    <x v="3"/>
    <x v="1"/>
  </r>
  <r>
    <x v="723"/>
    <x v="284"/>
    <x v="1"/>
    <x v="0"/>
    <x v="13"/>
    <x v="4"/>
    <x v="1"/>
    <x v="0"/>
    <x v="0"/>
    <x v="1"/>
    <x v="714"/>
    <x v="0"/>
    <x v="720"/>
    <x v="721"/>
    <x v="722"/>
    <x v="19"/>
    <x v="11"/>
    <x v="0"/>
    <x v="0"/>
    <x v="0"/>
    <x v="0"/>
    <x v="0"/>
    <x v="0"/>
    <x v="723"/>
    <x v="0"/>
    <x v="1"/>
  </r>
  <r>
    <x v="724"/>
    <x v="8"/>
    <x v="2"/>
    <x v="4"/>
    <x v="19"/>
    <x v="0"/>
    <x v="0"/>
    <x v="0"/>
    <x v="1"/>
    <x v="6"/>
    <x v="715"/>
    <x v="1"/>
    <x v="721"/>
    <x v="722"/>
    <x v="723"/>
    <x v="19"/>
    <x v="0"/>
    <x v="0"/>
    <x v="0"/>
    <x v="1"/>
    <x v="0"/>
    <x v="0"/>
    <x v="4"/>
    <x v="724"/>
    <x v="4"/>
    <x v="1"/>
  </r>
  <r>
    <x v="725"/>
    <x v="208"/>
    <x v="1"/>
    <x v="4"/>
    <x v="8"/>
    <x v="1"/>
    <x v="1"/>
    <x v="0"/>
    <x v="3"/>
    <x v="0"/>
    <x v="716"/>
    <x v="3"/>
    <x v="722"/>
    <x v="723"/>
    <x v="724"/>
    <x v="18"/>
    <x v="0"/>
    <x v="0"/>
    <x v="1"/>
    <x v="1"/>
    <x v="1"/>
    <x v="0"/>
    <x v="4"/>
    <x v="725"/>
    <x v="4"/>
    <x v="1"/>
  </r>
  <r>
    <x v="726"/>
    <x v="33"/>
    <x v="2"/>
    <x v="0"/>
    <x v="18"/>
    <x v="3"/>
    <x v="3"/>
    <x v="0"/>
    <x v="3"/>
    <x v="3"/>
    <x v="717"/>
    <x v="0"/>
    <x v="723"/>
    <x v="724"/>
    <x v="725"/>
    <x v="14"/>
    <x v="9"/>
    <x v="0"/>
    <x v="0"/>
    <x v="0"/>
    <x v="1"/>
    <x v="0"/>
    <x v="0"/>
    <x v="726"/>
    <x v="0"/>
    <x v="0"/>
  </r>
  <r>
    <x v="727"/>
    <x v="148"/>
    <x v="0"/>
    <x v="3"/>
    <x v="7"/>
    <x v="0"/>
    <x v="0"/>
    <x v="0"/>
    <x v="0"/>
    <x v="5"/>
    <x v="718"/>
    <x v="0"/>
    <x v="724"/>
    <x v="725"/>
    <x v="726"/>
    <x v="17"/>
    <x v="3"/>
    <x v="0"/>
    <x v="0"/>
    <x v="1"/>
    <x v="1"/>
    <x v="0"/>
    <x v="3"/>
    <x v="727"/>
    <x v="3"/>
    <x v="1"/>
  </r>
  <r>
    <x v="728"/>
    <x v="127"/>
    <x v="0"/>
    <x v="2"/>
    <x v="14"/>
    <x v="7"/>
    <x v="6"/>
    <x v="2"/>
    <x v="2"/>
    <x v="6"/>
    <x v="719"/>
    <x v="1"/>
    <x v="725"/>
    <x v="726"/>
    <x v="727"/>
    <x v="10"/>
    <x v="10"/>
    <x v="0"/>
    <x v="0"/>
    <x v="0"/>
    <x v="0"/>
    <x v="0"/>
    <x v="2"/>
    <x v="728"/>
    <x v="2"/>
    <x v="1"/>
  </r>
  <r>
    <x v="729"/>
    <x v="213"/>
    <x v="0"/>
    <x v="4"/>
    <x v="19"/>
    <x v="4"/>
    <x v="1"/>
    <x v="0"/>
    <x v="0"/>
    <x v="3"/>
    <x v="720"/>
    <x v="3"/>
    <x v="726"/>
    <x v="727"/>
    <x v="728"/>
    <x v="17"/>
    <x v="4"/>
    <x v="0"/>
    <x v="1"/>
    <x v="1"/>
    <x v="1"/>
    <x v="0"/>
    <x v="4"/>
    <x v="729"/>
    <x v="4"/>
    <x v="1"/>
  </r>
  <r>
    <x v="730"/>
    <x v="298"/>
    <x v="1"/>
    <x v="1"/>
    <x v="15"/>
    <x v="0"/>
    <x v="0"/>
    <x v="0"/>
    <x v="1"/>
    <x v="4"/>
    <x v="721"/>
    <x v="0"/>
    <x v="727"/>
    <x v="728"/>
    <x v="729"/>
    <x v="13"/>
    <x v="0"/>
    <x v="0"/>
    <x v="1"/>
    <x v="1"/>
    <x v="1"/>
    <x v="0"/>
    <x v="1"/>
    <x v="730"/>
    <x v="1"/>
    <x v="1"/>
  </r>
  <r>
    <x v="731"/>
    <x v="313"/>
    <x v="2"/>
    <x v="1"/>
    <x v="1"/>
    <x v="0"/>
    <x v="0"/>
    <x v="0"/>
    <x v="0"/>
    <x v="6"/>
    <x v="722"/>
    <x v="0"/>
    <x v="728"/>
    <x v="729"/>
    <x v="730"/>
    <x v="3"/>
    <x v="6"/>
    <x v="0"/>
    <x v="0"/>
    <x v="0"/>
    <x v="0"/>
    <x v="0"/>
    <x v="1"/>
    <x v="731"/>
    <x v="1"/>
    <x v="1"/>
  </r>
  <r>
    <x v="732"/>
    <x v="77"/>
    <x v="0"/>
    <x v="0"/>
    <x v="18"/>
    <x v="1"/>
    <x v="1"/>
    <x v="0"/>
    <x v="3"/>
    <x v="1"/>
    <x v="723"/>
    <x v="2"/>
    <x v="729"/>
    <x v="730"/>
    <x v="731"/>
    <x v="9"/>
    <x v="8"/>
    <x v="0"/>
    <x v="0"/>
    <x v="0"/>
    <x v="1"/>
    <x v="1"/>
    <x v="0"/>
    <x v="732"/>
    <x v="0"/>
    <x v="1"/>
  </r>
  <r>
    <x v="733"/>
    <x v="306"/>
    <x v="1"/>
    <x v="3"/>
    <x v="3"/>
    <x v="8"/>
    <x v="7"/>
    <x v="2"/>
    <x v="1"/>
    <x v="2"/>
    <x v="724"/>
    <x v="1"/>
    <x v="730"/>
    <x v="731"/>
    <x v="732"/>
    <x v="21"/>
    <x v="5"/>
    <x v="0"/>
    <x v="0"/>
    <x v="1"/>
    <x v="0"/>
    <x v="0"/>
    <x v="3"/>
    <x v="733"/>
    <x v="3"/>
    <x v="1"/>
  </r>
  <r>
    <x v="734"/>
    <x v="72"/>
    <x v="0"/>
    <x v="4"/>
    <x v="19"/>
    <x v="4"/>
    <x v="1"/>
    <x v="0"/>
    <x v="3"/>
    <x v="0"/>
    <x v="725"/>
    <x v="2"/>
    <x v="731"/>
    <x v="732"/>
    <x v="733"/>
    <x v="8"/>
    <x v="6"/>
    <x v="0"/>
    <x v="0"/>
    <x v="0"/>
    <x v="1"/>
    <x v="1"/>
    <x v="4"/>
    <x v="734"/>
    <x v="4"/>
    <x v="1"/>
  </r>
  <r>
    <x v="735"/>
    <x v="314"/>
    <x v="1"/>
    <x v="3"/>
    <x v="7"/>
    <x v="3"/>
    <x v="3"/>
    <x v="0"/>
    <x v="2"/>
    <x v="4"/>
    <x v="726"/>
    <x v="0"/>
    <x v="732"/>
    <x v="733"/>
    <x v="734"/>
    <x v="6"/>
    <x v="7"/>
    <x v="0"/>
    <x v="1"/>
    <x v="1"/>
    <x v="0"/>
    <x v="0"/>
    <x v="3"/>
    <x v="735"/>
    <x v="3"/>
    <x v="1"/>
  </r>
  <r>
    <x v="736"/>
    <x v="95"/>
    <x v="1"/>
    <x v="4"/>
    <x v="11"/>
    <x v="7"/>
    <x v="6"/>
    <x v="2"/>
    <x v="3"/>
    <x v="4"/>
    <x v="727"/>
    <x v="0"/>
    <x v="733"/>
    <x v="734"/>
    <x v="735"/>
    <x v="8"/>
    <x v="4"/>
    <x v="0"/>
    <x v="1"/>
    <x v="1"/>
    <x v="1"/>
    <x v="0"/>
    <x v="4"/>
    <x v="736"/>
    <x v="4"/>
    <x v="0"/>
  </r>
  <r>
    <x v="737"/>
    <x v="72"/>
    <x v="2"/>
    <x v="0"/>
    <x v="6"/>
    <x v="4"/>
    <x v="1"/>
    <x v="0"/>
    <x v="3"/>
    <x v="5"/>
    <x v="728"/>
    <x v="0"/>
    <x v="734"/>
    <x v="735"/>
    <x v="736"/>
    <x v="15"/>
    <x v="6"/>
    <x v="0"/>
    <x v="0"/>
    <x v="0"/>
    <x v="0"/>
    <x v="0"/>
    <x v="0"/>
    <x v="737"/>
    <x v="0"/>
    <x v="1"/>
  </r>
  <r>
    <x v="738"/>
    <x v="75"/>
    <x v="1"/>
    <x v="0"/>
    <x v="0"/>
    <x v="6"/>
    <x v="5"/>
    <x v="3"/>
    <x v="0"/>
    <x v="6"/>
    <x v="729"/>
    <x v="3"/>
    <x v="735"/>
    <x v="736"/>
    <x v="737"/>
    <x v="15"/>
    <x v="1"/>
    <x v="0"/>
    <x v="0"/>
    <x v="0"/>
    <x v="0"/>
    <x v="0"/>
    <x v="0"/>
    <x v="738"/>
    <x v="0"/>
    <x v="1"/>
  </r>
  <r>
    <x v="739"/>
    <x v="315"/>
    <x v="0"/>
    <x v="1"/>
    <x v="15"/>
    <x v="8"/>
    <x v="7"/>
    <x v="2"/>
    <x v="3"/>
    <x v="5"/>
    <x v="730"/>
    <x v="1"/>
    <x v="736"/>
    <x v="737"/>
    <x v="738"/>
    <x v="5"/>
    <x v="2"/>
    <x v="0"/>
    <x v="0"/>
    <x v="0"/>
    <x v="1"/>
    <x v="0"/>
    <x v="1"/>
    <x v="739"/>
    <x v="1"/>
    <x v="1"/>
  </r>
  <r>
    <x v="740"/>
    <x v="38"/>
    <x v="0"/>
    <x v="3"/>
    <x v="17"/>
    <x v="6"/>
    <x v="5"/>
    <x v="3"/>
    <x v="1"/>
    <x v="2"/>
    <x v="731"/>
    <x v="0"/>
    <x v="737"/>
    <x v="738"/>
    <x v="739"/>
    <x v="9"/>
    <x v="1"/>
    <x v="0"/>
    <x v="0"/>
    <x v="1"/>
    <x v="1"/>
    <x v="0"/>
    <x v="3"/>
    <x v="740"/>
    <x v="3"/>
    <x v="1"/>
  </r>
  <r>
    <x v="741"/>
    <x v="140"/>
    <x v="0"/>
    <x v="1"/>
    <x v="10"/>
    <x v="7"/>
    <x v="6"/>
    <x v="2"/>
    <x v="1"/>
    <x v="3"/>
    <x v="732"/>
    <x v="0"/>
    <x v="738"/>
    <x v="739"/>
    <x v="740"/>
    <x v="12"/>
    <x v="8"/>
    <x v="0"/>
    <x v="0"/>
    <x v="1"/>
    <x v="1"/>
    <x v="0"/>
    <x v="1"/>
    <x v="741"/>
    <x v="1"/>
    <x v="0"/>
  </r>
  <r>
    <x v="742"/>
    <x v="286"/>
    <x v="0"/>
    <x v="3"/>
    <x v="3"/>
    <x v="1"/>
    <x v="1"/>
    <x v="0"/>
    <x v="2"/>
    <x v="2"/>
    <x v="733"/>
    <x v="0"/>
    <x v="739"/>
    <x v="740"/>
    <x v="741"/>
    <x v="8"/>
    <x v="9"/>
    <x v="0"/>
    <x v="0"/>
    <x v="0"/>
    <x v="1"/>
    <x v="0"/>
    <x v="3"/>
    <x v="742"/>
    <x v="3"/>
    <x v="1"/>
  </r>
  <r>
    <x v="743"/>
    <x v="101"/>
    <x v="0"/>
    <x v="1"/>
    <x v="1"/>
    <x v="1"/>
    <x v="1"/>
    <x v="0"/>
    <x v="1"/>
    <x v="3"/>
    <x v="734"/>
    <x v="3"/>
    <x v="740"/>
    <x v="741"/>
    <x v="742"/>
    <x v="0"/>
    <x v="1"/>
    <x v="0"/>
    <x v="1"/>
    <x v="1"/>
    <x v="0"/>
    <x v="0"/>
    <x v="1"/>
    <x v="743"/>
    <x v="1"/>
    <x v="1"/>
  </r>
  <r>
    <x v="744"/>
    <x v="11"/>
    <x v="2"/>
    <x v="2"/>
    <x v="14"/>
    <x v="7"/>
    <x v="6"/>
    <x v="2"/>
    <x v="0"/>
    <x v="5"/>
    <x v="735"/>
    <x v="2"/>
    <x v="741"/>
    <x v="742"/>
    <x v="743"/>
    <x v="0"/>
    <x v="2"/>
    <x v="0"/>
    <x v="0"/>
    <x v="0"/>
    <x v="0"/>
    <x v="1"/>
    <x v="2"/>
    <x v="744"/>
    <x v="2"/>
    <x v="1"/>
  </r>
  <r>
    <x v="745"/>
    <x v="8"/>
    <x v="1"/>
    <x v="2"/>
    <x v="12"/>
    <x v="5"/>
    <x v="4"/>
    <x v="2"/>
    <x v="2"/>
    <x v="0"/>
    <x v="736"/>
    <x v="0"/>
    <x v="742"/>
    <x v="743"/>
    <x v="437"/>
    <x v="1"/>
    <x v="0"/>
    <x v="0"/>
    <x v="0"/>
    <x v="0"/>
    <x v="1"/>
    <x v="0"/>
    <x v="2"/>
    <x v="745"/>
    <x v="2"/>
    <x v="1"/>
  </r>
  <r>
    <x v="746"/>
    <x v="190"/>
    <x v="1"/>
    <x v="2"/>
    <x v="2"/>
    <x v="7"/>
    <x v="6"/>
    <x v="2"/>
    <x v="1"/>
    <x v="2"/>
    <x v="737"/>
    <x v="1"/>
    <x v="743"/>
    <x v="744"/>
    <x v="744"/>
    <x v="21"/>
    <x v="9"/>
    <x v="0"/>
    <x v="0"/>
    <x v="0"/>
    <x v="0"/>
    <x v="0"/>
    <x v="2"/>
    <x v="746"/>
    <x v="2"/>
    <x v="1"/>
  </r>
  <r>
    <x v="747"/>
    <x v="270"/>
    <x v="0"/>
    <x v="2"/>
    <x v="4"/>
    <x v="8"/>
    <x v="7"/>
    <x v="2"/>
    <x v="0"/>
    <x v="5"/>
    <x v="738"/>
    <x v="3"/>
    <x v="744"/>
    <x v="745"/>
    <x v="745"/>
    <x v="21"/>
    <x v="6"/>
    <x v="0"/>
    <x v="0"/>
    <x v="0"/>
    <x v="0"/>
    <x v="0"/>
    <x v="2"/>
    <x v="747"/>
    <x v="2"/>
    <x v="1"/>
  </r>
  <r>
    <x v="748"/>
    <x v="316"/>
    <x v="2"/>
    <x v="4"/>
    <x v="19"/>
    <x v="2"/>
    <x v="2"/>
    <x v="1"/>
    <x v="1"/>
    <x v="6"/>
    <x v="739"/>
    <x v="2"/>
    <x v="745"/>
    <x v="746"/>
    <x v="746"/>
    <x v="3"/>
    <x v="9"/>
    <x v="0"/>
    <x v="0"/>
    <x v="0"/>
    <x v="0"/>
    <x v="1"/>
    <x v="4"/>
    <x v="748"/>
    <x v="4"/>
    <x v="1"/>
  </r>
  <r>
    <x v="749"/>
    <x v="203"/>
    <x v="1"/>
    <x v="2"/>
    <x v="14"/>
    <x v="1"/>
    <x v="1"/>
    <x v="0"/>
    <x v="1"/>
    <x v="5"/>
    <x v="740"/>
    <x v="2"/>
    <x v="746"/>
    <x v="747"/>
    <x v="747"/>
    <x v="1"/>
    <x v="2"/>
    <x v="0"/>
    <x v="0"/>
    <x v="0"/>
    <x v="1"/>
    <x v="1"/>
    <x v="2"/>
    <x v="749"/>
    <x v="2"/>
    <x v="1"/>
  </r>
  <r>
    <x v="750"/>
    <x v="16"/>
    <x v="0"/>
    <x v="0"/>
    <x v="13"/>
    <x v="9"/>
    <x v="8"/>
    <x v="2"/>
    <x v="3"/>
    <x v="5"/>
    <x v="741"/>
    <x v="0"/>
    <x v="747"/>
    <x v="748"/>
    <x v="748"/>
    <x v="8"/>
    <x v="8"/>
    <x v="0"/>
    <x v="0"/>
    <x v="0"/>
    <x v="1"/>
    <x v="0"/>
    <x v="0"/>
    <x v="750"/>
    <x v="0"/>
    <x v="1"/>
  </r>
  <r>
    <x v="751"/>
    <x v="121"/>
    <x v="1"/>
    <x v="0"/>
    <x v="13"/>
    <x v="8"/>
    <x v="7"/>
    <x v="2"/>
    <x v="1"/>
    <x v="1"/>
    <x v="742"/>
    <x v="2"/>
    <x v="748"/>
    <x v="749"/>
    <x v="749"/>
    <x v="8"/>
    <x v="9"/>
    <x v="0"/>
    <x v="0"/>
    <x v="0"/>
    <x v="1"/>
    <x v="1"/>
    <x v="0"/>
    <x v="751"/>
    <x v="0"/>
    <x v="1"/>
  </r>
  <r>
    <x v="752"/>
    <x v="34"/>
    <x v="1"/>
    <x v="4"/>
    <x v="8"/>
    <x v="8"/>
    <x v="7"/>
    <x v="2"/>
    <x v="1"/>
    <x v="2"/>
    <x v="743"/>
    <x v="3"/>
    <x v="749"/>
    <x v="750"/>
    <x v="750"/>
    <x v="13"/>
    <x v="2"/>
    <x v="0"/>
    <x v="0"/>
    <x v="0"/>
    <x v="1"/>
    <x v="0"/>
    <x v="4"/>
    <x v="752"/>
    <x v="4"/>
    <x v="1"/>
  </r>
  <r>
    <x v="753"/>
    <x v="118"/>
    <x v="0"/>
    <x v="2"/>
    <x v="2"/>
    <x v="8"/>
    <x v="7"/>
    <x v="2"/>
    <x v="0"/>
    <x v="0"/>
    <x v="744"/>
    <x v="3"/>
    <x v="750"/>
    <x v="751"/>
    <x v="751"/>
    <x v="1"/>
    <x v="3"/>
    <x v="0"/>
    <x v="0"/>
    <x v="0"/>
    <x v="1"/>
    <x v="0"/>
    <x v="2"/>
    <x v="753"/>
    <x v="2"/>
    <x v="1"/>
  </r>
  <r>
    <x v="754"/>
    <x v="307"/>
    <x v="1"/>
    <x v="2"/>
    <x v="14"/>
    <x v="0"/>
    <x v="0"/>
    <x v="0"/>
    <x v="0"/>
    <x v="0"/>
    <x v="745"/>
    <x v="2"/>
    <x v="751"/>
    <x v="752"/>
    <x v="752"/>
    <x v="1"/>
    <x v="1"/>
    <x v="0"/>
    <x v="0"/>
    <x v="0"/>
    <x v="1"/>
    <x v="1"/>
    <x v="2"/>
    <x v="754"/>
    <x v="2"/>
    <x v="1"/>
  </r>
  <r>
    <x v="755"/>
    <x v="20"/>
    <x v="1"/>
    <x v="2"/>
    <x v="12"/>
    <x v="8"/>
    <x v="7"/>
    <x v="2"/>
    <x v="3"/>
    <x v="1"/>
    <x v="746"/>
    <x v="2"/>
    <x v="752"/>
    <x v="753"/>
    <x v="753"/>
    <x v="18"/>
    <x v="0"/>
    <x v="0"/>
    <x v="0"/>
    <x v="0"/>
    <x v="1"/>
    <x v="1"/>
    <x v="2"/>
    <x v="755"/>
    <x v="2"/>
    <x v="1"/>
  </r>
  <r>
    <x v="756"/>
    <x v="77"/>
    <x v="0"/>
    <x v="1"/>
    <x v="1"/>
    <x v="1"/>
    <x v="1"/>
    <x v="0"/>
    <x v="1"/>
    <x v="3"/>
    <x v="747"/>
    <x v="0"/>
    <x v="753"/>
    <x v="754"/>
    <x v="754"/>
    <x v="4"/>
    <x v="8"/>
    <x v="0"/>
    <x v="0"/>
    <x v="0"/>
    <x v="0"/>
    <x v="0"/>
    <x v="1"/>
    <x v="756"/>
    <x v="1"/>
    <x v="1"/>
  </r>
  <r>
    <x v="757"/>
    <x v="240"/>
    <x v="2"/>
    <x v="3"/>
    <x v="9"/>
    <x v="2"/>
    <x v="2"/>
    <x v="1"/>
    <x v="3"/>
    <x v="4"/>
    <x v="748"/>
    <x v="2"/>
    <x v="754"/>
    <x v="755"/>
    <x v="755"/>
    <x v="25"/>
    <x v="2"/>
    <x v="0"/>
    <x v="1"/>
    <x v="1"/>
    <x v="1"/>
    <x v="1"/>
    <x v="3"/>
    <x v="757"/>
    <x v="3"/>
    <x v="1"/>
  </r>
  <r>
    <x v="758"/>
    <x v="235"/>
    <x v="2"/>
    <x v="1"/>
    <x v="1"/>
    <x v="2"/>
    <x v="2"/>
    <x v="1"/>
    <x v="1"/>
    <x v="3"/>
    <x v="749"/>
    <x v="1"/>
    <x v="755"/>
    <x v="756"/>
    <x v="756"/>
    <x v="25"/>
    <x v="0"/>
    <x v="0"/>
    <x v="0"/>
    <x v="0"/>
    <x v="1"/>
    <x v="0"/>
    <x v="1"/>
    <x v="758"/>
    <x v="1"/>
    <x v="1"/>
  </r>
  <r>
    <x v="759"/>
    <x v="237"/>
    <x v="1"/>
    <x v="3"/>
    <x v="3"/>
    <x v="8"/>
    <x v="7"/>
    <x v="2"/>
    <x v="2"/>
    <x v="0"/>
    <x v="750"/>
    <x v="2"/>
    <x v="756"/>
    <x v="757"/>
    <x v="757"/>
    <x v="12"/>
    <x v="8"/>
    <x v="0"/>
    <x v="0"/>
    <x v="0"/>
    <x v="1"/>
    <x v="1"/>
    <x v="3"/>
    <x v="759"/>
    <x v="3"/>
    <x v="1"/>
  </r>
  <r>
    <x v="760"/>
    <x v="317"/>
    <x v="1"/>
    <x v="2"/>
    <x v="14"/>
    <x v="6"/>
    <x v="5"/>
    <x v="3"/>
    <x v="2"/>
    <x v="5"/>
    <x v="751"/>
    <x v="3"/>
    <x v="757"/>
    <x v="758"/>
    <x v="758"/>
    <x v="5"/>
    <x v="10"/>
    <x v="0"/>
    <x v="0"/>
    <x v="0"/>
    <x v="1"/>
    <x v="0"/>
    <x v="2"/>
    <x v="760"/>
    <x v="2"/>
    <x v="1"/>
  </r>
  <r>
    <x v="761"/>
    <x v="63"/>
    <x v="0"/>
    <x v="2"/>
    <x v="2"/>
    <x v="1"/>
    <x v="1"/>
    <x v="0"/>
    <x v="3"/>
    <x v="1"/>
    <x v="752"/>
    <x v="1"/>
    <x v="758"/>
    <x v="759"/>
    <x v="759"/>
    <x v="21"/>
    <x v="0"/>
    <x v="0"/>
    <x v="0"/>
    <x v="0"/>
    <x v="0"/>
    <x v="0"/>
    <x v="2"/>
    <x v="761"/>
    <x v="2"/>
    <x v="1"/>
  </r>
  <r>
    <x v="762"/>
    <x v="273"/>
    <x v="1"/>
    <x v="1"/>
    <x v="15"/>
    <x v="1"/>
    <x v="1"/>
    <x v="0"/>
    <x v="3"/>
    <x v="6"/>
    <x v="753"/>
    <x v="1"/>
    <x v="759"/>
    <x v="760"/>
    <x v="760"/>
    <x v="23"/>
    <x v="8"/>
    <x v="0"/>
    <x v="0"/>
    <x v="0"/>
    <x v="1"/>
    <x v="0"/>
    <x v="1"/>
    <x v="762"/>
    <x v="1"/>
    <x v="1"/>
  </r>
  <r>
    <x v="763"/>
    <x v="279"/>
    <x v="1"/>
    <x v="1"/>
    <x v="5"/>
    <x v="4"/>
    <x v="1"/>
    <x v="0"/>
    <x v="3"/>
    <x v="2"/>
    <x v="754"/>
    <x v="3"/>
    <x v="760"/>
    <x v="761"/>
    <x v="761"/>
    <x v="1"/>
    <x v="4"/>
    <x v="0"/>
    <x v="0"/>
    <x v="0"/>
    <x v="1"/>
    <x v="0"/>
    <x v="1"/>
    <x v="763"/>
    <x v="1"/>
    <x v="1"/>
  </r>
  <r>
    <x v="764"/>
    <x v="291"/>
    <x v="0"/>
    <x v="3"/>
    <x v="17"/>
    <x v="3"/>
    <x v="3"/>
    <x v="0"/>
    <x v="0"/>
    <x v="2"/>
    <x v="755"/>
    <x v="3"/>
    <x v="761"/>
    <x v="762"/>
    <x v="762"/>
    <x v="13"/>
    <x v="1"/>
    <x v="0"/>
    <x v="0"/>
    <x v="0"/>
    <x v="1"/>
    <x v="0"/>
    <x v="3"/>
    <x v="764"/>
    <x v="3"/>
    <x v="1"/>
  </r>
  <r>
    <x v="765"/>
    <x v="186"/>
    <x v="1"/>
    <x v="0"/>
    <x v="18"/>
    <x v="5"/>
    <x v="4"/>
    <x v="2"/>
    <x v="0"/>
    <x v="2"/>
    <x v="756"/>
    <x v="3"/>
    <x v="762"/>
    <x v="763"/>
    <x v="763"/>
    <x v="25"/>
    <x v="8"/>
    <x v="0"/>
    <x v="0"/>
    <x v="0"/>
    <x v="1"/>
    <x v="0"/>
    <x v="0"/>
    <x v="765"/>
    <x v="0"/>
    <x v="1"/>
  </r>
  <r>
    <x v="766"/>
    <x v="19"/>
    <x v="2"/>
    <x v="3"/>
    <x v="17"/>
    <x v="5"/>
    <x v="4"/>
    <x v="2"/>
    <x v="0"/>
    <x v="5"/>
    <x v="757"/>
    <x v="1"/>
    <x v="763"/>
    <x v="764"/>
    <x v="764"/>
    <x v="17"/>
    <x v="4"/>
    <x v="0"/>
    <x v="0"/>
    <x v="0"/>
    <x v="1"/>
    <x v="0"/>
    <x v="3"/>
    <x v="766"/>
    <x v="3"/>
    <x v="1"/>
  </r>
  <r>
    <x v="767"/>
    <x v="37"/>
    <x v="1"/>
    <x v="1"/>
    <x v="10"/>
    <x v="6"/>
    <x v="5"/>
    <x v="3"/>
    <x v="3"/>
    <x v="6"/>
    <x v="758"/>
    <x v="3"/>
    <x v="764"/>
    <x v="765"/>
    <x v="765"/>
    <x v="6"/>
    <x v="11"/>
    <x v="0"/>
    <x v="0"/>
    <x v="0"/>
    <x v="0"/>
    <x v="0"/>
    <x v="1"/>
    <x v="767"/>
    <x v="1"/>
    <x v="1"/>
  </r>
  <r>
    <x v="768"/>
    <x v="152"/>
    <x v="0"/>
    <x v="1"/>
    <x v="1"/>
    <x v="5"/>
    <x v="4"/>
    <x v="2"/>
    <x v="1"/>
    <x v="1"/>
    <x v="759"/>
    <x v="0"/>
    <x v="765"/>
    <x v="766"/>
    <x v="766"/>
    <x v="1"/>
    <x v="3"/>
    <x v="0"/>
    <x v="0"/>
    <x v="0"/>
    <x v="1"/>
    <x v="0"/>
    <x v="1"/>
    <x v="768"/>
    <x v="1"/>
    <x v="1"/>
  </r>
  <r>
    <x v="769"/>
    <x v="4"/>
    <x v="1"/>
    <x v="4"/>
    <x v="19"/>
    <x v="4"/>
    <x v="1"/>
    <x v="0"/>
    <x v="2"/>
    <x v="1"/>
    <x v="760"/>
    <x v="3"/>
    <x v="766"/>
    <x v="767"/>
    <x v="767"/>
    <x v="12"/>
    <x v="3"/>
    <x v="0"/>
    <x v="1"/>
    <x v="1"/>
    <x v="1"/>
    <x v="0"/>
    <x v="4"/>
    <x v="769"/>
    <x v="4"/>
    <x v="1"/>
  </r>
  <r>
    <x v="770"/>
    <x v="3"/>
    <x v="0"/>
    <x v="1"/>
    <x v="5"/>
    <x v="7"/>
    <x v="6"/>
    <x v="2"/>
    <x v="3"/>
    <x v="2"/>
    <x v="761"/>
    <x v="3"/>
    <x v="767"/>
    <x v="768"/>
    <x v="768"/>
    <x v="9"/>
    <x v="2"/>
    <x v="0"/>
    <x v="0"/>
    <x v="0"/>
    <x v="1"/>
    <x v="0"/>
    <x v="1"/>
    <x v="770"/>
    <x v="1"/>
    <x v="1"/>
  </r>
  <r>
    <x v="771"/>
    <x v="151"/>
    <x v="0"/>
    <x v="4"/>
    <x v="16"/>
    <x v="5"/>
    <x v="4"/>
    <x v="2"/>
    <x v="0"/>
    <x v="6"/>
    <x v="762"/>
    <x v="0"/>
    <x v="768"/>
    <x v="769"/>
    <x v="769"/>
    <x v="2"/>
    <x v="10"/>
    <x v="0"/>
    <x v="0"/>
    <x v="0"/>
    <x v="1"/>
    <x v="0"/>
    <x v="4"/>
    <x v="771"/>
    <x v="4"/>
    <x v="1"/>
  </r>
  <r>
    <x v="772"/>
    <x v="235"/>
    <x v="0"/>
    <x v="0"/>
    <x v="0"/>
    <x v="1"/>
    <x v="1"/>
    <x v="0"/>
    <x v="0"/>
    <x v="6"/>
    <x v="763"/>
    <x v="2"/>
    <x v="769"/>
    <x v="770"/>
    <x v="770"/>
    <x v="7"/>
    <x v="0"/>
    <x v="0"/>
    <x v="0"/>
    <x v="0"/>
    <x v="1"/>
    <x v="1"/>
    <x v="0"/>
    <x v="772"/>
    <x v="0"/>
    <x v="1"/>
  </r>
  <r>
    <x v="773"/>
    <x v="286"/>
    <x v="0"/>
    <x v="3"/>
    <x v="7"/>
    <x v="7"/>
    <x v="6"/>
    <x v="2"/>
    <x v="3"/>
    <x v="6"/>
    <x v="764"/>
    <x v="2"/>
    <x v="770"/>
    <x v="771"/>
    <x v="771"/>
    <x v="7"/>
    <x v="9"/>
    <x v="0"/>
    <x v="0"/>
    <x v="0"/>
    <x v="1"/>
    <x v="1"/>
    <x v="3"/>
    <x v="773"/>
    <x v="3"/>
    <x v="1"/>
  </r>
  <r>
    <x v="774"/>
    <x v="1"/>
    <x v="1"/>
    <x v="3"/>
    <x v="17"/>
    <x v="5"/>
    <x v="4"/>
    <x v="2"/>
    <x v="3"/>
    <x v="0"/>
    <x v="765"/>
    <x v="3"/>
    <x v="771"/>
    <x v="772"/>
    <x v="772"/>
    <x v="4"/>
    <x v="1"/>
    <x v="0"/>
    <x v="0"/>
    <x v="0"/>
    <x v="0"/>
    <x v="0"/>
    <x v="3"/>
    <x v="774"/>
    <x v="3"/>
    <x v="1"/>
  </r>
  <r>
    <x v="775"/>
    <x v="288"/>
    <x v="1"/>
    <x v="4"/>
    <x v="8"/>
    <x v="1"/>
    <x v="1"/>
    <x v="0"/>
    <x v="0"/>
    <x v="0"/>
    <x v="766"/>
    <x v="0"/>
    <x v="772"/>
    <x v="773"/>
    <x v="773"/>
    <x v="17"/>
    <x v="3"/>
    <x v="0"/>
    <x v="1"/>
    <x v="1"/>
    <x v="1"/>
    <x v="0"/>
    <x v="4"/>
    <x v="775"/>
    <x v="4"/>
    <x v="1"/>
  </r>
  <r>
    <x v="776"/>
    <x v="262"/>
    <x v="0"/>
    <x v="3"/>
    <x v="3"/>
    <x v="1"/>
    <x v="1"/>
    <x v="0"/>
    <x v="1"/>
    <x v="2"/>
    <x v="767"/>
    <x v="1"/>
    <x v="773"/>
    <x v="774"/>
    <x v="774"/>
    <x v="5"/>
    <x v="6"/>
    <x v="0"/>
    <x v="0"/>
    <x v="0"/>
    <x v="1"/>
    <x v="0"/>
    <x v="3"/>
    <x v="776"/>
    <x v="3"/>
    <x v="1"/>
  </r>
  <r>
    <x v="777"/>
    <x v="97"/>
    <x v="2"/>
    <x v="1"/>
    <x v="15"/>
    <x v="8"/>
    <x v="7"/>
    <x v="2"/>
    <x v="0"/>
    <x v="6"/>
    <x v="768"/>
    <x v="1"/>
    <x v="774"/>
    <x v="775"/>
    <x v="775"/>
    <x v="0"/>
    <x v="9"/>
    <x v="0"/>
    <x v="0"/>
    <x v="0"/>
    <x v="0"/>
    <x v="0"/>
    <x v="1"/>
    <x v="777"/>
    <x v="1"/>
    <x v="1"/>
  </r>
  <r>
    <x v="778"/>
    <x v="262"/>
    <x v="2"/>
    <x v="2"/>
    <x v="2"/>
    <x v="2"/>
    <x v="2"/>
    <x v="1"/>
    <x v="0"/>
    <x v="4"/>
    <x v="769"/>
    <x v="3"/>
    <x v="775"/>
    <x v="776"/>
    <x v="776"/>
    <x v="19"/>
    <x v="6"/>
    <x v="0"/>
    <x v="0"/>
    <x v="0"/>
    <x v="0"/>
    <x v="0"/>
    <x v="2"/>
    <x v="778"/>
    <x v="2"/>
    <x v="1"/>
  </r>
  <r>
    <x v="779"/>
    <x v="112"/>
    <x v="2"/>
    <x v="4"/>
    <x v="16"/>
    <x v="6"/>
    <x v="5"/>
    <x v="3"/>
    <x v="3"/>
    <x v="6"/>
    <x v="770"/>
    <x v="2"/>
    <x v="776"/>
    <x v="777"/>
    <x v="777"/>
    <x v="11"/>
    <x v="11"/>
    <x v="0"/>
    <x v="0"/>
    <x v="1"/>
    <x v="1"/>
    <x v="1"/>
    <x v="4"/>
    <x v="779"/>
    <x v="4"/>
    <x v="1"/>
  </r>
  <r>
    <x v="780"/>
    <x v="294"/>
    <x v="0"/>
    <x v="3"/>
    <x v="9"/>
    <x v="4"/>
    <x v="1"/>
    <x v="0"/>
    <x v="1"/>
    <x v="1"/>
    <x v="771"/>
    <x v="1"/>
    <x v="777"/>
    <x v="778"/>
    <x v="778"/>
    <x v="2"/>
    <x v="5"/>
    <x v="0"/>
    <x v="1"/>
    <x v="1"/>
    <x v="1"/>
    <x v="0"/>
    <x v="3"/>
    <x v="780"/>
    <x v="3"/>
    <x v="1"/>
  </r>
  <r>
    <x v="781"/>
    <x v="10"/>
    <x v="1"/>
    <x v="4"/>
    <x v="16"/>
    <x v="0"/>
    <x v="0"/>
    <x v="0"/>
    <x v="0"/>
    <x v="1"/>
    <x v="772"/>
    <x v="1"/>
    <x v="778"/>
    <x v="779"/>
    <x v="779"/>
    <x v="25"/>
    <x v="1"/>
    <x v="0"/>
    <x v="1"/>
    <x v="1"/>
    <x v="1"/>
    <x v="0"/>
    <x v="4"/>
    <x v="781"/>
    <x v="4"/>
    <x v="1"/>
  </r>
  <r>
    <x v="782"/>
    <x v="207"/>
    <x v="2"/>
    <x v="4"/>
    <x v="19"/>
    <x v="3"/>
    <x v="3"/>
    <x v="0"/>
    <x v="0"/>
    <x v="2"/>
    <x v="773"/>
    <x v="1"/>
    <x v="779"/>
    <x v="780"/>
    <x v="780"/>
    <x v="18"/>
    <x v="5"/>
    <x v="0"/>
    <x v="1"/>
    <x v="1"/>
    <x v="1"/>
    <x v="0"/>
    <x v="4"/>
    <x v="782"/>
    <x v="4"/>
    <x v="1"/>
  </r>
  <r>
    <x v="783"/>
    <x v="313"/>
    <x v="1"/>
    <x v="2"/>
    <x v="2"/>
    <x v="5"/>
    <x v="4"/>
    <x v="2"/>
    <x v="2"/>
    <x v="4"/>
    <x v="774"/>
    <x v="2"/>
    <x v="780"/>
    <x v="781"/>
    <x v="781"/>
    <x v="22"/>
    <x v="6"/>
    <x v="0"/>
    <x v="0"/>
    <x v="0"/>
    <x v="1"/>
    <x v="1"/>
    <x v="2"/>
    <x v="783"/>
    <x v="2"/>
    <x v="1"/>
  </r>
  <r>
    <x v="784"/>
    <x v="238"/>
    <x v="0"/>
    <x v="1"/>
    <x v="5"/>
    <x v="5"/>
    <x v="4"/>
    <x v="2"/>
    <x v="3"/>
    <x v="6"/>
    <x v="775"/>
    <x v="0"/>
    <x v="781"/>
    <x v="782"/>
    <x v="782"/>
    <x v="17"/>
    <x v="0"/>
    <x v="0"/>
    <x v="0"/>
    <x v="0"/>
    <x v="1"/>
    <x v="0"/>
    <x v="1"/>
    <x v="784"/>
    <x v="1"/>
    <x v="1"/>
  </r>
  <r>
    <x v="785"/>
    <x v="35"/>
    <x v="0"/>
    <x v="4"/>
    <x v="16"/>
    <x v="7"/>
    <x v="6"/>
    <x v="2"/>
    <x v="2"/>
    <x v="3"/>
    <x v="776"/>
    <x v="3"/>
    <x v="782"/>
    <x v="783"/>
    <x v="783"/>
    <x v="4"/>
    <x v="6"/>
    <x v="0"/>
    <x v="1"/>
    <x v="1"/>
    <x v="0"/>
    <x v="0"/>
    <x v="4"/>
    <x v="785"/>
    <x v="4"/>
    <x v="0"/>
  </r>
  <r>
    <x v="786"/>
    <x v="42"/>
    <x v="1"/>
    <x v="3"/>
    <x v="3"/>
    <x v="7"/>
    <x v="6"/>
    <x v="2"/>
    <x v="2"/>
    <x v="4"/>
    <x v="777"/>
    <x v="0"/>
    <x v="783"/>
    <x v="784"/>
    <x v="784"/>
    <x v="13"/>
    <x v="1"/>
    <x v="0"/>
    <x v="1"/>
    <x v="1"/>
    <x v="1"/>
    <x v="0"/>
    <x v="3"/>
    <x v="786"/>
    <x v="3"/>
    <x v="1"/>
  </r>
  <r>
    <x v="787"/>
    <x v="151"/>
    <x v="2"/>
    <x v="0"/>
    <x v="0"/>
    <x v="3"/>
    <x v="3"/>
    <x v="0"/>
    <x v="0"/>
    <x v="2"/>
    <x v="778"/>
    <x v="0"/>
    <x v="784"/>
    <x v="785"/>
    <x v="785"/>
    <x v="17"/>
    <x v="10"/>
    <x v="0"/>
    <x v="0"/>
    <x v="0"/>
    <x v="1"/>
    <x v="0"/>
    <x v="0"/>
    <x v="787"/>
    <x v="0"/>
    <x v="1"/>
  </r>
  <r>
    <x v="788"/>
    <x v="33"/>
    <x v="1"/>
    <x v="4"/>
    <x v="19"/>
    <x v="5"/>
    <x v="4"/>
    <x v="2"/>
    <x v="3"/>
    <x v="1"/>
    <x v="779"/>
    <x v="0"/>
    <x v="785"/>
    <x v="786"/>
    <x v="786"/>
    <x v="14"/>
    <x v="9"/>
    <x v="0"/>
    <x v="0"/>
    <x v="1"/>
    <x v="1"/>
    <x v="0"/>
    <x v="4"/>
    <x v="788"/>
    <x v="4"/>
    <x v="0"/>
  </r>
  <r>
    <x v="789"/>
    <x v="222"/>
    <x v="1"/>
    <x v="4"/>
    <x v="8"/>
    <x v="9"/>
    <x v="8"/>
    <x v="2"/>
    <x v="1"/>
    <x v="3"/>
    <x v="780"/>
    <x v="1"/>
    <x v="786"/>
    <x v="787"/>
    <x v="787"/>
    <x v="0"/>
    <x v="0"/>
    <x v="0"/>
    <x v="1"/>
    <x v="1"/>
    <x v="0"/>
    <x v="0"/>
    <x v="4"/>
    <x v="789"/>
    <x v="4"/>
    <x v="1"/>
  </r>
  <r>
    <x v="790"/>
    <x v="146"/>
    <x v="0"/>
    <x v="2"/>
    <x v="12"/>
    <x v="4"/>
    <x v="1"/>
    <x v="0"/>
    <x v="0"/>
    <x v="1"/>
    <x v="781"/>
    <x v="2"/>
    <x v="787"/>
    <x v="788"/>
    <x v="788"/>
    <x v="17"/>
    <x v="9"/>
    <x v="0"/>
    <x v="0"/>
    <x v="0"/>
    <x v="1"/>
    <x v="1"/>
    <x v="2"/>
    <x v="790"/>
    <x v="2"/>
    <x v="1"/>
  </r>
  <r>
    <x v="791"/>
    <x v="279"/>
    <x v="1"/>
    <x v="1"/>
    <x v="15"/>
    <x v="5"/>
    <x v="4"/>
    <x v="2"/>
    <x v="1"/>
    <x v="0"/>
    <x v="782"/>
    <x v="3"/>
    <x v="788"/>
    <x v="789"/>
    <x v="789"/>
    <x v="21"/>
    <x v="4"/>
    <x v="0"/>
    <x v="0"/>
    <x v="0"/>
    <x v="0"/>
    <x v="0"/>
    <x v="1"/>
    <x v="791"/>
    <x v="1"/>
    <x v="1"/>
  </r>
  <r>
    <x v="792"/>
    <x v="194"/>
    <x v="2"/>
    <x v="0"/>
    <x v="13"/>
    <x v="2"/>
    <x v="2"/>
    <x v="1"/>
    <x v="1"/>
    <x v="2"/>
    <x v="783"/>
    <x v="0"/>
    <x v="789"/>
    <x v="790"/>
    <x v="790"/>
    <x v="22"/>
    <x v="5"/>
    <x v="0"/>
    <x v="0"/>
    <x v="0"/>
    <x v="1"/>
    <x v="0"/>
    <x v="0"/>
    <x v="792"/>
    <x v="0"/>
    <x v="1"/>
  </r>
  <r>
    <x v="793"/>
    <x v="318"/>
    <x v="0"/>
    <x v="3"/>
    <x v="17"/>
    <x v="3"/>
    <x v="3"/>
    <x v="0"/>
    <x v="3"/>
    <x v="2"/>
    <x v="784"/>
    <x v="1"/>
    <x v="790"/>
    <x v="791"/>
    <x v="791"/>
    <x v="21"/>
    <x v="5"/>
    <x v="0"/>
    <x v="0"/>
    <x v="1"/>
    <x v="0"/>
    <x v="0"/>
    <x v="3"/>
    <x v="793"/>
    <x v="3"/>
    <x v="1"/>
  </r>
  <r>
    <x v="794"/>
    <x v="59"/>
    <x v="1"/>
    <x v="0"/>
    <x v="6"/>
    <x v="9"/>
    <x v="8"/>
    <x v="2"/>
    <x v="2"/>
    <x v="6"/>
    <x v="785"/>
    <x v="3"/>
    <x v="791"/>
    <x v="792"/>
    <x v="792"/>
    <x v="22"/>
    <x v="1"/>
    <x v="0"/>
    <x v="0"/>
    <x v="0"/>
    <x v="1"/>
    <x v="0"/>
    <x v="0"/>
    <x v="794"/>
    <x v="0"/>
    <x v="1"/>
  </r>
  <r>
    <x v="795"/>
    <x v="319"/>
    <x v="2"/>
    <x v="3"/>
    <x v="9"/>
    <x v="4"/>
    <x v="1"/>
    <x v="0"/>
    <x v="3"/>
    <x v="6"/>
    <x v="786"/>
    <x v="3"/>
    <x v="792"/>
    <x v="793"/>
    <x v="793"/>
    <x v="18"/>
    <x v="7"/>
    <x v="0"/>
    <x v="0"/>
    <x v="0"/>
    <x v="1"/>
    <x v="0"/>
    <x v="3"/>
    <x v="795"/>
    <x v="3"/>
    <x v="1"/>
  </r>
  <r>
    <x v="796"/>
    <x v="320"/>
    <x v="0"/>
    <x v="1"/>
    <x v="5"/>
    <x v="5"/>
    <x v="4"/>
    <x v="2"/>
    <x v="1"/>
    <x v="0"/>
    <x v="787"/>
    <x v="0"/>
    <x v="793"/>
    <x v="794"/>
    <x v="794"/>
    <x v="5"/>
    <x v="10"/>
    <x v="0"/>
    <x v="0"/>
    <x v="0"/>
    <x v="1"/>
    <x v="0"/>
    <x v="1"/>
    <x v="796"/>
    <x v="1"/>
    <x v="1"/>
  </r>
  <r>
    <x v="797"/>
    <x v="117"/>
    <x v="1"/>
    <x v="3"/>
    <x v="17"/>
    <x v="0"/>
    <x v="0"/>
    <x v="0"/>
    <x v="0"/>
    <x v="3"/>
    <x v="788"/>
    <x v="1"/>
    <x v="794"/>
    <x v="795"/>
    <x v="795"/>
    <x v="25"/>
    <x v="0"/>
    <x v="0"/>
    <x v="0"/>
    <x v="1"/>
    <x v="1"/>
    <x v="0"/>
    <x v="3"/>
    <x v="797"/>
    <x v="3"/>
    <x v="1"/>
  </r>
  <r>
    <x v="798"/>
    <x v="142"/>
    <x v="0"/>
    <x v="2"/>
    <x v="12"/>
    <x v="8"/>
    <x v="7"/>
    <x v="2"/>
    <x v="1"/>
    <x v="5"/>
    <x v="789"/>
    <x v="2"/>
    <x v="795"/>
    <x v="796"/>
    <x v="796"/>
    <x v="1"/>
    <x v="7"/>
    <x v="0"/>
    <x v="0"/>
    <x v="0"/>
    <x v="1"/>
    <x v="1"/>
    <x v="2"/>
    <x v="798"/>
    <x v="2"/>
    <x v="1"/>
  </r>
  <r>
    <x v="799"/>
    <x v="173"/>
    <x v="1"/>
    <x v="2"/>
    <x v="12"/>
    <x v="2"/>
    <x v="2"/>
    <x v="1"/>
    <x v="0"/>
    <x v="4"/>
    <x v="790"/>
    <x v="1"/>
    <x v="796"/>
    <x v="797"/>
    <x v="797"/>
    <x v="16"/>
    <x v="0"/>
    <x v="0"/>
    <x v="0"/>
    <x v="0"/>
    <x v="0"/>
    <x v="0"/>
    <x v="2"/>
    <x v="799"/>
    <x v="2"/>
    <x v="1"/>
  </r>
  <r>
    <x v="800"/>
    <x v="66"/>
    <x v="1"/>
    <x v="2"/>
    <x v="2"/>
    <x v="0"/>
    <x v="0"/>
    <x v="0"/>
    <x v="0"/>
    <x v="5"/>
    <x v="791"/>
    <x v="0"/>
    <x v="797"/>
    <x v="798"/>
    <x v="798"/>
    <x v="8"/>
    <x v="9"/>
    <x v="0"/>
    <x v="0"/>
    <x v="0"/>
    <x v="1"/>
    <x v="0"/>
    <x v="2"/>
    <x v="800"/>
    <x v="2"/>
    <x v="1"/>
  </r>
  <r>
    <x v="801"/>
    <x v="321"/>
    <x v="1"/>
    <x v="2"/>
    <x v="14"/>
    <x v="7"/>
    <x v="6"/>
    <x v="2"/>
    <x v="3"/>
    <x v="5"/>
    <x v="792"/>
    <x v="2"/>
    <x v="798"/>
    <x v="799"/>
    <x v="799"/>
    <x v="14"/>
    <x v="0"/>
    <x v="0"/>
    <x v="0"/>
    <x v="0"/>
    <x v="1"/>
    <x v="1"/>
    <x v="2"/>
    <x v="801"/>
    <x v="2"/>
    <x v="1"/>
  </r>
  <r>
    <x v="802"/>
    <x v="235"/>
    <x v="1"/>
    <x v="0"/>
    <x v="13"/>
    <x v="7"/>
    <x v="6"/>
    <x v="2"/>
    <x v="1"/>
    <x v="2"/>
    <x v="793"/>
    <x v="0"/>
    <x v="799"/>
    <x v="800"/>
    <x v="800"/>
    <x v="13"/>
    <x v="0"/>
    <x v="0"/>
    <x v="0"/>
    <x v="0"/>
    <x v="1"/>
    <x v="0"/>
    <x v="0"/>
    <x v="802"/>
    <x v="0"/>
    <x v="0"/>
  </r>
  <r>
    <x v="803"/>
    <x v="38"/>
    <x v="0"/>
    <x v="1"/>
    <x v="1"/>
    <x v="5"/>
    <x v="4"/>
    <x v="2"/>
    <x v="2"/>
    <x v="4"/>
    <x v="794"/>
    <x v="0"/>
    <x v="800"/>
    <x v="801"/>
    <x v="801"/>
    <x v="21"/>
    <x v="1"/>
    <x v="0"/>
    <x v="1"/>
    <x v="1"/>
    <x v="0"/>
    <x v="0"/>
    <x v="1"/>
    <x v="803"/>
    <x v="1"/>
    <x v="1"/>
  </r>
  <r>
    <x v="804"/>
    <x v="31"/>
    <x v="2"/>
    <x v="3"/>
    <x v="9"/>
    <x v="7"/>
    <x v="6"/>
    <x v="2"/>
    <x v="1"/>
    <x v="2"/>
    <x v="795"/>
    <x v="0"/>
    <x v="801"/>
    <x v="802"/>
    <x v="802"/>
    <x v="19"/>
    <x v="8"/>
    <x v="0"/>
    <x v="0"/>
    <x v="0"/>
    <x v="0"/>
    <x v="0"/>
    <x v="3"/>
    <x v="804"/>
    <x v="3"/>
    <x v="1"/>
  </r>
  <r>
    <x v="805"/>
    <x v="132"/>
    <x v="1"/>
    <x v="3"/>
    <x v="7"/>
    <x v="2"/>
    <x v="2"/>
    <x v="1"/>
    <x v="1"/>
    <x v="4"/>
    <x v="796"/>
    <x v="3"/>
    <x v="802"/>
    <x v="803"/>
    <x v="803"/>
    <x v="21"/>
    <x v="3"/>
    <x v="0"/>
    <x v="1"/>
    <x v="1"/>
    <x v="0"/>
    <x v="0"/>
    <x v="3"/>
    <x v="805"/>
    <x v="3"/>
    <x v="1"/>
  </r>
  <r>
    <x v="806"/>
    <x v="322"/>
    <x v="0"/>
    <x v="2"/>
    <x v="14"/>
    <x v="4"/>
    <x v="1"/>
    <x v="0"/>
    <x v="2"/>
    <x v="1"/>
    <x v="797"/>
    <x v="2"/>
    <x v="803"/>
    <x v="804"/>
    <x v="804"/>
    <x v="2"/>
    <x v="7"/>
    <x v="0"/>
    <x v="0"/>
    <x v="0"/>
    <x v="1"/>
    <x v="1"/>
    <x v="2"/>
    <x v="806"/>
    <x v="2"/>
    <x v="1"/>
  </r>
  <r>
    <x v="807"/>
    <x v="299"/>
    <x v="1"/>
    <x v="2"/>
    <x v="2"/>
    <x v="1"/>
    <x v="1"/>
    <x v="0"/>
    <x v="3"/>
    <x v="2"/>
    <x v="798"/>
    <x v="3"/>
    <x v="804"/>
    <x v="805"/>
    <x v="805"/>
    <x v="7"/>
    <x v="2"/>
    <x v="0"/>
    <x v="0"/>
    <x v="0"/>
    <x v="1"/>
    <x v="0"/>
    <x v="2"/>
    <x v="807"/>
    <x v="2"/>
    <x v="1"/>
  </r>
  <r>
    <x v="808"/>
    <x v="263"/>
    <x v="1"/>
    <x v="4"/>
    <x v="8"/>
    <x v="6"/>
    <x v="5"/>
    <x v="3"/>
    <x v="1"/>
    <x v="2"/>
    <x v="799"/>
    <x v="0"/>
    <x v="805"/>
    <x v="806"/>
    <x v="806"/>
    <x v="24"/>
    <x v="11"/>
    <x v="0"/>
    <x v="0"/>
    <x v="1"/>
    <x v="0"/>
    <x v="0"/>
    <x v="4"/>
    <x v="808"/>
    <x v="4"/>
    <x v="0"/>
  </r>
  <r>
    <x v="809"/>
    <x v="274"/>
    <x v="0"/>
    <x v="1"/>
    <x v="1"/>
    <x v="3"/>
    <x v="3"/>
    <x v="0"/>
    <x v="1"/>
    <x v="2"/>
    <x v="800"/>
    <x v="0"/>
    <x v="806"/>
    <x v="807"/>
    <x v="807"/>
    <x v="3"/>
    <x v="8"/>
    <x v="0"/>
    <x v="0"/>
    <x v="0"/>
    <x v="0"/>
    <x v="0"/>
    <x v="1"/>
    <x v="809"/>
    <x v="1"/>
    <x v="1"/>
  </r>
  <r>
    <x v="810"/>
    <x v="93"/>
    <x v="2"/>
    <x v="0"/>
    <x v="18"/>
    <x v="4"/>
    <x v="1"/>
    <x v="0"/>
    <x v="0"/>
    <x v="3"/>
    <x v="801"/>
    <x v="3"/>
    <x v="807"/>
    <x v="808"/>
    <x v="808"/>
    <x v="22"/>
    <x v="1"/>
    <x v="0"/>
    <x v="0"/>
    <x v="0"/>
    <x v="1"/>
    <x v="0"/>
    <x v="0"/>
    <x v="810"/>
    <x v="0"/>
    <x v="1"/>
  </r>
  <r>
    <x v="811"/>
    <x v="230"/>
    <x v="2"/>
    <x v="3"/>
    <x v="3"/>
    <x v="1"/>
    <x v="1"/>
    <x v="0"/>
    <x v="1"/>
    <x v="0"/>
    <x v="802"/>
    <x v="3"/>
    <x v="808"/>
    <x v="809"/>
    <x v="809"/>
    <x v="5"/>
    <x v="7"/>
    <x v="0"/>
    <x v="1"/>
    <x v="1"/>
    <x v="1"/>
    <x v="0"/>
    <x v="3"/>
    <x v="811"/>
    <x v="3"/>
    <x v="1"/>
  </r>
  <r>
    <x v="812"/>
    <x v="57"/>
    <x v="0"/>
    <x v="4"/>
    <x v="11"/>
    <x v="9"/>
    <x v="8"/>
    <x v="2"/>
    <x v="2"/>
    <x v="2"/>
    <x v="803"/>
    <x v="0"/>
    <x v="809"/>
    <x v="810"/>
    <x v="810"/>
    <x v="8"/>
    <x v="7"/>
    <x v="0"/>
    <x v="1"/>
    <x v="1"/>
    <x v="1"/>
    <x v="0"/>
    <x v="4"/>
    <x v="812"/>
    <x v="4"/>
    <x v="1"/>
  </r>
  <r>
    <x v="813"/>
    <x v="196"/>
    <x v="2"/>
    <x v="4"/>
    <x v="8"/>
    <x v="2"/>
    <x v="2"/>
    <x v="1"/>
    <x v="0"/>
    <x v="6"/>
    <x v="804"/>
    <x v="2"/>
    <x v="810"/>
    <x v="811"/>
    <x v="811"/>
    <x v="13"/>
    <x v="10"/>
    <x v="0"/>
    <x v="0"/>
    <x v="0"/>
    <x v="1"/>
    <x v="1"/>
    <x v="4"/>
    <x v="813"/>
    <x v="4"/>
    <x v="1"/>
  </r>
  <r>
    <x v="814"/>
    <x v="117"/>
    <x v="0"/>
    <x v="3"/>
    <x v="17"/>
    <x v="0"/>
    <x v="0"/>
    <x v="0"/>
    <x v="3"/>
    <x v="6"/>
    <x v="805"/>
    <x v="2"/>
    <x v="811"/>
    <x v="812"/>
    <x v="812"/>
    <x v="20"/>
    <x v="0"/>
    <x v="0"/>
    <x v="0"/>
    <x v="0"/>
    <x v="0"/>
    <x v="1"/>
    <x v="3"/>
    <x v="814"/>
    <x v="3"/>
    <x v="1"/>
  </r>
  <r>
    <x v="815"/>
    <x v="323"/>
    <x v="0"/>
    <x v="0"/>
    <x v="18"/>
    <x v="1"/>
    <x v="1"/>
    <x v="0"/>
    <x v="0"/>
    <x v="4"/>
    <x v="806"/>
    <x v="0"/>
    <x v="812"/>
    <x v="813"/>
    <x v="813"/>
    <x v="13"/>
    <x v="3"/>
    <x v="0"/>
    <x v="0"/>
    <x v="0"/>
    <x v="1"/>
    <x v="0"/>
    <x v="0"/>
    <x v="815"/>
    <x v="0"/>
    <x v="1"/>
  </r>
  <r>
    <x v="816"/>
    <x v="185"/>
    <x v="0"/>
    <x v="4"/>
    <x v="11"/>
    <x v="2"/>
    <x v="2"/>
    <x v="1"/>
    <x v="2"/>
    <x v="1"/>
    <x v="807"/>
    <x v="0"/>
    <x v="813"/>
    <x v="814"/>
    <x v="814"/>
    <x v="18"/>
    <x v="6"/>
    <x v="0"/>
    <x v="1"/>
    <x v="1"/>
    <x v="1"/>
    <x v="0"/>
    <x v="4"/>
    <x v="816"/>
    <x v="4"/>
    <x v="1"/>
  </r>
  <r>
    <x v="817"/>
    <x v="42"/>
    <x v="2"/>
    <x v="4"/>
    <x v="16"/>
    <x v="8"/>
    <x v="7"/>
    <x v="2"/>
    <x v="2"/>
    <x v="0"/>
    <x v="808"/>
    <x v="2"/>
    <x v="814"/>
    <x v="815"/>
    <x v="815"/>
    <x v="4"/>
    <x v="1"/>
    <x v="0"/>
    <x v="1"/>
    <x v="1"/>
    <x v="0"/>
    <x v="1"/>
    <x v="4"/>
    <x v="817"/>
    <x v="4"/>
    <x v="1"/>
  </r>
  <r>
    <x v="818"/>
    <x v="311"/>
    <x v="1"/>
    <x v="1"/>
    <x v="5"/>
    <x v="0"/>
    <x v="0"/>
    <x v="0"/>
    <x v="0"/>
    <x v="3"/>
    <x v="809"/>
    <x v="1"/>
    <x v="815"/>
    <x v="816"/>
    <x v="816"/>
    <x v="0"/>
    <x v="9"/>
    <x v="0"/>
    <x v="0"/>
    <x v="0"/>
    <x v="0"/>
    <x v="0"/>
    <x v="1"/>
    <x v="818"/>
    <x v="1"/>
    <x v="1"/>
  </r>
  <r>
    <x v="819"/>
    <x v="92"/>
    <x v="0"/>
    <x v="0"/>
    <x v="18"/>
    <x v="7"/>
    <x v="6"/>
    <x v="2"/>
    <x v="3"/>
    <x v="4"/>
    <x v="810"/>
    <x v="1"/>
    <x v="816"/>
    <x v="817"/>
    <x v="817"/>
    <x v="8"/>
    <x v="9"/>
    <x v="0"/>
    <x v="0"/>
    <x v="0"/>
    <x v="1"/>
    <x v="0"/>
    <x v="0"/>
    <x v="819"/>
    <x v="0"/>
    <x v="1"/>
  </r>
  <r>
    <x v="820"/>
    <x v="270"/>
    <x v="0"/>
    <x v="4"/>
    <x v="19"/>
    <x v="7"/>
    <x v="6"/>
    <x v="2"/>
    <x v="0"/>
    <x v="6"/>
    <x v="811"/>
    <x v="0"/>
    <x v="817"/>
    <x v="818"/>
    <x v="818"/>
    <x v="15"/>
    <x v="6"/>
    <x v="0"/>
    <x v="0"/>
    <x v="0"/>
    <x v="0"/>
    <x v="0"/>
    <x v="4"/>
    <x v="820"/>
    <x v="4"/>
    <x v="1"/>
  </r>
  <r>
    <x v="821"/>
    <x v="135"/>
    <x v="1"/>
    <x v="0"/>
    <x v="18"/>
    <x v="0"/>
    <x v="0"/>
    <x v="0"/>
    <x v="3"/>
    <x v="0"/>
    <x v="812"/>
    <x v="2"/>
    <x v="818"/>
    <x v="819"/>
    <x v="819"/>
    <x v="1"/>
    <x v="0"/>
    <x v="0"/>
    <x v="0"/>
    <x v="0"/>
    <x v="1"/>
    <x v="1"/>
    <x v="0"/>
    <x v="821"/>
    <x v="0"/>
    <x v="1"/>
  </r>
  <r>
    <x v="822"/>
    <x v="2"/>
    <x v="0"/>
    <x v="3"/>
    <x v="17"/>
    <x v="9"/>
    <x v="8"/>
    <x v="2"/>
    <x v="0"/>
    <x v="0"/>
    <x v="813"/>
    <x v="2"/>
    <x v="819"/>
    <x v="820"/>
    <x v="820"/>
    <x v="6"/>
    <x v="0"/>
    <x v="0"/>
    <x v="1"/>
    <x v="1"/>
    <x v="0"/>
    <x v="1"/>
    <x v="3"/>
    <x v="822"/>
    <x v="3"/>
    <x v="1"/>
  </r>
  <r>
    <x v="823"/>
    <x v="261"/>
    <x v="2"/>
    <x v="2"/>
    <x v="12"/>
    <x v="9"/>
    <x v="8"/>
    <x v="2"/>
    <x v="2"/>
    <x v="1"/>
    <x v="814"/>
    <x v="3"/>
    <x v="820"/>
    <x v="821"/>
    <x v="821"/>
    <x v="3"/>
    <x v="8"/>
    <x v="0"/>
    <x v="0"/>
    <x v="0"/>
    <x v="0"/>
    <x v="0"/>
    <x v="2"/>
    <x v="823"/>
    <x v="2"/>
    <x v="1"/>
  </r>
  <r>
    <x v="824"/>
    <x v="220"/>
    <x v="2"/>
    <x v="4"/>
    <x v="19"/>
    <x v="9"/>
    <x v="8"/>
    <x v="2"/>
    <x v="1"/>
    <x v="0"/>
    <x v="815"/>
    <x v="1"/>
    <x v="821"/>
    <x v="822"/>
    <x v="822"/>
    <x v="13"/>
    <x v="9"/>
    <x v="0"/>
    <x v="1"/>
    <x v="1"/>
    <x v="1"/>
    <x v="0"/>
    <x v="4"/>
    <x v="824"/>
    <x v="4"/>
    <x v="1"/>
  </r>
  <r>
    <x v="825"/>
    <x v="175"/>
    <x v="1"/>
    <x v="1"/>
    <x v="15"/>
    <x v="1"/>
    <x v="1"/>
    <x v="0"/>
    <x v="1"/>
    <x v="2"/>
    <x v="816"/>
    <x v="3"/>
    <x v="822"/>
    <x v="823"/>
    <x v="823"/>
    <x v="15"/>
    <x v="11"/>
    <x v="0"/>
    <x v="0"/>
    <x v="0"/>
    <x v="0"/>
    <x v="0"/>
    <x v="1"/>
    <x v="825"/>
    <x v="1"/>
    <x v="1"/>
  </r>
  <r>
    <x v="826"/>
    <x v="99"/>
    <x v="2"/>
    <x v="3"/>
    <x v="3"/>
    <x v="3"/>
    <x v="3"/>
    <x v="0"/>
    <x v="3"/>
    <x v="0"/>
    <x v="817"/>
    <x v="1"/>
    <x v="823"/>
    <x v="824"/>
    <x v="824"/>
    <x v="6"/>
    <x v="1"/>
    <x v="0"/>
    <x v="1"/>
    <x v="1"/>
    <x v="0"/>
    <x v="0"/>
    <x v="3"/>
    <x v="826"/>
    <x v="3"/>
    <x v="1"/>
  </r>
  <r>
    <x v="827"/>
    <x v="206"/>
    <x v="0"/>
    <x v="0"/>
    <x v="0"/>
    <x v="1"/>
    <x v="1"/>
    <x v="0"/>
    <x v="3"/>
    <x v="1"/>
    <x v="818"/>
    <x v="3"/>
    <x v="824"/>
    <x v="825"/>
    <x v="825"/>
    <x v="2"/>
    <x v="5"/>
    <x v="0"/>
    <x v="0"/>
    <x v="0"/>
    <x v="1"/>
    <x v="0"/>
    <x v="0"/>
    <x v="827"/>
    <x v="0"/>
    <x v="0"/>
  </r>
  <r>
    <x v="828"/>
    <x v="113"/>
    <x v="2"/>
    <x v="3"/>
    <x v="3"/>
    <x v="5"/>
    <x v="4"/>
    <x v="2"/>
    <x v="3"/>
    <x v="4"/>
    <x v="819"/>
    <x v="2"/>
    <x v="825"/>
    <x v="826"/>
    <x v="826"/>
    <x v="22"/>
    <x v="8"/>
    <x v="0"/>
    <x v="0"/>
    <x v="1"/>
    <x v="1"/>
    <x v="1"/>
    <x v="3"/>
    <x v="828"/>
    <x v="3"/>
    <x v="1"/>
  </r>
  <r>
    <x v="829"/>
    <x v="290"/>
    <x v="1"/>
    <x v="4"/>
    <x v="11"/>
    <x v="6"/>
    <x v="5"/>
    <x v="3"/>
    <x v="2"/>
    <x v="1"/>
    <x v="820"/>
    <x v="1"/>
    <x v="826"/>
    <x v="827"/>
    <x v="827"/>
    <x v="20"/>
    <x v="3"/>
    <x v="0"/>
    <x v="1"/>
    <x v="1"/>
    <x v="0"/>
    <x v="0"/>
    <x v="4"/>
    <x v="829"/>
    <x v="4"/>
    <x v="0"/>
  </r>
  <r>
    <x v="830"/>
    <x v="69"/>
    <x v="1"/>
    <x v="0"/>
    <x v="13"/>
    <x v="0"/>
    <x v="0"/>
    <x v="0"/>
    <x v="0"/>
    <x v="3"/>
    <x v="821"/>
    <x v="2"/>
    <x v="827"/>
    <x v="828"/>
    <x v="113"/>
    <x v="5"/>
    <x v="10"/>
    <x v="0"/>
    <x v="0"/>
    <x v="0"/>
    <x v="1"/>
    <x v="1"/>
    <x v="0"/>
    <x v="830"/>
    <x v="0"/>
    <x v="1"/>
  </r>
  <r>
    <x v="831"/>
    <x v="207"/>
    <x v="0"/>
    <x v="2"/>
    <x v="4"/>
    <x v="4"/>
    <x v="1"/>
    <x v="0"/>
    <x v="2"/>
    <x v="1"/>
    <x v="822"/>
    <x v="3"/>
    <x v="828"/>
    <x v="829"/>
    <x v="828"/>
    <x v="12"/>
    <x v="5"/>
    <x v="0"/>
    <x v="0"/>
    <x v="0"/>
    <x v="1"/>
    <x v="0"/>
    <x v="2"/>
    <x v="831"/>
    <x v="2"/>
    <x v="1"/>
  </r>
  <r>
    <x v="832"/>
    <x v="135"/>
    <x v="2"/>
    <x v="3"/>
    <x v="7"/>
    <x v="6"/>
    <x v="5"/>
    <x v="3"/>
    <x v="1"/>
    <x v="6"/>
    <x v="823"/>
    <x v="0"/>
    <x v="829"/>
    <x v="830"/>
    <x v="829"/>
    <x v="6"/>
    <x v="0"/>
    <x v="0"/>
    <x v="0"/>
    <x v="0"/>
    <x v="0"/>
    <x v="0"/>
    <x v="3"/>
    <x v="832"/>
    <x v="3"/>
    <x v="1"/>
  </r>
  <r>
    <x v="833"/>
    <x v="175"/>
    <x v="0"/>
    <x v="4"/>
    <x v="11"/>
    <x v="8"/>
    <x v="7"/>
    <x v="2"/>
    <x v="3"/>
    <x v="2"/>
    <x v="824"/>
    <x v="1"/>
    <x v="830"/>
    <x v="831"/>
    <x v="830"/>
    <x v="4"/>
    <x v="11"/>
    <x v="0"/>
    <x v="0"/>
    <x v="0"/>
    <x v="0"/>
    <x v="0"/>
    <x v="4"/>
    <x v="833"/>
    <x v="4"/>
    <x v="1"/>
  </r>
  <r>
    <x v="834"/>
    <x v="304"/>
    <x v="0"/>
    <x v="1"/>
    <x v="5"/>
    <x v="1"/>
    <x v="1"/>
    <x v="0"/>
    <x v="0"/>
    <x v="6"/>
    <x v="825"/>
    <x v="3"/>
    <x v="831"/>
    <x v="832"/>
    <x v="831"/>
    <x v="12"/>
    <x v="6"/>
    <x v="0"/>
    <x v="0"/>
    <x v="0"/>
    <x v="1"/>
    <x v="0"/>
    <x v="1"/>
    <x v="834"/>
    <x v="1"/>
    <x v="1"/>
  </r>
  <r>
    <x v="835"/>
    <x v="82"/>
    <x v="0"/>
    <x v="0"/>
    <x v="13"/>
    <x v="1"/>
    <x v="1"/>
    <x v="0"/>
    <x v="1"/>
    <x v="4"/>
    <x v="826"/>
    <x v="1"/>
    <x v="832"/>
    <x v="833"/>
    <x v="832"/>
    <x v="25"/>
    <x v="2"/>
    <x v="0"/>
    <x v="0"/>
    <x v="0"/>
    <x v="1"/>
    <x v="0"/>
    <x v="0"/>
    <x v="835"/>
    <x v="0"/>
    <x v="1"/>
  </r>
  <r>
    <x v="836"/>
    <x v="324"/>
    <x v="1"/>
    <x v="3"/>
    <x v="3"/>
    <x v="2"/>
    <x v="2"/>
    <x v="1"/>
    <x v="1"/>
    <x v="5"/>
    <x v="827"/>
    <x v="4"/>
    <x v="833"/>
    <x v="834"/>
    <x v="833"/>
    <x v="23"/>
    <x v="0"/>
    <x v="0"/>
    <x v="0"/>
    <x v="0"/>
    <x v="1"/>
    <x v="1"/>
    <x v="3"/>
    <x v="836"/>
    <x v="3"/>
    <x v="1"/>
  </r>
  <r>
    <x v="837"/>
    <x v="178"/>
    <x v="1"/>
    <x v="3"/>
    <x v="7"/>
    <x v="6"/>
    <x v="5"/>
    <x v="3"/>
    <x v="1"/>
    <x v="4"/>
    <x v="828"/>
    <x v="2"/>
    <x v="834"/>
    <x v="835"/>
    <x v="834"/>
    <x v="8"/>
    <x v="2"/>
    <x v="0"/>
    <x v="0"/>
    <x v="1"/>
    <x v="1"/>
    <x v="1"/>
    <x v="3"/>
    <x v="837"/>
    <x v="3"/>
    <x v="1"/>
  </r>
  <r>
    <x v="838"/>
    <x v="325"/>
    <x v="1"/>
    <x v="2"/>
    <x v="2"/>
    <x v="2"/>
    <x v="2"/>
    <x v="1"/>
    <x v="2"/>
    <x v="2"/>
    <x v="829"/>
    <x v="0"/>
    <x v="835"/>
    <x v="836"/>
    <x v="835"/>
    <x v="17"/>
    <x v="7"/>
    <x v="0"/>
    <x v="0"/>
    <x v="0"/>
    <x v="1"/>
    <x v="0"/>
    <x v="2"/>
    <x v="838"/>
    <x v="2"/>
    <x v="1"/>
  </r>
  <r>
    <x v="839"/>
    <x v="86"/>
    <x v="2"/>
    <x v="2"/>
    <x v="2"/>
    <x v="4"/>
    <x v="1"/>
    <x v="0"/>
    <x v="3"/>
    <x v="0"/>
    <x v="830"/>
    <x v="1"/>
    <x v="836"/>
    <x v="837"/>
    <x v="836"/>
    <x v="20"/>
    <x v="6"/>
    <x v="0"/>
    <x v="0"/>
    <x v="0"/>
    <x v="0"/>
    <x v="0"/>
    <x v="2"/>
    <x v="839"/>
    <x v="2"/>
    <x v="1"/>
  </r>
  <r>
    <x v="840"/>
    <x v="256"/>
    <x v="0"/>
    <x v="1"/>
    <x v="15"/>
    <x v="2"/>
    <x v="2"/>
    <x v="1"/>
    <x v="1"/>
    <x v="1"/>
    <x v="831"/>
    <x v="2"/>
    <x v="837"/>
    <x v="838"/>
    <x v="837"/>
    <x v="5"/>
    <x v="5"/>
    <x v="0"/>
    <x v="1"/>
    <x v="1"/>
    <x v="1"/>
    <x v="1"/>
    <x v="1"/>
    <x v="840"/>
    <x v="1"/>
    <x v="1"/>
  </r>
  <r>
    <x v="841"/>
    <x v="155"/>
    <x v="1"/>
    <x v="1"/>
    <x v="5"/>
    <x v="6"/>
    <x v="5"/>
    <x v="3"/>
    <x v="3"/>
    <x v="5"/>
    <x v="832"/>
    <x v="3"/>
    <x v="838"/>
    <x v="839"/>
    <x v="507"/>
    <x v="1"/>
    <x v="8"/>
    <x v="0"/>
    <x v="0"/>
    <x v="0"/>
    <x v="1"/>
    <x v="0"/>
    <x v="1"/>
    <x v="841"/>
    <x v="1"/>
    <x v="1"/>
  </r>
  <r>
    <x v="842"/>
    <x v="75"/>
    <x v="0"/>
    <x v="4"/>
    <x v="19"/>
    <x v="0"/>
    <x v="0"/>
    <x v="0"/>
    <x v="2"/>
    <x v="2"/>
    <x v="833"/>
    <x v="1"/>
    <x v="839"/>
    <x v="840"/>
    <x v="838"/>
    <x v="12"/>
    <x v="1"/>
    <x v="0"/>
    <x v="0"/>
    <x v="0"/>
    <x v="1"/>
    <x v="0"/>
    <x v="4"/>
    <x v="842"/>
    <x v="4"/>
    <x v="1"/>
  </r>
  <r>
    <x v="843"/>
    <x v="274"/>
    <x v="2"/>
    <x v="4"/>
    <x v="16"/>
    <x v="8"/>
    <x v="7"/>
    <x v="2"/>
    <x v="1"/>
    <x v="6"/>
    <x v="834"/>
    <x v="0"/>
    <x v="840"/>
    <x v="841"/>
    <x v="839"/>
    <x v="10"/>
    <x v="8"/>
    <x v="0"/>
    <x v="0"/>
    <x v="0"/>
    <x v="0"/>
    <x v="0"/>
    <x v="4"/>
    <x v="843"/>
    <x v="4"/>
    <x v="1"/>
  </r>
  <r>
    <x v="844"/>
    <x v="229"/>
    <x v="2"/>
    <x v="1"/>
    <x v="15"/>
    <x v="1"/>
    <x v="1"/>
    <x v="0"/>
    <x v="2"/>
    <x v="1"/>
    <x v="835"/>
    <x v="2"/>
    <x v="841"/>
    <x v="842"/>
    <x v="840"/>
    <x v="12"/>
    <x v="11"/>
    <x v="0"/>
    <x v="0"/>
    <x v="1"/>
    <x v="1"/>
    <x v="1"/>
    <x v="1"/>
    <x v="844"/>
    <x v="1"/>
    <x v="1"/>
  </r>
  <r>
    <x v="845"/>
    <x v="182"/>
    <x v="1"/>
    <x v="1"/>
    <x v="5"/>
    <x v="4"/>
    <x v="1"/>
    <x v="0"/>
    <x v="2"/>
    <x v="4"/>
    <x v="836"/>
    <x v="1"/>
    <x v="842"/>
    <x v="843"/>
    <x v="841"/>
    <x v="18"/>
    <x v="11"/>
    <x v="0"/>
    <x v="1"/>
    <x v="1"/>
    <x v="1"/>
    <x v="0"/>
    <x v="1"/>
    <x v="845"/>
    <x v="1"/>
    <x v="1"/>
  </r>
  <r>
    <x v="846"/>
    <x v="216"/>
    <x v="1"/>
    <x v="0"/>
    <x v="18"/>
    <x v="1"/>
    <x v="1"/>
    <x v="0"/>
    <x v="3"/>
    <x v="6"/>
    <x v="837"/>
    <x v="1"/>
    <x v="843"/>
    <x v="844"/>
    <x v="842"/>
    <x v="18"/>
    <x v="3"/>
    <x v="0"/>
    <x v="0"/>
    <x v="0"/>
    <x v="1"/>
    <x v="0"/>
    <x v="0"/>
    <x v="846"/>
    <x v="0"/>
    <x v="1"/>
  </r>
  <r>
    <x v="847"/>
    <x v="121"/>
    <x v="0"/>
    <x v="2"/>
    <x v="14"/>
    <x v="5"/>
    <x v="4"/>
    <x v="2"/>
    <x v="1"/>
    <x v="2"/>
    <x v="428"/>
    <x v="2"/>
    <x v="844"/>
    <x v="845"/>
    <x v="843"/>
    <x v="21"/>
    <x v="9"/>
    <x v="0"/>
    <x v="0"/>
    <x v="0"/>
    <x v="0"/>
    <x v="1"/>
    <x v="2"/>
    <x v="847"/>
    <x v="2"/>
    <x v="1"/>
  </r>
  <r>
    <x v="848"/>
    <x v="85"/>
    <x v="1"/>
    <x v="4"/>
    <x v="8"/>
    <x v="8"/>
    <x v="7"/>
    <x v="2"/>
    <x v="2"/>
    <x v="2"/>
    <x v="838"/>
    <x v="1"/>
    <x v="845"/>
    <x v="846"/>
    <x v="844"/>
    <x v="21"/>
    <x v="11"/>
    <x v="0"/>
    <x v="1"/>
    <x v="1"/>
    <x v="0"/>
    <x v="0"/>
    <x v="4"/>
    <x v="848"/>
    <x v="4"/>
    <x v="1"/>
  </r>
  <r>
    <x v="849"/>
    <x v="36"/>
    <x v="2"/>
    <x v="2"/>
    <x v="12"/>
    <x v="3"/>
    <x v="3"/>
    <x v="0"/>
    <x v="1"/>
    <x v="4"/>
    <x v="839"/>
    <x v="1"/>
    <x v="846"/>
    <x v="847"/>
    <x v="845"/>
    <x v="12"/>
    <x v="4"/>
    <x v="0"/>
    <x v="0"/>
    <x v="0"/>
    <x v="1"/>
    <x v="0"/>
    <x v="2"/>
    <x v="849"/>
    <x v="2"/>
    <x v="1"/>
  </r>
  <r>
    <x v="850"/>
    <x v="185"/>
    <x v="1"/>
    <x v="2"/>
    <x v="2"/>
    <x v="2"/>
    <x v="2"/>
    <x v="1"/>
    <x v="3"/>
    <x v="5"/>
    <x v="840"/>
    <x v="0"/>
    <x v="847"/>
    <x v="848"/>
    <x v="846"/>
    <x v="1"/>
    <x v="6"/>
    <x v="0"/>
    <x v="0"/>
    <x v="0"/>
    <x v="1"/>
    <x v="0"/>
    <x v="2"/>
    <x v="850"/>
    <x v="2"/>
    <x v="1"/>
  </r>
  <r>
    <x v="851"/>
    <x v="268"/>
    <x v="0"/>
    <x v="1"/>
    <x v="1"/>
    <x v="7"/>
    <x v="6"/>
    <x v="2"/>
    <x v="2"/>
    <x v="4"/>
    <x v="841"/>
    <x v="2"/>
    <x v="848"/>
    <x v="849"/>
    <x v="847"/>
    <x v="9"/>
    <x v="2"/>
    <x v="0"/>
    <x v="0"/>
    <x v="0"/>
    <x v="1"/>
    <x v="1"/>
    <x v="1"/>
    <x v="851"/>
    <x v="1"/>
    <x v="1"/>
  </r>
  <r>
    <x v="852"/>
    <x v="178"/>
    <x v="1"/>
    <x v="0"/>
    <x v="0"/>
    <x v="6"/>
    <x v="5"/>
    <x v="3"/>
    <x v="3"/>
    <x v="0"/>
    <x v="842"/>
    <x v="0"/>
    <x v="849"/>
    <x v="850"/>
    <x v="848"/>
    <x v="13"/>
    <x v="2"/>
    <x v="0"/>
    <x v="0"/>
    <x v="0"/>
    <x v="1"/>
    <x v="0"/>
    <x v="0"/>
    <x v="852"/>
    <x v="0"/>
    <x v="1"/>
  </r>
  <r>
    <x v="853"/>
    <x v="52"/>
    <x v="2"/>
    <x v="3"/>
    <x v="3"/>
    <x v="1"/>
    <x v="1"/>
    <x v="0"/>
    <x v="1"/>
    <x v="6"/>
    <x v="843"/>
    <x v="4"/>
    <x v="850"/>
    <x v="851"/>
    <x v="849"/>
    <x v="13"/>
    <x v="9"/>
    <x v="0"/>
    <x v="0"/>
    <x v="0"/>
    <x v="1"/>
    <x v="1"/>
    <x v="3"/>
    <x v="853"/>
    <x v="3"/>
    <x v="1"/>
  </r>
  <r>
    <x v="854"/>
    <x v="213"/>
    <x v="0"/>
    <x v="0"/>
    <x v="13"/>
    <x v="2"/>
    <x v="2"/>
    <x v="1"/>
    <x v="1"/>
    <x v="5"/>
    <x v="844"/>
    <x v="0"/>
    <x v="851"/>
    <x v="852"/>
    <x v="850"/>
    <x v="17"/>
    <x v="4"/>
    <x v="0"/>
    <x v="0"/>
    <x v="0"/>
    <x v="1"/>
    <x v="0"/>
    <x v="0"/>
    <x v="854"/>
    <x v="0"/>
    <x v="1"/>
  </r>
  <r>
    <x v="855"/>
    <x v="219"/>
    <x v="0"/>
    <x v="0"/>
    <x v="18"/>
    <x v="4"/>
    <x v="1"/>
    <x v="0"/>
    <x v="3"/>
    <x v="1"/>
    <x v="845"/>
    <x v="1"/>
    <x v="852"/>
    <x v="853"/>
    <x v="851"/>
    <x v="11"/>
    <x v="4"/>
    <x v="0"/>
    <x v="0"/>
    <x v="0"/>
    <x v="1"/>
    <x v="0"/>
    <x v="0"/>
    <x v="855"/>
    <x v="0"/>
    <x v="1"/>
  </r>
  <r>
    <x v="856"/>
    <x v="325"/>
    <x v="1"/>
    <x v="2"/>
    <x v="2"/>
    <x v="1"/>
    <x v="1"/>
    <x v="0"/>
    <x v="0"/>
    <x v="3"/>
    <x v="846"/>
    <x v="4"/>
    <x v="853"/>
    <x v="854"/>
    <x v="852"/>
    <x v="11"/>
    <x v="7"/>
    <x v="0"/>
    <x v="0"/>
    <x v="0"/>
    <x v="1"/>
    <x v="1"/>
    <x v="2"/>
    <x v="856"/>
    <x v="2"/>
    <x v="1"/>
  </r>
  <r>
    <x v="857"/>
    <x v="172"/>
    <x v="2"/>
    <x v="0"/>
    <x v="13"/>
    <x v="3"/>
    <x v="3"/>
    <x v="0"/>
    <x v="2"/>
    <x v="0"/>
    <x v="847"/>
    <x v="3"/>
    <x v="854"/>
    <x v="855"/>
    <x v="853"/>
    <x v="11"/>
    <x v="9"/>
    <x v="0"/>
    <x v="0"/>
    <x v="0"/>
    <x v="1"/>
    <x v="0"/>
    <x v="0"/>
    <x v="857"/>
    <x v="0"/>
    <x v="1"/>
  </r>
  <r>
    <x v="858"/>
    <x v="79"/>
    <x v="0"/>
    <x v="4"/>
    <x v="11"/>
    <x v="8"/>
    <x v="7"/>
    <x v="2"/>
    <x v="1"/>
    <x v="5"/>
    <x v="848"/>
    <x v="3"/>
    <x v="855"/>
    <x v="856"/>
    <x v="854"/>
    <x v="21"/>
    <x v="10"/>
    <x v="0"/>
    <x v="1"/>
    <x v="1"/>
    <x v="0"/>
    <x v="0"/>
    <x v="4"/>
    <x v="858"/>
    <x v="4"/>
    <x v="1"/>
  </r>
  <r>
    <x v="859"/>
    <x v="326"/>
    <x v="0"/>
    <x v="2"/>
    <x v="2"/>
    <x v="8"/>
    <x v="7"/>
    <x v="2"/>
    <x v="1"/>
    <x v="3"/>
    <x v="849"/>
    <x v="0"/>
    <x v="856"/>
    <x v="857"/>
    <x v="855"/>
    <x v="25"/>
    <x v="6"/>
    <x v="0"/>
    <x v="0"/>
    <x v="0"/>
    <x v="1"/>
    <x v="0"/>
    <x v="2"/>
    <x v="859"/>
    <x v="2"/>
    <x v="1"/>
  </r>
  <r>
    <x v="860"/>
    <x v="327"/>
    <x v="0"/>
    <x v="4"/>
    <x v="19"/>
    <x v="1"/>
    <x v="1"/>
    <x v="0"/>
    <x v="2"/>
    <x v="3"/>
    <x v="850"/>
    <x v="3"/>
    <x v="857"/>
    <x v="858"/>
    <x v="856"/>
    <x v="5"/>
    <x v="1"/>
    <x v="0"/>
    <x v="1"/>
    <x v="1"/>
    <x v="1"/>
    <x v="0"/>
    <x v="4"/>
    <x v="860"/>
    <x v="4"/>
    <x v="1"/>
  </r>
  <r>
    <x v="861"/>
    <x v="313"/>
    <x v="0"/>
    <x v="3"/>
    <x v="7"/>
    <x v="4"/>
    <x v="1"/>
    <x v="0"/>
    <x v="3"/>
    <x v="6"/>
    <x v="851"/>
    <x v="1"/>
    <x v="858"/>
    <x v="859"/>
    <x v="857"/>
    <x v="17"/>
    <x v="6"/>
    <x v="0"/>
    <x v="0"/>
    <x v="0"/>
    <x v="1"/>
    <x v="0"/>
    <x v="3"/>
    <x v="861"/>
    <x v="3"/>
    <x v="1"/>
  </r>
  <r>
    <x v="862"/>
    <x v="328"/>
    <x v="1"/>
    <x v="2"/>
    <x v="4"/>
    <x v="8"/>
    <x v="7"/>
    <x v="2"/>
    <x v="3"/>
    <x v="2"/>
    <x v="852"/>
    <x v="1"/>
    <x v="859"/>
    <x v="860"/>
    <x v="858"/>
    <x v="19"/>
    <x v="4"/>
    <x v="0"/>
    <x v="0"/>
    <x v="0"/>
    <x v="0"/>
    <x v="0"/>
    <x v="2"/>
    <x v="862"/>
    <x v="2"/>
    <x v="1"/>
  </r>
  <r>
    <x v="863"/>
    <x v="295"/>
    <x v="1"/>
    <x v="3"/>
    <x v="3"/>
    <x v="8"/>
    <x v="7"/>
    <x v="2"/>
    <x v="3"/>
    <x v="1"/>
    <x v="853"/>
    <x v="3"/>
    <x v="860"/>
    <x v="861"/>
    <x v="859"/>
    <x v="3"/>
    <x v="3"/>
    <x v="0"/>
    <x v="0"/>
    <x v="1"/>
    <x v="0"/>
    <x v="0"/>
    <x v="3"/>
    <x v="863"/>
    <x v="3"/>
    <x v="1"/>
  </r>
  <r>
    <x v="864"/>
    <x v="0"/>
    <x v="1"/>
    <x v="2"/>
    <x v="14"/>
    <x v="3"/>
    <x v="3"/>
    <x v="0"/>
    <x v="0"/>
    <x v="4"/>
    <x v="854"/>
    <x v="2"/>
    <x v="861"/>
    <x v="862"/>
    <x v="860"/>
    <x v="5"/>
    <x v="0"/>
    <x v="0"/>
    <x v="0"/>
    <x v="0"/>
    <x v="1"/>
    <x v="1"/>
    <x v="2"/>
    <x v="864"/>
    <x v="2"/>
    <x v="1"/>
  </r>
  <r>
    <x v="865"/>
    <x v="43"/>
    <x v="1"/>
    <x v="1"/>
    <x v="5"/>
    <x v="6"/>
    <x v="5"/>
    <x v="3"/>
    <x v="0"/>
    <x v="6"/>
    <x v="855"/>
    <x v="0"/>
    <x v="862"/>
    <x v="863"/>
    <x v="861"/>
    <x v="22"/>
    <x v="2"/>
    <x v="0"/>
    <x v="0"/>
    <x v="0"/>
    <x v="1"/>
    <x v="0"/>
    <x v="1"/>
    <x v="865"/>
    <x v="1"/>
    <x v="1"/>
  </r>
  <r>
    <x v="866"/>
    <x v="152"/>
    <x v="0"/>
    <x v="0"/>
    <x v="13"/>
    <x v="4"/>
    <x v="1"/>
    <x v="0"/>
    <x v="1"/>
    <x v="0"/>
    <x v="856"/>
    <x v="4"/>
    <x v="863"/>
    <x v="864"/>
    <x v="862"/>
    <x v="25"/>
    <x v="3"/>
    <x v="0"/>
    <x v="0"/>
    <x v="0"/>
    <x v="1"/>
    <x v="1"/>
    <x v="0"/>
    <x v="866"/>
    <x v="0"/>
    <x v="0"/>
  </r>
  <r>
    <x v="867"/>
    <x v="131"/>
    <x v="2"/>
    <x v="1"/>
    <x v="15"/>
    <x v="4"/>
    <x v="1"/>
    <x v="0"/>
    <x v="3"/>
    <x v="3"/>
    <x v="857"/>
    <x v="3"/>
    <x v="864"/>
    <x v="865"/>
    <x v="863"/>
    <x v="2"/>
    <x v="1"/>
    <x v="0"/>
    <x v="1"/>
    <x v="1"/>
    <x v="1"/>
    <x v="0"/>
    <x v="1"/>
    <x v="867"/>
    <x v="1"/>
    <x v="1"/>
  </r>
  <r>
    <x v="868"/>
    <x v="262"/>
    <x v="1"/>
    <x v="3"/>
    <x v="9"/>
    <x v="0"/>
    <x v="0"/>
    <x v="0"/>
    <x v="2"/>
    <x v="0"/>
    <x v="858"/>
    <x v="3"/>
    <x v="865"/>
    <x v="866"/>
    <x v="864"/>
    <x v="14"/>
    <x v="6"/>
    <x v="0"/>
    <x v="0"/>
    <x v="1"/>
    <x v="1"/>
    <x v="0"/>
    <x v="3"/>
    <x v="868"/>
    <x v="3"/>
    <x v="1"/>
  </r>
  <r>
    <x v="869"/>
    <x v="61"/>
    <x v="2"/>
    <x v="0"/>
    <x v="6"/>
    <x v="0"/>
    <x v="0"/>
    <x v="0"/>
    <x v="1"/>
    <x v="3"/>
    <x v="859"/>
    <x v="1"/>
    <x v="866"/>
    <x v="867"/>
    <x v="865"/>
    <x v="15"/>
    <x v="1"/>
    <x v="0"/>
    <x v="0"/>
    <x v="0"/>
    <x v="0"/>
    <x v="0"/>
    <x v="0"/>
    <x v="869"/>
    <x v="0"/>
    <x v="1"/>
  </r>
  <r>
    <x v="870"/>
    <x v="131"/>
    <x v="1"/>
    <x v="2"/>
    <x v="14"/>
    <x v="8"/>
    <x v="7"/>
    <x v="2"/>
    <x v="2"/>
    <x v="2"/>
    <x v="860"/>
    <x v="1"/>
    <x v="867"/>
    <x v="868"/>
    <x v="866"/>
    <x v="13"/>
    <x v="1"/>
    <x v="0"/>
    <x v="0"/>
    <x v="0"/>
    <x v="1"/>
    <x v="0"/>
    <x v="2"/>
    <x v="870"/>
    <x v="2"/>
    <x v="1"/>
  </r>
  <r>
    <x v="871"/>
    <x v="299"/>
    <x v="0"/>
    <x v="0"/>
    <x v="6"/>
    <x v="7"/>
    <x v="6"/>
    <x v="2"/>
    <x v="1"/>
    <x v="2"/>
    <x v="861"/>
    <x v="3"/>
    <x v="868"/>
    <x v="869"/>
    <x v="867"/>
    <x v="6"/>
    <x v="2"/>
    <x v="0"/>
    <x v="0"/>
    <x v="0"/>
    <x v="0"/>
    <x v="0"/>
    <x v="0"/>
    <x v="871"/>
    <x v="0"/>
    <x v="1"/>
  </r>
  <r>
    <x v="872"/>
    <x v="288"/>
    <x v="1"/>
    <x v="4"/>
    <x v="8"/>
    <x v="0"/>
    <x v="0"/>
    <x v="0"/>
    <x v="0"/>
    <x v="1"/>
    <x v="862"/>
    <x v="2"/>
    <x v="869"/>
    <x v="870"/>
    <x v="868"/>
    <x v="17"/>
    <x v="3"/>
    <x v="0"/>
    <x v="1"/>
    <x v="1"/>
    <x v="1"/>
    <x v="1"/>
    <x v="4"/>
    <x v="872"/>
    <x v="4"/>
    <x v="1"/>
  </r>
  <r>
    <x v="873"/>
    <x v="98"/>
    <x v="0"/>
    <x v="0"/>
    <x v="18"/>
    <x v="8"/>
    <x v="7"/>
    <x v="2"/>
    <x v="1"/>
    <x v="4"/>
    <x v="863"/>
    <x v="2"/>
    <x v="870"/>
    <x v="871"/>
    <x v="869"/>
    <x v="0"/>
    <x v="4"/>
    <x v="0"/>
    <x v="0"/>
    <x v="0"/>
    <x v="0"/>
    <x v="1"/>
    <x v="0"/>
    <x v="873"/>
    <x v="0"/>
    <x v="1"/>
  </r>
  <r>
    <x v="874"/>
    <x v="329"/>
    <x v="1"/>
    <x v="4"/>
    <x v="16"/>
    <x v="9"/>
    <x v="8"/>
    <x v="2"/>
    <x v="0"/>
    <x v="1"/>
    <x v="864"/>
    <x v="4"/>
    <x v="871"/>
    <x v="872"/>
    <x v="870"/>
    <x v="0"/>
    <x v="5"/>
    <x v="0"/>
    <x v="1"/>
    <x v="1"/>
    <x v="0"/>
    <x v="1"/>
    <x v="4"/>
    <x v="874"/>
    <x v="4"/>
    <x v="1"/>
  </r>
  <r>
    <x v="875"/>
    <x v="212"/>
    <x v="0"/>
    <x v="0"/>
    <x v="13"/>
    <x v="5"/>
    <x v="4"/>
    <x v="2"/>
    <x v="1"/>
    <x v="2"/>
    <x v="865"/>
    <x v="1"/>
    <x v="872"/>
    <x v="873"/>
    <x v="871"/>
    <x v="11"/>
    <x v="10"/>
    <x v="0"/>
    <x v="0"/>
    <x v="0"/>
    <x v="1"/>
    <x v="0"/>
    <x v="0"/>
    <x v="875"/>
    <x v="0"/>
    <x v="1"/>
  </r>
  <r>
    <x v="876"/>
    <x v="256"/>
    <x v="0"/>
    <x v="4"/>
    <x v="8"/>
    <x v="5"/>
    <x v="4"/>
    <x v="2"/>
    <x v="3"/>
    <x v="2"/>
    <x v="866"/>
    <x v="2"/>
    <x v="873"/>
    <x v="874"/>
    <x v="872"/>
    <x v="12"/>
    <x v="5"/>
    <x v="0"/>
    <x v="0"/>
    <x v="1"/>
    <x v="1"/>
    <x v="1"/>
    <x v="4"/>
    <x v="876"/>
    <x v="4"/>
    <x v="1"/>
  </r>
  <r>
    <x v="877"/>
    <x v="297"/>
    <x v="2"/>
    <x v="3"/>
    <x v="9"/>
    <x v="4"/>
    <x v="1"/>
    <x v="0"/>
    <x v="2"/>
    <x v="0"/>
    <x v="867"/>
    <x v="3"/>
    <x v="874"/>
    <x v="875"/>
    <x v="873"/>
    <x v="17"/>
    <x v="9"/>
    <x v="0"/>
    <x v="1"/>
    <x v="1"/>
    <x v="1"/>
    <x v="0"/>
    <x v="3"/>
    <x v="877"/>
    <x v="3"/>
    <x v="1"/>
  </r>
  <r>
    <x v="878"/>
    <x v="248"/>
    <x v="0"/>
    <x v="1"/>
    <x v="1"/>
    <x v="7"/>
    <x v="6"/>
    <x v="2"/>
    <x v="3"/>
    <x v="2"/>
    <x v="868"/>
    <x v="1"/>
    <x v="875"/>
    <x v="876"/>
    <x v="874"/>
    <x v="5"/>
    <x v="11"/>
    <x v="0"/>
    <x v="0"/>
    <x v="0"/>
    <x v="1"/>
    <x v="0"/>
    <x v="1"/>
    <x v="878"/>
    <x v="1"/>
    <x v="1"/>
  </r>
  <r>
    <x v="879"/>
    <x v="39"/>
    <x v="2"/>
    <x v="2"/>
    <x v="12"/>
    <x v="3"/>
    <x v="3"/>
    <x v="0"/>
    <x v="1"/>
    <x v="5"/>
    <x v="510"/>
    <x v="2"/>
    <x v="876"/>
    <x v="877"/>
    <x v="875"/>
    <x v="8"/>
    <x v="8"/>
    <x v="0"/>
    <x v="0"/>
    <x v="0"/>
    <x v="1"/>
    <x v="1"/>
    <x v="2"/>
    <x v="879"/>
    <x v="2"/>
    <x v="1"/>
  </r>
  <r>
    <x v="880"/>
    <x v="105"/>
    <x v="0"/>
    <x v="0"/>
    <x v="18"/>
    <x v="6"/>
    <x v="5"/>
    <x v="3"/>
    <x v="1"/>
    <x v="3"/>
    <x v="869"/>
    <x v="0"/>
    <x v="877"/>
    <x v="878"/>
    <x v="876"/>
    <x v="7"/>
    <x v="5"/>
    <x v="0"/>
    <x v="0"/>
    <x v="0"/>
    <x v="1"/>
    <x v="0"/>
    <x v="0"/>
    <x v="880"/>
    <x v="0"/>
    <x v="1"/>
  </r>
  <r>
    <x v="881"/>
    <x v="330"/>
    <x v="1"/>
    <x v="1"/>
    <x v="1"/>
    <x v="0"/>
    <x v="0"/>
    <x v="0"/>
    <x v="1"/>
    <x v="6"/>
    <x v="870"/>
    <x v="1"/>
    <x v="878"/>
    <x v="879"/>
    <x v="877"/>
    <x v="12"/>
    <x v="11"/>
    <x v="0"/>
    <x v="0"/>
    <x v="0"/>
    <x v="1"/>
    <x v="0"/>
    <x v="1"/>
    <x v="881"/>
    <x v="1"/>
    <x v="1"/>
  </r>
  <r>
    <x v="882"/>
    <x v="68"/>
    <x v="1"/>
    <x v="2"/>
    <x v="2"/>
    <x v="9"/>
    <x v="8"/>
    <x v="2"/>
    <x v="0"/>
    <x v="2"/>
    <x v="871"/>
    <x v="3"/>
    <x v="879"/>
    <x v="880"/>
    <x v="878"/>
    <x v="19"/>
    <x v="4"/>
    <x v="0"/>
    <x v="0"/>
    <x v="0"/>
    <x v="0"/>
    <x v="0"/>
    <x v="2"/>
    <x v="882"/>
    <x v="2"/>
    <x v="1"/>
  </r>
  <r>
    <x v="883"/>
    <x v="206"/>
    <x v="1"/>
    <x v="2"/>
    <x v="14"/>
    <x v="8"/>
    <x v="7"/>
    <x v="2"/>
    <x v="2"/>
    <x v="1"/>
    <x v="872"/>
    <x v="3"/>
    <x v="880"/>
    <x v="881"/>
    <x v="879"/>
    <x v="11"/>
    <x v="5"/>
    <x v="0"/>
    <x v="0"/>
    <x v="0"/>
    <x v="1"/>
    <x v="0"/>
    <x v="2"/>
    <x v="883"/>
    <x v="2"/>
    <x v="1"/>
  </r>
  <r>
    <x v="884"/>
    <x v="262"/>
    <x v="0"/>
    <x v="4"/>
    <x v="16"/>
    <x v="7"/>
    <x v="6"/>
    <x v="2"/>
    <x v="2"/>
    <x v="4"/>
    <x v="873"/>
    <x v="0"/>
    <x v="881"/>
    <x v="882"/>
    <x v="880"/>
    <x v="19"/>
    <x v="6"/>
    <x v="0"/>
    <x v="1"/>
    <x v="1"/>
    <x v="0"/>
    <x v="0"/>
    <x v="4"/>
    <x v="884"/>
    <x v="4"/>
    <x v="1"/>
  </r>
  <r>
    <x v="885"/>
    <x v="318"/>
    <x v="0"/>
    <x v="3"/>
    <x v="9"/>
    <x v="4"/>
    <x v="1"/>
    <x v="0"/>
    <x v="1"/>
    <x v="3"/>
    <x v="874"/>
    <x v="0"/>
    <x v="882"/>
    <x v="883"/>
    <x v="881"/>
    <x v="5"/>
    <x v="5"/>
    <x v="0"/>
    <x v="1"/>
    <x v="1"/>
    <x v="1"/>
    <x v="0"/>
    <x v="3"/>
    <x v="885"/>
    <x v="3"/>
    <x v="1"/>
  </r>
  <r>
    <x v="886"/>
    <x v="316"/>
    <x v="0"/>
    <x v="3"/>
    <x v="17"/>
    <x v="0"/>
    <x v="0"/>
    <x v="0"/>
    <x v="1"/>
    <x v="3"/>
    <x v="875"/>
    <x v="4"/>
    <x v="883"/>
    <x v="884"/>
    <x v="882"/>
    <x v="20"/>
    <x v="9"/>
    <x v="0"/>
    <x v="1"/>
    <x v="1"/>
    <x v="0"/>
    <x v="1"/>
    <x v="3"/>
    <x v="886"/>
    <x v="3"/>
    <x v="1"/>
  </r>
  <r>
    <x v="887"/>
    <x v="114"/>
    <x v="0"/>
    <x v="1"/>
    <x v="10"/>
    <x v="7"/>
    <x v="6"/>
    <x v="2"/>
    <x v="0"/>
    <x v="4"/>
    <x v="876"/>
    <x v="1"/>
    <x v="884"/>
    <x v="885"/>
    <x v="883"/>
    <x v="22"/>
    <x v="7"/>
    <x v="0"/>
    <x v="0"/>
    <x v="0"/>
    <x v="1"/>
    <x v="0"/>
    <x v="1"/>
    <x v="887"/>
    <x v="1"/>
    <x v="1"/>
  </r>
  <r>
    <x v="888"/>
    <x v="243"/>
    <x v="1"/>
    <x v="3"/>
    <x v="3"/>
    <x v="0"/>
    <x v="0"/>
    <x v="0"/>
    <x v="3"/>
    <x v="4"/>
    <x v="877"/>
    <x v="3"/>
    <x v="885"/>
    <x v="886"/>
    <x v="884"/>
    <x v="17"/>
    <x v="2"/>
    <x v="0"/>
    <x v="0"/>
    <x v="0"/>
    <x v="1"/>
    <x v="0"/>
    <x v="3"/>
    <x v="888"/>
    <x v="3"/>
    <x v="1"/>
  </r>
  <r>
    <x v="889"/>
    <x v="252"/>
    <x v="2"/>
    <x v="0"/>
    <x v="13"/>
    <x v="6"/>
    <x v="5"/>
    <x v="3"/>
    <x v="3"/>
    <x v="3"/>
    <x v="878"/>
    <x v="0"/>
    <x v="886"/>
    <x v="887"/>
    <x v="885"/>
    <x v="3"/>
    <x v="4"/>
    <x v="0"/>
    <x v="0"/>
    <x v="0"/>
    <x v="0"/>
    <x v="0"/>
    <x v="0"/>
    <x v="889"/>
    <x v="0"/>
    <x v="1"/>
  </r>
  <r>
    <x v="890"/>
    <x v="331"/>
    <x v="2"/>
    <x v="3"/>
    <x v="3"/>
    <x v="6"/>
    <x v="5"/>
    <x v="3"/>
    <x v="2"/>
    <x v="5"/>
    <x v="879"/>
    <x v="0"/>
    <x v="887"/>
    <x v="888"/>
    <x v="886"/>
    <x v="22"/>
    <x v="6"/>
    <x v="0"/>
    <x v="0"/>
    <x v="1"/>
    <x v="1"/>
    <x v="0"/>
    <x v="3"/>
    <x v="890"/>
    <x v="3"/>
    <x v="1"/>
  </r>
  <r>
    <x v="891"/>
    <x v="51"/>
    <x v="1"/>
    <x v="1"/>
    <x v="1"/>
    <x v="3"/>
    <x v="3"/>
    <x v="0"/>
    <x v="0"/>
    <x v="1"/>
    <x v="880"/>
    <x v="3"/>
    <x v="888"/>
    <x v="889"/>
    <x v="887"/>
    <x v="16"/>
    <x v="8"/>
    <x v="0"/>
    <x v="0"/>
    <x v="0"/>
    <x v="0"/>
    <x v="0"/>
    <x v="1"/>
    <x v="891"/>
    <x v="1"/>
    <x v="1"/>
  </r>
  <r>
    <x v="892"/>
    <x v="297"/>
    <x v="1"/>
    <x v="3"/>
    <x v="7"/>
    <x v="5"/>
    <x v="4"/>
    <x v="2"/>
    <x v="1"/>
    <x v="5"/>
    <x v="881"/>
    <x v="0"/>
    <x v="889"/>
    <x v="890"/>
    <x v="888"/>
    <x v="7"/>
    <x v="9"/>
    <x v="0"/>
    <x v="0"/>
    <x v="0"/>
    <x v="1"/>
    <x v="0"/>
    <x v="3"/>
    <x v="892"/>
    <x v="3"/>
    <x v="1"/>
  </r>
  <r>
    <x v="893"/>
    <x v="34"/>
    <x v="1"/>
    <x v="0"/>
    <x v="18"/>
    <x v="2"/>
    <x v="2"/>
    <x v="1"/>
    <x v="2"/>
    <x v="2"/>
    <x v="882"/>
    <x v="2"/>
    <x v="890"/>
    <x v="891"/>
    <x v="695"/>
    <x v="2"/>
    <x v="2"/>
    <x v="0"/>
    <x v="0"/>
    <x v="0"/>
    <x v="1"/>
    <x v="1"/>
    <x v="0"/>
    <x v="893"/>
    <x v="0"/>
    <x v="1"/>
  </r>
  <r>
    <x v="894"/>
    <x v="0"/>
    <x v="0"/>
    <x v="4"/>
    <x v="19"/>
    <x v="2"/>
    <x v="2"/>
    <x v="1"/>
    <x v="0"/>
    <x v="6"/>
    <x v="883"/>
    <x v="2"/>
    <x v="891"/>
    <x v="892"/>
    <x v="889"/>
    <x v="2"/>
    <x v="0"/>
    <x v="0"/>
    <x v="0"/>
    <x v="0"/>
    <x v="1"/>
    <x v="1"/>
    <x v="4"/>
    <x v="894"/>
    <x v="4"/>
    <x v="1"/>
  </r>
  <r>
    <x v="895"/>
    <x v="54"/>
    <x v="2"/>
    <x v="1"/>
    <x v="15"/>
    <x v="0"/>
    <x v="0"/>
    <x v="0"/>
    <x v="3"/>
    <x v="4"/>
    <x v="884"/>
    <x v="2"/>
    <x v="892"/>
    <x v="893"/>
    <x v="890"/>
    <x v="4"/>
    <x v="11"/>
    <x v="0"/>
    <x v="0"/>
    <x v="1"/>
    <x v="0"/>
    <x v="1"/>
    <x v="1"/>
    <x v="895"/>
    <x v="1"/>
    <x v="1"/>
  </r>
  <r>
    <x v="896"/>
    <x v="233"/>
    <x v="1"/>
    <x v="4"/>
    <x v="16"/>
    <x v="3"/>
    <x v="3"/>
    <x v="0"/>
    <x v="0"/>
    <x v="1"/>
    <x v="885"/>
    <x v="2"/>
    <x v="893"/>
    <x v="894"/>
    <x v="891"/>
    <x v="18"/>
    <x v="1"/>
    <x v="0"/>
    <x v="1"/>
    <x v="1"/>
    <x v="1"/>
    <x v="1"/>
    <x v="4"/>
    <x v="896"/>
    <x v="4"/>
    <x v="1"/>
  </r>
  <r>
    <x v="897"/>
    <x v="230"/>
    <x v="1"/>
    <x v="4"/>
    <x v="11"/>
    <x v="2"/>
    <x v="2"/>
    <x v="1"/>
    <x v="3"/>
    <x v="4"/>
    <x v="886"/>
    <x v="0"/>
    <x v="894"/>
    <x v="895"/>
    <x v="892"/>
    <x v="15"/>
    <x v="7"/>
    <x v="0"/>
    <x v="0"/>
    <x v="1"/>
    <x v="0"/>
    <x v="0"/>
    <x v="4"/>
    <x v="897"/>
    <x v="4"/>
    <x v="1"/>
  </r>
  <r>
    <x v="898"/>
    <x v="267"/>
    <x v="0"/>
    <x v="4"/>
    <x v="11"/>
    <x v="4"/>
    <x v="1"/>
    <x v="0"/>
    <x v="0"/>
    <x v="5"/>
    <x v="887"/>
    <x v="2"/>
    <x v="895"/>
    <x v="896"/>
    <x v="893"/>
    <x v="6"/>
    <x v="3"/>
    <x v="0"/>
    <x v="1"/>
    <x v="1"/>
    <x v="0"/>
    <x v="1"/>
    <x v="4"/>
    <x v="898"/>
    <x v="4"/>
    <x v="1"/>
  </r>
  <r>
    <x v="899"/>
    <x v="307"/>
    <x v="0"/>
    <x v="2"/>
    <x v="4"/>
    <x v="2"/>
    <x v="2"/>
    <x v="1"/>
    <x v="2"/>
    <x v="0"/>
    <x v="888"/>
    <x v="3"/>
    <x v="896"/>
    <x v="897"/>
    <x v="894"/>
    <x v="9"/>
    <x v="1"/>
    <x v="0"/>
    <x v="0"/>
    <x v="0"/>
    <x v="1"/>
    <x v="0"/>
    <x v="2"/>
    <x v="899"/>
    <x v="2"/>
    <x v="1"/>
  </r>
  <r>
    <x v="900"/>
    <x v="205"/>
    <x v="1"/>
    <x v="2"/>
    <x v="2"/>
    <x v="1"/>
    <x v="1"/>
    <x v="0"/>
    <x v="3"/>
    <x v="2"/>
    <x v="889"/>
    <x v="3"/>
    <x v="897"/>
    <x v="898"/>
    <x v="895"/>
    <x v="17"/>
    <x v="11"/>
    <x v="0"/>
    <x v="0"/>
    <x v="0"/>
    <x v="1"/>
    <x v="0"/>
    <x v="2"/>
    <x v="900"/>
    <x v="2"/>
    <x v="1"/>
  </r>
  <r>
    <x v="901"/>
    <x v="172"/>
    <x v="2"/>
    <x v="4"/>
    <x v="16"/>
    <x v="8"/>
    <x v="7"/>
    <x v="2"/>
    <x v="2"/>
    <x v="6"/>
    <x v="890"/>
    <x v="3"/>
    <x v="898"/>
    <x v="899"/>
    <x v="896"/>
    <x v="4"/>
    <x v="9"/>
    <x v="0"/>
    <x v="0"/>
    <x v="1"/>
    <x v="0"/>
    <x v="0"/>
    <x v="4"/>
    <x v="901"/>
    <x v="4"/>
    <x v="1"/>
  </r>
  <r>
    <x v="902"/>
    <x v="234"/>
    <x v="1"/>
    <x v="1"/>
    <x v="10"/>
    <x v="3"/>
    <x v="3"/>
    <x v="0"/>
    <x v="2"/>
    <x v="2"/>
    <x v="891"/>
    <x v="0"/>
    <x v="899"/>
    <x v="900"/>
    <x v="897"/>
    <x v="1"/>
    <x v="1"/>
    <x v="0"/>
    <x v="0"/>
    <x v="0"/>
    <x v="1"/>
    <x v="0"/>
    <x v="1"/>
    <x v="902"/>
    <x v="1"/>
    <x v="1"/>
  </r>
  <r>
    <x v="903"/>
    <x v="247"/>
    <x v="0"/>
    <x v="0"/>
    <x v="0"/>
    <x v="4"/>
    <x v="1"/>
    <x v="0"/>
    <x v="3"/>
    <x v="0"/>
    <x v="892"/>
    <x v="3"/>
    <x v="900"/>
    <x v="901"/>
    <x v="898"/>
    <x v="12"/>
    <x v="6"/>
    <x v="0"/>
    <x v="0"/>
    <x v="0"/>
    <x v="1"/>
    <x v="0"/>
    <x v="0"/>
    <x v="903"/>
    <x v="0"/>
    <x v="1"/>
  </r>
  <r>
    <x v="904"/>
    <x v="143"/>
    <x v="2"/>
    <x v="0"/>
    <x v="0"/>
    <x v="7"/>
    <x v="6"/>
    <x v="2"/>
    <x v="3"/>
    <x v="6"/>
    <x v="893"/>
    <x v="4"/>
    <x v="901"/>
    <x v="902"/>
    <x v="899"/>
    <x v="11"/>
    <x v="7"/>
    <x v="0"/>
    <x v="0"/>
    <x v="0"/>
    <x v="1"/>
    <x v="1"/>
    <x v="0"/>
    <x v="904"/>
    <x v="0"/>
    <x v="0"/>
  </r>
  <r>
    <x v="905"/>
    <x v="258"/>
    <x v="0"/>
    <x v="3"/>
    <x v="17"/>
    <x v="4"/>
    <x v="1"/>
    <x v="0"/>
    <x v="1"/>
    <x v="0"/>
    <x v="894"/>
    <x v="3"/>
    <x v="902"/>
    <x v="903"/>
    <x v="900"/>
    <x v="13"/>
    <x v="3"/>
    <x v="0"/>
    <x v="1"/>
    <x v="1"/>
    <x v="1"/>
    <x v="0"/>
    <x v="3"/>
    <x v="905"/>
    <x v="3"/>
    <x v="1"/>
  </r>
  <r>
    <x v="906"/>
    <x v="49"/>
    <x v="0"/>
    <x v="1"/>
    <x v="5"/>
    <x v="5"/>
    <x v="4"/>
    <x v="2"/>
    <x v="1"/>
    <x v="2"/>
    <x v="895"/>
    <x v="1"/>
    <x v="903"/>
    <x v="904"/>
    <x v="901"/>
    <x v="11"/>
    <x v="2"/>
    <x v="0"/>
    <x v="0"/>
    <x v="0"/>
    <x v="1"/>
    <x v="0"/>
    <x v="1"/>
    <x v="906"/>
    <x v="1"/>
    <x v="1"/>
  </r>
  <r>
    <x v="907"/>
    <x v="109"/>
    <x v="0"/>
    <x v="2"/>
    <x v="2"/>
    <x v="7"/>
    <x v="6"/>
    <x v="2"/>
    <x v="1"/>
    <x v="5"/>
    <x v="896"/>
    <x v="0"/>
    <x v="904"/>
    <x v="905"/>
    <x v="902"/>
    <x v="2"/>
    <x v="2"/>
    <x v="0"/>
    <x v="0"/>
    <x v="0"/>
    <x v="1"/>
    <x v="0"/>
    <x v="2"/>
    <x v="907"/>
    <x v="2"/>
    <x v="1"/>
  </r>
  <r>
    <x v="908"/>
    <x v="332"/>
    <x v="1"/>
    <x v="4"/>
    <x v="19"/>
    <x v="9"/>
    <x v="8"/>
    <x v="2"/>
    <x v="2"/>
    <x v="3"/>
    <x v="897"/>
    <x v="1"/>
    <x v="905"/>
    <x v="906"/>
    <x v="903"/>
    <x v="20"/>
    <x v="4"/>
    <x v="0"/>
    <x v="1"/>
    <x v="1"/>
    <x v="0"/>
    <x v="0"/>
    <x v="4"/>
    <x v="908"/>
    <x v="4"/>
    <x v="1"/>
  </r>
  <r>
    <x v="909"/>
    <x v="148"/>
    <x v="2"/>
    <x v="3"/>
    <x v="7"/>
    <x v="8"/>
    <x v="7"/>
    <x v="2"/>
    <x v="2"/>
    <x v="2"/>
    <x v="898"/>
    <x v="1"/>
    <x v="906"/>
    <x v="907"/>
    <x v="904"/>
    <x v="5"/>
    <x v="3"/>
    <x v="0"/>
    <x v="1"/>
    <x v="1"/>
    <x v="1"/>
    <x v="0"/>
    <x v="3"/>
    <x v="909"/>
    <x v="3"/>
    <x v="1"/>
  </r>
  <r>
    <x v="910"/>
    <x v="205"/>
    <x v="0"/>
    <x v="0"/>
    <x v="13"/>
    <x v="8"/>
    <x v="7"/>
    <x v="2"/>
    <x v="1"/>
    <x v="2"/>
    <x v="899"/>
    <x v="1"/>
    <x v="907"/>
    <x v="908"/>
    <x v="905"/>
    <x v="2"/>
    <x v="11"/>
    <x v="0"/>
    <x v="0"/>
    <x v="0"/>
    <x v="1"/>
    <x v="0"/>
    <x v="0"/>
    <x v="910"/>
    <x v="0"/>
    <x v="0"/>
  </r>
  <r>
    <x v="911"/>
    <x v="329"/>
    <x v="2"/>
    <x v="2"/>
    <x v="12"/>
    <x v="8"/>
    <x v="7"/>
    <x v="2"/>
    <x v="2"/>
    <x v="2"/>
    <x v="900"/>
    <x v="0"/>
    <x v="908"/>
    <x v="909"/>
    <x v="906"/>
    <x v="10"/>
    <x v="5"/>
    <x v="0"/>
    <x v="0"/>
    <x v="0"/>
    <x v="0"/>
    <x v="0"/>
    <x v="2"/>
    <x v="911"/>
    <x v="2"/>
    <x v="1"/>
  </r>
  <r>
    <x v="912"/>
    <x v="186"/>
    <x v="0"/>
    <x v="2"/>
    <x v="12"/>
    <x v="8"/>
    <x v="7"/>
    <x v="2"/>
    <x v="2"/>
    <x v="1"/>
    <x v="901"/>
    <x v="3"/>
    <x v="909"/>
    <x v="910"/>
    <x v="907"/>
    <x v="15"/>
    <x v="8"/>
    <x v="0"/>
    <x v="0"/>
    <x v="0"/>
    <x v="0"/>
    <x v="0"/>
    <x v="2"/>
    <x v="912"/>
    <x v="2"/>
    <x v="1"/>
  </r>
  <r>
    <x v="913"/>
    <x v="33"/>
    <x v="2"/>
    <x v="4"/>
    <x v="11"/>
    <x v="0"/>
    <x v="0"/>
    <x v="0"/>
    <x v="3"/>
    <x v="0"/>
    <x v="902"/>
    <x v="2"/>
    <x v="910"/>
    <x v="911"/>
    <x v="908"/>
    <x v="3"/>
    <x v="9"/>
    <x v="0"/>
    <x v="1"/>
    <x v="1"/>
    <x v="0"/>
    <x v="1"/>
    <x v="4"/>
    <x v="913"/>
    <x v="4"/>
    <x v="1"/>
  </r>
  <r>
    <x v="914"/>
    <x v="50"/>
    <x v="1"/>
    <x v="0"/>
    <x v="13"/>
    <x v="8"/>
    <x v="7"/>
    <x v="2"/>
    <x v="3"/>
    <x v="0"/>
    <x v="903"/>
    <x v="0"/>
    <x v="911"/>
    <x v="912"/>
    <x v="909"/>
    <x v="12"/>
    <x v="0"/>
    <x v="0"/>
    <x v="0"/>
    <x v="0"/>
    <x v="1"/>
    <x v="0"/>
    <x v="0"/>
    <x v="914"/>
    <x v="0"/>
    <x v="1"/>
  </r>
  <r>
    <x v="915"/>
    <x v="314"/>
    <x v="2"/>
    <x v="1"/>
    <x v="15"/>
    <x v="8"/>
    <x v="7"/>
    <x v="2"/>
    <x v="2"/>
    <x v="4"/>
    <x v="904"/>
    <x v="3"/>
    <x v="912"/>
    <x v="913"/>
    <x v="910"/>
    <x v="20"/>
    <x v="7"/>
    <x v="0"/>
    <x v="0"/>
    <x v="1"/>
    <x v="0"/>
    <x v="0"/>
    <x v="1"/>
    <x v="915"/>
    <x v="1"/>
    <x v="1"/>
  </r>
  <r>
    <x v="916"/>
    <x v="333"/>
    <x v="0"/>
    <x v="2"/>
    <x v="2"/>
    <x v="8"/>
    <x v="7"/>
    <x v="2"/>
    <x v="1"/>
    <x v="0"/>
    <x v="905"/>
    <x v="3"/>
    <x v="913"/>
    <x v="914"/>
    <x v="911"/>
    <x v="9"/>
    <x v="4"/>
    <x v="0"/>
    <x v="0"/>
    <x v="0"/>
    <x v="1"/>
    <x v="0"/>
    <x v="2"/>
    <x v="916"/>
    <x v="2"/>
    <x v="1"/>
  </r>
  <r>
    <x v="917"/>
    <x v="167"/>
    <x v="2"/>
    <x v="4"/>
    <x v="16"/>
    <x v="3"/>
    <x v="3"/>
    <x v="0"/>
    <x v="0"/>
    <x v="4"/>
    <x v="906"/>
    <x v="3"/>
    <x v="914"/>
    <x v="915"/>
    <x v="912"/>
    <x v="11"/>
    <x v="10"/>
    <x v="0"/>
    <x v="1"/>
    <x v="1"/>
    <x v="1"/>
    <x v="0"/>
    <x v="4"/>
    <x v="917"/>
    <x v="4"/>
    <x v="1"/>
  </r>
  <r>
    <x v="918"/>
    <x v="296"/>
    <x v="1"/>
    <x v="1"/>
    <x v="1"/>
    <x v="0"/>
    <x v="0"/>
    <x v="0"/>
    <x v="1"/>
    <x v="1"/>
    <x v="907"/>
    <x v="2"/>
    <x v="915"/>
    <x v="916"/>
    <x v="913"/>
    <x v="25"/>
    <x v="4"/>
    <x v="0"/>
    <x v="0"/>
    <x v="1"/>
    <x v="1"/>
    <x v="1"/>
    <x v="1"/>
    <x v="918"/>
    <x v="1"/>
    <x v="1"/>
  </r>
  <r>
    <x v="919"/>
    <x v="229"/>
    <x v="0"/>
    <x v="0"/>
    <x v="13"/>
    <x v="6"/>
    <x v="5"/>
    <x v="3"/>
    <x v="0"/>
    <x v="5"/>
    <x v="908"/>
    <x v="1"/>
    <x v="916"/>
    <x v="917"/>
    <x v="914"/>
    <x v="12"/>
    <x v="11"/>
    <x v="0"/>
    <x v="0"/>
    <x v="0"/>
    <x v="1"/>
    <x v="0"/>
    <x v="0"/>
    <x v="919"/>
    <x v="0"/>
    <x v="1"/>
  </r>
  <r>
    <x v="920"/>
    <x v="21"/>
    <x v="2"/>
    <x v="2"/>
    <x v="12"/>
    <x v="4"/>
    <x v="1"/>
    <x v="0"/>
    <x v="1"/>
    <x v="4"/>
    <x v="909"/>
    <x v="1"/>
    <x v="917"/>
    <x v="918"/>
    <x v="915"/>
    <x v="3"/>
    <x v="4"/>
    <x v="0"/>
    <x v="0"/>
    <x v="0"/>
    <x v="0"/>
    <x v="0"/>
    <x v="2"/>
    <x v="920"/>
    <x v="2"/>
    <x v="1"/>
  </r>
  <r>
    <x v="921"/>
    <x v="319"/>
    <x v="0"/>
    <x v="1"/>
    <x v="1"/>
    <x v="4"/>
    <x v="1"/>
    <x v="0"/>
    <x v="3"/>
    <x v="2"/>
    <x v="910"/>
    <x v="2"/>
    <x v="918"/>
    <x v="919"/>
    <x v="916"/>
    <x v="23"/>
    <x v="7"/>
    <x v="0"/>
    <x v="0"/>
    <x v="0"/>
    <x v="1"/>
    <x v="1"/>
    <x v="1"/>
    <x v="921"/>
    <x v="1"/>
    <x v="1"/>
  </r>
  <r>
    <x v="922"/>
    <x v="71"/>
    <x v="2"/>
    <x v="1"/>
    <x v="10"/>
    <x v="7"/>
    <x v="6"/>
    <x v="2"/>
    <x v="2"/>
    <x v="5"/>
    <x v="911"/>
    <x v="0"/>
    <x v="919"/>
    <x v="920"/>
    <x v="917"/>
    <x v="16"/>
    <x v="5"/>
    <x v="0"/>
    <x v="0"/>
    <x v="0"/>
    <x v="0"/>
    <x v="0"/>
    <x v="1"/>
    <x v="922"/>
    <x v="1"/>
    <x v="1"/>
  </r>
  <r>
    <x v="923"/>
    <x v="334"/>
    <x v="0"/>
    <x v="1"/>
    <x v="1"/>
    <x v="3"/>
    <x v="3"/>
    <x v="0"/>
    <x v="2"/>
    <x v="3"/>
    <x v="912"/>
    <x v="1"/>
    <x v="920"/>
    <x v="921"/>
    <x v="918"/>
    <x v="4"/>
    <x v="11"/>
    <x v="0"/>
    <x v="1"/>
    <x v="1"/>
    <x v="0"/>
    <x v="0"/>
    <x v="1"/>
    <x v="923"/>
    <x v="1"/>
    <x v="1"/>
  </r>
  <r>
    <x v="924"/>
    <x v="117"/>
    <x v="1"/>
    <x v="2"/>
    <x v="14"/>
    <x v="1"/>
    <x v="1"/>
    <x v="0"/>
    <x v="3"/>
    <x v="1"/>
    <x v="913"/>
    <x v="1"/>
    <x v="921"/>
    <x v="922"/>
    <x v="919"/>
    <x v="21"/>
    <x v="0"/>
    <x v="0"/>
    <x v="0"/>
    <x v="0"/>
    <x v="0"/>
    <x v="0"/>
    <x v="2"/>
    <x v="924"/>
    <x v="2"/>
    <x v="1"/>
  </r>
  <r>
    <x v="925"/>
    <x v="232"/>
    <x v="1"/>
    <x v="2"/>
    <x v="12"/>
    <x v="4"/>
    <x v="1"/>
    <x v="0"/>
    <x v="0"/>
    <x v="0"/>
    <x v="914"/>
    <x v="2"/>
    <x v="922"/>
    <x v="923"/>
    <x v="920"/>
    <x v="23"/>
    <x v="5"/>
    <x v="0"/>
    <x v="0"/>
    <x v="0"/>
    <x v="1"/>
    <x v="1"/>
    <x v="2"/>
    <x v="925"/>
    <x v="2"/>
    <x v="1"/>
  </r>
  <r>
    <x v="926"/>
    <x v="147"/>
    <x v="0"/>
    <x v="3"/>
    <x v="17"/>
    <x v="2"/>
    <x v="2"/>
    <x v="1"/>
    <x v="0"/>
    <x v="4"/>
    <x v="915"/>
    <x v="2"/>
    <x v="923"/>
    <x v="924"/>
    <x v="921"/>
    <x v="7"/>
    <x v="10"/>
    <x v="0"/>
    <x v="0"/>
    <x v="1"/>
    <x v="1"/>
    <x v="1"/>
    <x v="3"/>
    <x v="926"/>
    <x v="3"/>
    <x v="1"/>
  </r>
  <r>
    <x v="927"/>
    <x v="112"/>
    <x v="0"/>
    <x v="0"/>
    <x v="13"/>
    <x v="1"/>
    <x v="1"/>
    <x v="0"/>
    <x v="0"/>
    <x v="2"/>
    <x v="916"/>
    <x v="0"/>
    <x v="924"/>
    <x v="925"/>
    <x v="922"/>
    <x v="23"/>
    <x v="11"/>
    <x v="0"/>
    <x v="0"/>
    <x v="0"/>
    <x v="1"/>
    <x v="0"/>
    <x v="0"/>
    <x v="927"/>
    <x v="0"/>
    <x v="1"/>
  </r>
  <r>
    <x v="928"/>
    <x v="299"/>
    <x v="0"/>
    <x v="4"/>
    <x v="8"/>
    <x v="8"/>
    <x v="7"/>
    <x v="2"/>
    <x v="3"/>
    <x v="6"/>
    <x v="917"/>
    <x v="0"/>
    <x v="925"/>
    <x v="926"/>
    <x v="923"/>
    <x v="18"/>
    <x v="2"/>
    <x v="0"/>
    <x v="0"/>
    <x v="1"/>
    <x v="1"/>
    <x v="0"/>
    <x v="4"/>
    <x v="928"/>
    <x v="4"/>
    <x v="1"/>
  </r>
  <r>
    <x v="929"/>
    <x v="71"/>
    <x v="1"/>
    <x v="1"/>
    <x v="15"/>
    <x v="8"/>
    <x v="7"/>
    <x v="2"/>
    <x v="0"/>
    <x v="3"/>
    <x v="918"/>
    <x v="0"/>
    <x v="926"/>
    <x v="927"/>
    <x v="924"/>
    <x v="10"/>
    <x v="5"/>
    <x v="0"/>
    <x v="0"/>
    <x v="0"/>
    <x v="0"/>
    <x v="0"/>
    <x v="1"/>
    <x v="929"/>
    <x v="1"/>
    <x v="1"/>
  </r>
  <r>
    <x v="930"/>
    <x v="227"/>
    <x v="0"/>
    <x v="3"/>
    <x v="9"/>
    <x v="0"/>
    <x v="0"/>
    <x v="0"/>
    <x v="3"/>
    <x v="6"/>
    <x v="919"/>
    <x v="4"/>
    <x v="927"/>
    <x v="928"/>
    <x v="925"/>
    <x v="11"/>
    <x v="3"/>
    <x v="0"/>
    <x v="0"/>
    <x v="0"/>
    <x v="1"/>
    <x v="1"/>
    <x v="3"/>
    <x v="930"/>
    <x v="3"/>
    <x v="1"/>
  </r>
  <r>
    <x v="931"/>
    <x v="335"/>
    <x v="1"/>
    <x v="4"/>
    <x v="16"/>
    <x v="1"/>
    <x v="1"/>
    <x v="0"/>
    <x v="1"/>
    <x v="5"/>
    <x v="920"/>
    <x v="4"/>
    <x v="928"/>
    <x v="929"/>
    <x v="926"/>
    <x v="18"/>
    <x v="7"/>
    <x v="0"/>
    <x v="0"/>
    <x v="1"/>
    <x v="1"/>
    <x v="1"/>
    <x v="4"/>
    <x v="931"/>
    <x v="4"/>
    <x v="1"/>
  </r>
  <r>
    <x v="932"/>
    <x v="46"/>
    <x v="0"/>
    <x v="3"/>
    <x v="7"/>
    <x v="2"/>
    <x v="2"/>
    <x v="1"/>
    <x v="1"/>
    <x v="0"/>
    <x v="921"/>
    <x v="1"/>
    <x v="929"/>
    <x v="930"/>
    <x v="927"/>
    <x v="6"/>
    <x v="0"/>
    <x v="0"/>
    <x v="0"/>
    <x v="0"/>
    <x v="0"/>
    <x v="0"/>
    <x v="3"/>
    <x v="932"/>
    <x v="3"/>
    <x v="1"/>
  </r>
  <r>
    <x v="933"/>
    <x v="237"/>
    <x v="0"/>
    <x v="2"/>
    <x v="2"/>
    <x v="0"/>
    <x v="0"/>
    <x v="0"/>
    <x v="3"/>
    <x v="6"/>
    <x v="922"/>
    <x v="2"/>
    <x v="930"/>
    <x v="931"/>
    <x v="928"/>
    <x v="22"/>
    <x v="8"/>
    <x v="0"/>
    <x v="0"/>
    <x v="0"/>
    <x v="1"/>
    <x v="1"/>
    <x v="2"/>
    <x v="933"/>
    <x v="2"/>
    <x v="1"/>
  </r>
  <r>
    <x v="934"/>
    <x v="194"/>
    <x v="1"/>
    <x v="1"/>
    <x v="10"/>
    <x v="7"/>
    <x v="6"/>
    <x v="2"/>
    <x v="2"/>
    <x v="5"/>
    <x v="923"/>
    <x v="1"/>
    <x v="931"/>
    <x v="932"/>
    <x v="929"/>
    <x v="16"/>
    <x v="5"/>
    <x v="0"/>
    <x v="0"/>
    <x v="0"/>
    <x v="0"/>
    <x v="0"/>
    <x v="1"/>
    <x v="934"/>
    <x v="1"/>
    <x v="1"/>
  </r>
  <r>
    <x v="935"/>
    <x v="156"/>
    <x v="0"/>
    <x v="4"/>
    <x v="8"/>
    <x v="1"/>
    <x v="1"/>
    <x v="0"/>
    <x v="1"/>
    <x v="1"/>
    <x v="924"/>
    <x v="1"/>
    <x v="932"/>
    <x v="933"/>
    <x v="930"/>
    <x v="22"/>
    <x v="2"/>
    <x v="0"/>
    <x v="1"/>
    <x v="1"/>
    <x v="1"/>
    <x v="0"/>
    <x v="4"/>
    <x v="935"/>
    <x v="4"/>
    <x v="1"/>
  </r>
  <r>
    <x v="936"/>
    <x v="271"/>
    <x v="2"/>
    <x v="4"/>
    <x v="16"/>
    <x v="3"/>
    <x v="3"/>
    <x v="0"/>
    <x v="0"/>
    <x v="5"/>
    <x v="925"/>
    <x v="0"/>
    <x v="933"/>
    <x v="934"/>
    <x v="931"/>
    <x v="12"/>
    <x v="8"/>
    <x v="0"/>
    <x v="1"/>
    <x v="1"/>
    <x v="1"/>
    <x v="0"/>
    <x v="4"/>
    <x v="936"/>
    <x v="4"/>
    <x v="1"/>
  </r>
  <r>
    <x v="937"/>
    <x v="109"/>
    <x v="2"/>
    <x v="4"/>
    <x v="8"/>
    <x v="8"/>
    <x v="7"/>
    <x v="2"/>
    <x v="3"/>
    <x v="3"/>
    <x v="926"/>
    <x v="3"/>
    <x v="934"/>
    <x v="935"/>
    <x v="932"/>
    <x v="8"/>
    <x v="2"/>
    <x v="0"/>
    <x v="1"/>
    <x v="1"/>
    <x v="1"/>
    <x v="0"/>
    <x v="4"/>
    <x v="937"/>
    <x v="4"/>
    <x v="1"/>
  </r>
  <r>
    <x v="938"/>
    <x v="312"/>
    <x v="1"/>
    <x v="4"/>
    <x v="19"/>
    <x v="8"/>
    <x v="7"/>
    <x v="2"/>
    <x v="0"/>
    <x v="5"/>
    <x v="927"/>
    <x v="2"/>
    <x v="935"/>
    <x v="936"/>
    <x v="933"/>
    <x v="23"/>
    <x v="10"/>
    <x v="0"/>
    <x v="1"/>
    <x v="1"/>
    <x v="1"/>
    <x v="1"/>
    <x v="4"/>
    <x v="938"/>
    <x v="4"/>
    <x v="1"/>
  </r>
  <r>
    <x v="939"/>
    <x v="113"/>
    <x v="1"/>
    <x v="4"/>
    <x v="19"/>
    <x v="5"/>
    <x v="4"/>
    <x v="2"/>
    <x v="0"/>
    <x v="3"/>
    <x v="928"/>
    <x v="1"/>
    <x v="936"/>
    <x v="937"/>
    <x v="934"/>
    <x v="12"/>
    <x v="8"/>
    <x v="0"/>
    <x v="1"/>
    <x v="1"/>
    <x v="1"/>
    <x v="0"/>
    <x v="4"/>
    <x v="939"/>
    <x v="4"/>
    <x v="1"/>
  </r>
  <r>
    <x v="940"/>
    <x v="140"/>
    <x v="2"/>
    <x v="3"/>
    <x v="9"/>
    <x v="0"/>
    <x v="0"/>
    <x v="0"/>
    <x v="2"/>
    <x v="5"/>
    <x v="929"/>
    <x v="0"/>
    <x v="937"/>
    <x v="938"/>
    <x v="935"/>
    <x v="4"/>
    <x v="8"/>
    <x v="0"/>
    <x v="0"/>
    <x v="0"/>
    <x v="0"/>
    <x v="0"/>
    <x v="3"/>
    <x v="940"/>
    <x v="3"/>
    <x v="1"/>
  </r>
  <r>
    <x v="941"/>
    <x v="9"/>
    <x v="0"/>
    <x v="1"/>
    <x v="15"/>
    <x v="6"/>
    <x v="5"/>
    <x v="3"/>
    <x v="0"/>
    <x v="2"/>
    <x v="930"/>
    <x v="2"/>
    <x v="938"/>
    <x v="939"/>
    <x v="936"/>
    <x v="13"/>
    <x v="6"/>
    <x v="0"/>
    <x v="0"/>
    <x v="0"/>
    <x v="1"/>
    <x v="1"/>
    <x v="1"/>
    <x v="941"/>
    <x v="1"/>
    <x v="1"/>
  </r>
  <r>
    <x v="942"/>
    <x v="252"/>
    <x v="0"/>
    <x v="2"/>
    <x v="12"/>
    <x v="6"/>
    <x v="5"/>
    <x v="3"/>
    <x v="2"/>
    <x v="5"/>
    <x v="931"/>
    <x v="2"/>
    <x v="939"/>
    <x v="940"/>
    <x v="937"/>
    <x v="19"/>
    <x v="4"/>
    <x v="0"/>
    <x v="0"/>
    <x v="0"/>
    <x v="0"/>
    <x v="1"/>
    <x v="2"/>
    <x v="942"/>
    <x v="2"/>
    <x v="1"/>
  </r>
  <r>
    <x v="943"/>
    <x v="209"/>
    <x v="0"/>
    <x v="2"/>
    <x v="14"/>
    <x v="0"/>
    <x v="0"/>
    <x v="0"/>
    <x v="1"/>
    <x v="4"/>
    <x v="932"/>
    <x v="1"/>
    <x v="940"/>
    <x v="941"/>
    <x v="938"/>
    <x v="9"/>
    <x v="10"/>
    <x v="0"/>
    <x v="0"/>
    <x v="0"/>
    <x v="1"/>
    <x v="0"/>
    <x v="2"/>
    <x v="943"/>
    <x v="2"/>
    <x v="1"/>
  </r>
  <r>
    <x v="944"/>
    <x v="45"/>
    <x v="1"/>
    <x v="2"/>
    <x v="14"/>
    <x v="3"/>
    <x v="3"/>
    <x v="0"/>
    <x v="3"/>
    <x v="5"/>
    <x v="933"/>
    <x v="3"/>
    <x v="941"/>
    <x v="942"/>
    <x v="939"/>
    <x v="13"/>
    <x v="7"/>
    <x v="0"/>
    <x v="0"/>
    <x v="0"/>
    <x v="1"/>
    <x v="0"/>
    <x v="2"/>
    <x v="944"/>
    <x v="2"/>
    <x v="1"/>
  </r>
  <r>
    <x v="945"/>
    <x v="294"/>
    <x v="0"/>
    <x v="2"/>
    <x v="12"/>
    <x v="9"/>
    <x v="8"/>
    <x v="2"/>
    <x v="0"/>
    <x v="2"/>
    <x v="934"/>
    <x v="0"/>
    <x v="942"/>
    <x v="943"/>
    <x v="940"/>
    <x v="21"/>
    <x v="5"/>
    <x v="0"/>
    <x v="0"/>
    <x v="0"/>
    <x v="0"/>
    <x v="0"/>
    <x v="2"/>
    <x v="945"/>
    <x v="2"/>
    <x v="1"/>
  </r>
  <r>
    <x v="946"/>
    <x v="121"/>
    <x v="1"/>
    <x v="3"/>
    <x v="9"/>
    <x v="0"/>
    <x v="0"/>
    <x v="0"/>
    <x v="3"/>
    <x v="2"/>
    <x v="935"/>
    <x v="1"/>
    <x v="943"/>
    <x v="944"/>
    <x v="941"/>
    <x v="24"/>
    <x v="9"/>
    <x v="0"/>
    <x v="0"/>
    <x v="0"/>
    <x v="0"/>
    <x v="0"/>
    <x v="3"/>
    <x v="946"/>
    <x v="3"/>
    <x v="1"/>
  </r>
  <r>
    <x v="947"/>
    <x v="247"/>
    <x v="2"/>
    <x v="0"/>
    <x v="18"/>
    <x v="3"/>
    <x v="3"/>
    <x v="0"/>
    <x v="0"/>
    <x v="1"/>
    <x v="936"/>
    <x v="4"/>
    <x v="944"/>
    <x v="945"/>
    <x v="942"/>
    <x v="9"/>
    <x v="6"/>
    <x v="0"/>
    <x v="0"/>
    <x v="0"/>
    <x v="1"/>
    <x v="1"/>
    <x v="0"/>
    <x v="947"/>
    <x v="0"/>
    <x v="0"/>
  </r>
  <r>
    <x v="948"/>
    <x v="240"/>
    <x v="2"/>
    <x v="1"/>
    <x v="10"/>
    <x v="7"/>
    <x v="6"/>
    <x v="2"/>
    <x v="3"/>
    <x v="3"/>
    <x v="937"/>
    <x v="2"/>
    <x v="945"/>
    <x v="946"/>
    <x v="943"/>
    <x v="7"/>
    <x v="2"/>
    <x v="0"/>
    <x v="0"/>
    <x v="1"/>
    <x v="1"/>
    <x v="1"/>
    <x v="1"/>
    <x v="948"/>
    <x v="1"/>
    <x v="1"/>
  </r>
  <r>
    <x v="949"/>
    <x v="12"/>
    <x v="1"/>
    <x v="4"/>
    <x v="8"/>
    <x v="8"/>
    <x v="7"/>
    <x v="2"/>
    <x v="0"/>
    <x v="0"/>
    <x v="938"/>
    <x v="1"/>
    <x v="946"/>
    <x v="947"/>
    <x v="944"/>
    <x v="3"/>
    <x v="0"/>
    <x v="0"/>
    <x v="1"/>
    <x v="1"/>
    <x v="0"/>
    <x v="0"/>
    <x v="4"/>
    <x v="949"/>
    <x v="4"/>
    <x v="1"/>
  </r>
  <r>
    <x v="950"/>
    <x v="184"/>
    <x v="0"/>
    <x v="0"/>
    <x v="13"/>
    <x v="2"/>
    <x v="2"/>
    <x v="1"/>
    <x v="0"/>
    <x v="6"/>
    <x v="939"/>
    <x v="1"/>
    <x v="947"/>
    <x v="948"/>
    <x v="945"/>
    <x v="5"/>
    <x v="5"/>
    <x v="0"/>
    <x v="0"/>
    <x v="0"/>
    <x v="1"/>
    <x v="0"/>
    <x v="0"/>
    <x v="950"/>
    <x v="0"/>
    <x v="1"/>
  </r>
  <r>
    <x v="951"/>
    <x v="299"/>
    <x v="2"/>
    <x v="2"/>
    <x v="2"/>
    <x v="9"/>
    <x v="8"/>
    <x v="2"/>
    <x v="0"/>
    <x v="6"/>
    <x v="940"/>
    <x v="1"/>
    <x v="948"/>
    <x v="949"/>
    <x v="946"/>
    <x v="6"/>
    <x v="2"/>
    <x v="0"/>
    <x v="0"/>
    <x v="0"/>
    <x v="0"/>
    <x v="0"/>
    <x v="2"/>
    <x v="951"/>
    <x v="2"/>
    <x v="1"/>
  </r>
  <r>
    <x v="952"/>
    <x v="195"/>
    <x v="1"/>
    <x v="0"/>
    <x v="6"/>
    <x v="1"/>
    <x v="1"/>
    <x v="0"/>
    <x v="0"/>
    <x v="5"/>
    <x v="941"/>
    <x v="2"/>
    <x v="949"/>
    <x v="950"/>
    <x v="947"/>
    <x v="14"/>
    <x v="5"/>
    <x v="0"/>
    <x v="0"/>
    <x v="0"/>
    <x v="1"/>
    <x v="1"/>
    <x v="0"/>
    <x v="952"/>
    <x v="0"/>
    <x v="1"/>
  </r>
  <r>
    <x v="953"/>
    <x v="304"/>
    <x v="0"/>
    <x v="1"/>
    <x v="10"/>
    <x v="9"/>
    <x v="8"/>
    <x v="2"/>
    <x v="0"/>
    <x v="1"/>
    <x v="942"/>
    <x v="1"/>
    <x v="950"/>
    <x v="951"/>
    <x v="948"/>
    <x v="4"/>
    <x v="6"/>
    <x v="0"/>
    <x v="0"/>
    <x v="1"/>
    <x v="0"/>
    <x v="0"/>
    <x v="1"/>
    <x v="953"/>
    <x v="1"/>
    <x v="1"/>
  </r>
  <r>
    <x v="954"/>
    <x v="124"/>
    <x v="0"/>
    <x v="4"/>
    <x v="16"/>
    <x v="2"/>
    <x v="2"/>
    <x v="1"/>
    <x v="0"/>
    <x v="5"/>
    <x v="943"/>
    <x v="3"/>
    <x v="951"/>
    <x v="952"/>
    <x v="949"/>
    <x v="24"/>
    <x v="8"/>
    <x v="0"/>
    <x v="1"/>
    <x v="1"/>
    <x v="0"/>
    <x v="0"/>
    <x v="4"/>
    <x v="954"/>
    <x v="4"/>
    <x v="1"/>
  </r>
  <r>
    <x v="955"/>
    <x v="304"/>
    <x v="2"/>
    <x v="4"/>
    <x v="11"/>
    <x v="5"/>
    <x v="4"/>
    <x v="2"/>
    <x v="0"/>
    <x v="6"/>
    <x v="944"/>
    <x v="3"/>
    <x v="952"/>
    <x v="953"/>
    <x v="950"/>
    <x v="16"/>
    <x v="6"/>
    <x v="0"/>
    <x v="0"/>
    <x v="1"/>
    <x v="0"/>
    <x v="0"/>
    <x v="4"/>
    <x v="955"/>
    <x v="4"/>
    <x v="1"/>
  </r>
  <r>
    <x v="956"/>
    <x v="147"/>
    <x v="1"/>
    <x v="1"/>
    <x v="15"/>
    <x v="8"/>
    <x v="7"/>
    <x v="2"/>
    <x v="0"/>
    <x v="3"/>
    <x v="945"/>
    <x v="0"/>
    <x v="953"/>
    <x v="954"/>
    <x v="951"/>
    <x v="1"/>
    <x v="10"/>
    <x v="0"/>
    <x v="0"/>
    <x v="0"/>
    <x v="1"/>
    <x v="0"/>
    <x v="1"/>
    <x v="956"/>
    <x v="1"/>
    <x v="1"/>
  </r>
  <r>
    <x v="957"/>
    <x v="177"/>
    <x v="2"/>
    <x v="1"/>
    <x v="5"/>
    <x v="6"/>
    <x v="5"/>
    <x v="3"/>
    <x v="0"/>
    <x v="3"/>
    <x v="946"/>
    <x v="1"/>
    <x v="954"/>
    <x v="955"/>
    <x v="952"/>
    <x v="9"/>
    <x v="5"/>
    <x v="0"/>
    <x v="0"/>
    <x v="0"/>
    <x v="1"/>
    <x v="0"/>
    <x v="1"/>
    <x v="957"/>
    <x v="1"/>
    <x v="1"/>
  </r>
  <r>
    <x v="958"/>
    <x v="154"/>
    <x v="2"/>
    <x v="2"/>
    <x v="2"/>
    <x v="3"/>
    <x v="3"/>
    <x v="0"/>
    <x v="3"/>
    <x v="3"/>
    <x v="947"/>
    <x v="1"/>
    <x v="955"/>
    <x v="956"/>
    <x v="953"/>
    <x v="24"/>
    <x v="7"/>
    <x v="0"/>
    <x v="0"/>
    <x v="0"/>
    <x v="0"/>
    <x v="0"/>
    <x v="2"/>
    <x v="958"/>
    <x v="2"/>
    <x v="1"/>
  </r>
  <r>
    <x v="959"/>
    <x v="186"/>
    <x v="1"/>
    <x v="4"/>
    <x v="8"/>
    <x v="0"/>
    <x v="0"/>
    <x v="0"/>
    <x v="2"/>
    <x v="2"/>
    <x v="948"/>
    <x v="2"/>
    <x v="956"/>
    <x v="957"/>
    <x v="954"/>
    <x v="2"/>
    <x v="8"/>
    <x v="0"/>
    <x v="0"/>
    <x v="0"/>
    <x v="1"/>
    <x v="1"/>
    <x v="4"/>
    <x v="959"/>
    <x v="4"/>
    <x v="1"/>
  </r>
  <r>
    <x v="960"/>
    <x v="168"/>
    <x v="1"/>
    <x v="0"/>
    <x v="13"/>
    <x v="0"/>
    <x v="0"/>
    <x v="0"/>
    <x v="0"/>
    <x v="0"/>
    <x v="949"/>
    <x v="2"/>
    <x v="957"/>
    <x v="958"/>
    <x v="955"/>
    <x v="9"/>
    <x v="0"/>
    <x v="0"/>
    <x v="0"/>
    <x v="0"/>
    <x v="1"/>
    <x v="1"/>
    <x v="0"/>
    <x v="960"/>
    <x v="0"/>
    <x v="1"/>
  </r>
  <r>
    <x v="961"/>
    <x v="153"/>
    <x v="0"/>
    <x v="3"/>
    <x v="9"/>
    <x v="6"/>
    <x v="5"/>
    <x v="3"/>
    <x v="2"/>
    <x v="1"/>
    <x v="950"/>
    <x v="2"/>
    <x v="958"/>
    <x v="959"/>
    <x v="956"/>
    <x v="15"/>
    <x v="3"/>
    <x v="0"/>
    <x v="0"/>
    <x v="0"/>
    <x v="0"/>
    <x v="1"/>
    <x v="3"/>
    <x v="961"/>
    <x v="3"/>
    <x v="1"/>
  </r>
  <r>
    <x v="962"/>
    <x v="179"/>
    <x v="0"/>
    <x v="3"/>
    <x v="3"/>
    <x v="9"/>
    <x v="8"/>
    <x v="2"/>
    <x v="0"/>
    <x v="2"/>
    <x v="951"/>
    <x v="1"/>
    <x v="959"/>
    <x v="960"/>
    <x v="957"/>
    <x v="2"/>
    <x v="1"/>
    <x v="0"/>
    <x v="0"/>
    <x v="0"/>
    <x v="1"/>
    <x v="0"/>
    <x v="3"/>
    <x v="962"/>
    <x v="3"/>
    <x v="1"/>
  </r>
  <r>
    <x v="963"/>
    <x v="82"/>
    <x v="0"/>
    <x v="1"/>
    <x v="15"/>
    <x v="8"/>
    <x v="7"/>
    <x v="2"/>
    <x v="0"/>
    <x v="0"/>
    <x v="952"/>
    <x v="3"/>
    <x v="960"/>
    <x v="961"/>
    <x v="958"/>
    <x v="11"/>
    <x v="2"/>
    <x v="0"/>
    <x v="0"/>
    <x v="1"/>
    <x v="1"/>
    <x v="0"/>
    <x v="1"/>
    <x v="963"/>
    <x v="1"/>
    <x v="1"/>
  </r>
  <r>
    <x v="964"/>
    <x v="336"/>
    <x v="1"/>
    <x v="2"/>
    <x v="2"/>
    <x v="4"/>
    <x v="1"/>
    <x v="0"/>
    <x v="3"/>
    <x v="1"/>
    <x v="953"/>
    <x v="0"/>
    <x v="961"/>
    <x v="962"/>
    <x v="959"/>
    <x v="25"/>
    <x v="11"/>
    <x v="0"/>
    <x v="0"/>
    <x v="0"/>
    <x v="1"/>
    <x v="0"/>
    <x v="2"/>
    <x v="964"/>
    <x v="2"/>
    <x v="1"/>
  </r>
  <r>
    <x v="965"/>
    <x v="271"/>
    <x v="1"/>
    <x v="3"/>
    <x v="7"/>
    <x v="3"/>
    <x v="3"/>
    <x v="0"/>
    <x v="1"/>
    <x v="1"/>
    <x v="954"/>
    <x v="3"/>
    <x v="962"/>
    <x v="963"/>
    <x v="960"/>
    <x v="18"/>
    <x v="8"/>
    <x v="0"/>
    <x v="1"/>
    <x v="1"/>
    <x v="1"/>
    <x v="0"/>
    <x v="3"/>
    <x v="965"/>
    <x v="3"/>
    <x v="1"/>
  </r>
  <r>
    <x v="966"/>
    <x v="163"/>
    <x v="2"/>
    <x v="4"/>
    <x v="16"/>
    <x v="7"/>
    <x v="6"/>
    <x v="2"/>
    <x v="1"/>
    <x v="6"/>
    <x v="955"/>
    <x v="2"/>
    <x v="963"/>
    <x v="964"/>
    <x v="961"/>
    <x v="7"/>
    <x v="5"/>
    <x v="0"/>
    <x v="0"/>
    <x v="0"/>
    <x v="1"/>
    <x v="1"/>
    <x v="4"/>
    <x v="966"/>
    <x v="4"/>
    <x v="1"/>
  </r>
  <r>
    <x v="967"/>
    <x v="181"/>
    <x v="0"/>
    <x v="1"/>
    <x v="15"/>
    <x v="2"/>
    <x v="2"/>
    <x v="1"/>
    <x v="3"/>
    <x v="2"/>
    <x v="956"/>
    <x v="0"/>
    <x v="964"/>
    <x v="965"/>
    <x v="962"/>
    <x v="16"/>
    <x v="3"/>
    <x v="0"/>
    <x v="0"/>
    <x v="0"/>
    <x v="0"/>
    <x v="0"/>
    <x v="1"/>
    <x v="967"/>
    <x v="1"/>
    <x v="1"/>
  </r>
  <r>
    <x v="968"/>
    <x v="143"/>
    <x v="1"/>
    <x v="0"/>
    <x v="6"/>
    <x v="9"/>
    <x v="8"/>
    <x v="2"/>
    <x v="2"/>
    <x v="1"/>
    <x v="957"/>
    <x v="1"/>
    <x v="965"/>
    <x v="966"/>
    <x v="963"/>
    <x v="13"/>
    <x v="7"/>
    <x v="0"/>
    <x v="0"/>
    <x v="0"/>
    <x v="1"/>
    <x v="0"/>
    <x v="0"/>
    <x v="968"/>
    <x v="0"/>
    <x v="1"/>
  </r>
  <r>
    <x v="969"/>
    <x v="18"/>
    <x v="1"/>
    <x v="1"/>
    <x v="1"/>
    <x v="1"/>
    <x v="1"/>
    <x v="0"/>
    <x v="1"/>
    <x v="4"/>
    <x v="958"/>
    <x v="2"/>
    <x v="966"/>
    <x v="967"/>
    <x v="964"/>
    <x v="0"/>
    <x v="2"/>
    <x v="0"/>
    <x v="1"/>
    <x v="1"/>
    <x v="0"/>
    <x v="1"/>
    <x v="1"/>
    <x v="969"/>
    <x v="1"/>
    <x v="1"/>
  </r>
  <r>
    <x v="970"/>
    <x v="156"/>
    <x v="1"/>
    <x v="0"/>
    <x v="0"/>
    <x v="5"/>
    <x v="4"/>
    <x v="2"/>
    <x v="3"/>
    <x v="3"/>
    <x v="959"/>
    <x v="4"/>
    <x v="967"/>
    <x v="968"/>
    <x v="965"/>
    <x v="6"/>
    <x v="2"/>
    <x v="0"/>
    <x v="0"/>
    <x v="0"/>
    <x v="0"/>
    <x v="1"/>
    <x v="0"/>
    <x v="970"/>
    <x v="0"/>
    <x v="1"/>
  </r>
  <r>
    <x v="971"/>
    <x v="337"/>
    <x v="1"/>
    <x v="1"/>
    <x v="10"/>
    <x v="0"/>
    <x v="0"/>
    <x v="0"/>
    <x v="3"/>
    <x v="1"/>
    <x v="960"/>
    <x v="1"/>
    <x v="968"/>
    <x v="969"/>
    <x v="966"/>
    <x v="21"/>
    <x v="2"/>
    <x v="0"/>
    <x v="1"/>
    <x v="1"/>
    <x v="0"/>
    <x v="0"/>
    <x v="1"/>
    <x v="971"/>
    <x v="1"/>
    <x v="1"/>
  </r>
  <r>
    <x v="972"/>
    <x v="220"/>
    <x v="0"/>
    <x v="1"/>
    <x v="15"/>
    <x v="9"/>
    <x v="8"/>
    <x v="2"/>
    <x v="1"/>
    <x v="0"/>
    <x v="961"/>
    <x v="0"/>
    <x v="969"/>
    <x v="970"/>
    <x v="967"/>
    <x v="14"/>
    <x v="9"/>
    <x v="0"/>
    <x v="1"/>
    <x v="1"/>
    <x v="1"/>
    <x v="0"/>
    <x v="1"/>
    <x v="972"/>
    <x v="1"/>
    <x v="1"/>
  </r>
  <r>
    <x v="973"/>
    <x v="148"/>
    <x v="1"/>
    <x v="1"/>
    <x v="1"/>
    <x v="5"/>
    <x v="4"/>
    <x v="2"/>
    <x v="2"/>
    <x v="6"/>
    <x v="962"/>
    <x v="3"/>
    <x v="970"/>
    <x v="971"/>
    <x v="968"/>
    <x v="15"/>
    <x v="3"/>
    <x v="0"/>
    <x v="0"/>
    <x v="0"/>
    <x v="0"/>
    <x v="0"/>
    <x v="1"/>
    <x v="973"/>
    <x v="1"/>
    <x v="0"/>
  </r>
  <r>
    <x v="974"/>
    <x v="181"/>
    <x v="0"/>
    <x v="0"/>
    <x v="0"/>
    <x v="2"/>
    <x v="2"/>
    <x v="1"/>
    <x v="3"/>
    <x v="5"/>
    <x v="963"/>
    <x v="3"/>
    <x v="971"/>
    <x v="972"/>
    <x v="969"/>
    <x v="12"/>
    <x v="3"/>
    <x v="0"/>
    <x v="0"/>
    <x v="0"/>
    <x v="1"/>
    <x v="0"/>
    <x v="0"/>
    <x v="974"/>
    <x v="0"/>
    <x v="1"/>
  </r>
  <r>
    <x v="975"/>
    <x v="80"/>
    <x v="0"/>
    <x v="0"/>
    <x v="6"/>
    <x v="0"/>
    <x v="0"/>
    <x v="0"/>
    <x v="0"/>
    <x v="3"/>
    <x v="964"/>
    <x v="1"/>
    <x v="972"/>
    <x v="973"/>
    <x v="970"/>
    <x v="7"/>
    <x v="11"/>
    <x v="0"/>
    <x v="0"/>
    <x v="0"/>
    <x v="1"/>
    <x v="0"/>
    <x v="0"/>
    <x v="975"/>
    <x v="0"/>
    <x v="1"/>
  </r>
  <r>
    <x v="976"/>
    <x v="159"/>
    <x v="1"/>
    <x v="1"/>
    <x v="1"/>
    <x v="0"/>
    <x v="0"/>
    <x v="0"/>
    <x v="2"/>
    <x v="6"/>
    <x v="965"/>
    <x v="0"/>
    <x v="973"/>
    <x v="974"/>
    <x v="971"/>
    <x v="16"/>
    <x v="3"/>
    <x v="0"/>
    <x v="0"/>
    <x v="0"/>
    <x v="0"/>
    <x v="0"/>
    <x v="1"/>
    <x v="976"/>
    <x v="1"/>
    <x v="1"/>
  </r>
  <r>
    <x v="977"/>
    <x v="72"/>
    <x v="1"/>
    <x v="3"/>
    <x v="3"/>
    <x v="4"/>
    <x v="1"/>
    <x v="0"/>
    <x v="2"/>
    <x v="5"/>
    <x v="966"/>
    <x v="4"/>
    <x v="974"/>
    <x v="975"/>
    <x v="972"/>
    <x v="23"/>
    <x v="6"/>
    <x v="0"/>
    <x v="1"/>
    <x v="1"/>
    <x v="1"/>
    <x v="1"/>
    <x v="3"/>
    <x v="977"/>
    <x v="3"/>
    <x v="1"/>
  </r>
  <r>
    <x v="978"/>
    <x v="2"/>
    <x v="2"/>
    <x v="2"/>
    <x v="12"/>
    <x v="9"/>
    <x v="8"/>
    <x v="2"/>
    <x v="1"/>
    <x v="2"/>
    <x v="967"/>
    <x v="0"/>
    <x v="975"/>
    <x v="976"/>
    <x v="973"/>
    <x v="24"/>
    <x v="0"/>
    <x v="0"/>
    <x v="0"/>
    <x v="0"/>
    <x v="0"/>
    <x v="0"/>
    <x v="2"/>
    <x v="978"/>
    <x v="2"/>
    <x v="1"/>
  </r>
  <r>
    <x v="979"/>
    <x v="137"/>
    <x v="1"/>
    <x v="2"/>
    <x v="4"/>
    <x v="8"/>
    <x v="7"/>
    <x v="2"/>
    <x v="1"/>
    <x v="2"/>
    <x v="968"/>
    <x v="1"/>
    <x v="976"/>
    <x v="977"/>
    <x v="974"/>
    <x v="11"/>
    <x v="7"/>
    <x v="0"/>
    <x v="0"/>
    <x v="0"/>
    <x v="1"/>
    <x v="0"/>
    <x v="2"/>
    <x v="979"/>
    <x v="2"/>
    <x v="1"/>
  </r>
  <r>
    <x v="980"/>
    <x v="323"/>
    <x v="1"/>
    <x v="2"/>
    <x v="4"/>
    <x v="6"/>
    <x v="5"/>
    <x v="3"/>
    <x v="0"/>
    <x v="1"/>
    <x v="969"/>
    <x v="0"/>
    <x v="977"/>
    <x v="978"/>
    <x v="975"/>
    <x v="15"/>
    <x v="3"/>
    <x v="0"/>
    <x v="0"/>
    <x v="0"/>
    <x v="0"/>
    <x v="0"/>
    <x v="2"/>
    <x v="980"/>
    <x v="2"/>
    <x v="1"/>
  </r>
  <r>
    <x v="981"/>
    <x v="210"/>
    <x v="1"/>
    <x v="0"/>
    <x v="13"/>
    <x v="6"/>
    <x v="5"/>
    <x v="3"/>
    <x v="3"/>
    <x v="4"/>
    <x v="970"/>
    <x v="3"/>
    <x v="978"/>
    <x v="979"/>
    <x v="976"/>
    <x v="14"/>
    <x v="5"/>
    <x v="0"/>
    <x v="0"/>
    <x v="0"/>
    <x v="1"/>
    <x v="0"/>
    <x v="0"/>
    <x v="981"/>
    <x v="0"/>
    <x v="0"/>
  </r>
  <r>
    <x v="982"/>
    <x v="187"/>
    <x v="1"/>
    <x v="0"/>
    <x v="13"/>
    <x v="7"/>
    <x v="6"/>
    <x v="2"/>
    <x v="1"/>
    <x v="2"/>
    <x v="971"/>
    <x v="2"/>
    <x v="979"/>
    <x v="980"/>
    <x v="977"/>
    <x v="24"/>
    <x v="1"/>
    <x v="0"/>
    <x v="0"/>
    <x v="0"/>
    <x v="0"/>
    <x v="1"/>
    <x v="0"/>
    <x v="982"/>
    <x v="0"/>
    <x v="1"/>
  </r>
  <r>
    <x v="983"/>
    <x v="291"/>
    <x v="0"/>
    <x v="3"/>
    <x v="17"/>
    <x v="1"/>
    <x v="1"/>
    <x v="0"/>
    <x v="1"/>
    <x v="1"/>
    <x v="972"/>
    <x v="3"/>
    <x v="980"/>
    <x v="981"/>
    <x v="978"/>
    <x v="11"/>
    <x v="1"/>
    <x v="0"/>
    <x v="1"/>
    <x v="1"/>
    <x v="1"/>
    <x v="0"/>
    <x v="3"/>
    <x v="983"/>
    <x v="3"/>
    <x v="1"/>
  </r>
  <r>
    <x v="984"/>
    <x v="24"/>
    <x v="0"/>
    <x v="2"/>
    <x v="4"/>
    <x v="5"/>
    <x v="4"/>
    <x v="2"/>
    <x v="2"/>
    <x v="3"/>
    <x v="973"/>
    <x v="1"/>
    <x v="981"/>
    <x v="982"/>
    <x v="979"/>
    <x v="18"/>
    <x v="2"/>
    <x v="0"/>
    <x v="0"/>
    <x v="0"/>
    <x v="1"/>
    <x v="0"/>
    <x v="2"/>
    <x v="984"/>
    <x v="2"/>
    <x v="1"/>
  </r>
  <r>
    <x v="985"/>
    <x v="308"/>
    <x v="0"/>
    <x v="2"/>
    <x v="4"/>
    <x v="9"/>
    <x v="8"/>
    <x v="2"/>
    <x v="1"/>
    <x v="6"/>
    <x v="974"/>
    <x v="1"/>
    <x v="982"/>
    <x v="983"/>
    <x v="799"/>
    <x v="22"/>
    <x v="9"/>
    <x v="0"/>
    <x v="0"/>
    <x v="0"/>
    <x v="1"/>
    <x v="0"/>
    <x v="2"/>
    <x v="985"/>
    <x v="2"/>
    <x v="1"/>
  </r>
  <r>
    <x v="986"/>
    <x v="177"/>
    <x v="1"/>
    <x v="1"/>
    <x v="1"/>
    <x v="3"/>
    <x v="3"/>
    <x v="0"/>
    <x v="1"/>
    <x v="2"/>
    <x v="975"/>
    <x v="2"/>
    <x v="983"/>
    <x v="984"/>
    <x v="980"/>
    <x v="23"/>
    <x v="5"/>
    <x v="0"/>
    <x v="0"/>
    <x v="0"/>
    <x v="1"/>
    <x v="1"/>
    <x v="1"/>
    <x v="986"/>
    <x v="1"/>
    <x v="1"/>
  </r>
  <r>
    <x v="987"/>
    <x v="188"/>
    <x v="0"/>
    <x v="0"/>
    <x v="6"/>
    <x v="1"/>
    <x v="1"/>
    <x v="0"/>
    <x v="1"/>
    <x v="6"/>
    <x v="976"/>
    <x v="3"/>
    <x v="984"/>
    <x v="985"/>
    <x v="981"/>
    <x v="25"/>
    <x v="2"/>
    <x v="0"/>
    <x v="0"/>
    <x v="0"/>
    <x v="1"/>
    <x v="0"/>
    <x v="0"/>
    <x v="987"/>
    <x v="0"/>
    <x v="1"/>
  </r>
  <r>
    <x v="988"/>
    <x v="338"/>
    <x v="0"/>
    <x v="2"/>
    <x v="12"/>
    <x v="4"/>
    <x v="1"/>
    <x v="0"/>
    <x v="1"/>
    <x v="6"/>
    <x v="977"/>
    <x v="2"/>
    <x v="985"/>
    <x v="986"/>
    <x v="982"/>
    <x v="21"/>
    <x v="6"/>
    <x v="0"/>
    <x v="0"/>
    <x v="0"/>
    <x v="0"/>
    <x v="1"/>
    <x v="2"/>
    <x v="988"/>
    <x v="2"/>
    <x v="1"/>
  </r>
  <r>
    <x v="989"/>
    <x v="44"/>
    <x v="0"/>
    <x v="3"/>
    <x v="7"/>
    <x v="0"/>
    <x v="0"/>
    <x v="0"/>
    <x v="2"/>
    <x v="4"/>
    <x v="978"/>
    <x v="1"/>
    <x v="986"/>
    <x v="987"/>
    <x v="983"/>
    <x v="1"/>
    <x v="11"/>
    <x v="0"/>
    <x v="1"/>
    <x v="1"/>
    <x v="1"/>
    <x v="0"/>
    <x v="3"/>
    <x v="989"/>
    <x v="3"/>
    <x v="1"/>
  </r>
  <r>
    <x v="990"/>
    <x v="269"/>
    <x v="2"/>
    <x v="3"/>
    <x v="17"/>
    <x v="8"/>
    <x v="7"/>
    <x v="2"/>
    <x v="0"/>
    <x v="2"/>
    <x v="979"/>
    <x v="3"/>
    <x v="987"/>
    <x v="988"/>
    <x v="984"/>
    <x v="9"/>
    <x v="5"/>
    <x v="0"/>
    <x v="0"/>
    <x v="0"/>
    <x v="1"/>
    <x v="0"/>
    <x v="3"/>
    <x v="990"/>
    <x v="3"/>
    <x v="1"/>
  </r>
  <r>
    <x v="991"/>
    <x v="131"/>
    <x v="0"/>
    <x v="2"/>
    <x v="12"/>
    <x v="9"/>
    <x v="8"/>
    <x v="2"/>
    <x v="0"/>
    <x v="6"/>
    <x v="980"/>
    <x v="0"/>
    <x v="988"/>
    <x v="989"/>
    <x v="985"/>
    <x v="22"/>
    <x v="1"/>
    <x v="0"/>
    <x v="0"/>
    <x v="0"/>
    <x v="1"/>
    <x v="0"/>
    <x v="2"/>
    <x v="991"/>
    <x v="2"/>
    <x v="1"/>
  </r>
  <r>
    <x v="992"/>
    <x v="231"/>
    <x v="1"/>
    <x v="0"/>
    <x v="18"/>
    <x v="1"/>
    <x v="1"/>
    <x v="0"/>
    <x v="3"/>
    <x v="4"/>
    <x v="981"/>
    <x v="2"/>
    <x v="989"/>
    <x v="990"/>
    <x v="986"/>
    <x v="0"/>
    <x v="9"/>
    <x v="0"/>
    <x v="0"/>
    <x v="0"/>
    <x v="0"/>
    <x v="1"/>
    <x v="0"/>
    <x v="992"/>
    <x v="0"/>
    <x v="1"/>
  </r>
  <r>
    <x v="993"/>
    <x v="81"/>
    <x v="0"/>
    <x v="3"/>
    <x v="17"/>
    <x v="1"/>
    <x v="1"/>
    <x v="0"/>
    <x v="1"/>
    <x v="4"/>
    <x v="982"/>
    <x v="2"/>
    <x v="990"/>
    <x v="991"/>
    <x v="987"/>
    <x v="15"/>
    <x v="7"/>
    <x v="0"/>
    <x v="0"/>
    <x v="0"/>
    <x v="0"/>
    <x v="1"/>
    <x v="3"/>
    <x v="993"/>
    <x v="3"/>
    <x v="1"/>
  </r>
  <r>
    <x v="994"/>
    <x v="49"/>
    <x v="1"/>
    <x v="1"/>
    <x v="15"/>
    <x v="8"/>
    <x v="7"/>
    <x v="2"/>
    <x v="2"/>
    <x v="2"/>
    <x v="983"/>
    <x v="1"/>
    <x v="991"/>
    <x v="992"/>
    <x v="988"/>
    <x v="4"/>
    <x v="2"/>
    <x v="0"/>
    <x v="0"/>
    <x v="0"/>
    <x v="0"/>
    <x v="0"/>
    <x v="1"/>
    <x v="994"/>
    <x v="1"/>
    <x v="1"/>
  </r>
  <r>
    <x v="995"/>
    <x v="180"/>
    <x v="0"/>
    <x v="3"/>
    <x v="17"/>
    <x v="7"/>
    <x v="6"/>
    <x v="2"/>
    <x v="3"/>
    <x v="4"/>
    <x v="984"/>
    <x v="3"/>
    <x v="992"/>
    <x v="993"/>
    <x v="989"/>
    <x v="15"/>
    <x v="4"/>
    <x v="0"/>
    <x v="0"/>
    <x v="0"/>
    <x v="0"/>
    <x v="0"/>
    <x v="3"/>
    <x v="995"/>
    <x v="3"/>
    <x v="1"/>
  </r>
  <r>
    <x v="996"/>
    <x v="3"/>
    <x v="0"/>
    <x v="4"/>
    <x v="19"/>
    <x v="5"/>
    <x v="4"/>
    <x v="2"/>
    <x v="3"/>
    <x v="2"/>
    <x v="985"/>
    <x v="1"/>
    <x v="993"/>
    <x v="994"/>
    <x v="990"/>
    <x v="22"/>
    <x v="2"/>
    <x v="0"/>
    <x v="0"/>
    <x v="0"/>
    <x v="1"/>
    <x v="0"/>
    <x v="4"/>
    <x v="996"/>
    <x v="4"/>
    <x v="1"/>
  </r>
  <r>
    <x v="997"/>
    <x v="318"/>
    <x v="1"/>
    <x v="4"/>
    <x v="11"/>
    <x v="5"/>
    <x v="4"/>
    <x v="2"/>
    <x v="0"/>
    <x v="2"/>
    <x v="986"/>
    <x v="0"/>
    <x v="994"/>
    <x v="995"/>
    <x v="991"/>
    <x v="18"/>
    <x v="5"/>
    <x v="0"/>
    <x v="0"/>
    <x v="1"/>
    <x v="1"/>
    <x v="0"/>
    <x v="4"/>
    <x v="997"/>
    <x v="4"/>
    <x v="1"/>
  </r>
  <r>
    <x v="998"/>
    <x v="319"/>
    <x v="0"/>
    <x v="0"/>
    <x v="6"/>
    <x v="1"/>
    <x v="1"/>
    <x v="0"/>
    <x v="2"/>
    <x v="5"/>
    <x v="987"/>
    <x v="0"/>
    <x v="995"/>
    <x v="996"/>
    <x v="992"/>
    <x v="8"/>
    <x v="7"/>
    <x v="0"/>
    <x v="0"/>
    <x v="0"/>
    <x v="1"/>
    <x v="0"/>
    <x v="0"/>
    <x v="998"/>
    <x v="0"/>
    <x v="1"/>
  </r>
  <r>
    <x v="999"/>
    <x v="330"/>
    <x v="0"/>
    <x v="2"/>
    <x v="12"/>
    <x v="2"/>
    <x v="2"/>
    <x v="1"/>
    <x v="2"/>
    <x v="6"/>
    <x v="988"/>
    <x v="2"/>
    <x v="996"/>
    <x v="997"/>
    <x v="993"/>
    <x v="3"/>
    <x v="11"/>
    <x v="0"/>
    <x v="0"/>
    <x v="0"/>
    <x v="0"/>
    <x v="1"/>
    <x v="2"/>
    <x v="999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1:B24" firstHeaderRow="1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axis="axisRow"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0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sortType="descending" showAll="0">
      <items count="6">
        <item x="0"/>
        <item x="4"/>
        <item x="3"/>
        <item x="2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dataField="1"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multipleItemSelectionAllowed="1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dataField="1"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3"/>
  </rowFields>
  <rowItems count="6">
    <i>
      <x v="1"/>
    </i>
    <i>
      <x v="2"/>
    </i>
    <i>
      <x v="4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0" baseItem="0"/>
    <dataField name="Sum of Profit" fld="14" baseField="0" baseItem="0"/>
    <dataField name="Sum of Quantity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0:D35" firstHeaderRow="0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axis="axisRow" compact="0" sortType="descending" showAll="0">
      <items count="5">
        <item x="3"/>
        <item x="0"/>
        <item x="2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dataField="1"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8"/>
  </rowFields>
  <rowItems count="5">
    <i>
      <x v="3"/>
    </i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0" baseItem="0"/>
    <dataField name="Sum of Profit" fld="14" baseField="0" baseItem="0"/>
    <dataField name="Sum of Quantity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3:D18" firstHeaderRow="0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axis="axisRow" compact="0" sortType="descending" showAll="0">
      <items count="5">
        <item x="1"/>
        <item x="3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3"/>
        <item x="0"/>
        <item x="2"/>
        <item x="1"/>
        <item t="default"/>
      </items>
    </pivotField>
    <pivotField dataField="1"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dataField="1"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7"/>
  </rowFields>
  <rowItems count="5">
    <i>
      <x v="2"/>
    </i>
    <i>
      <x v="3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0" baseItem="0"/>
    <dataField name="Sum of Profit" fld="14" baseField="0" baseItem="0"/>
    <dataField name="Sum of Quantity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2:D26" firstHeaderRow="0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axis="axisRow" compact="0" sortType="descending" showAll="0">
      <items count="4">
        <item x="1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dataField="1"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dataField="1"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2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0" baseItem="0"/>
    <dataField name="Sum of Profit" fld="14" baseField="0" baseItem="0"/>
    <dataField name="Sum of Quantity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B8" firstHeaderRow="1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9:B24" firstHeaderRow="1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axis="axisRow" compact="0" showAll="0">
      <items count="5">
        <item x="1"/>
        <item x="3"/>
        <item x="0"/>
        <item x="2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dataField="1"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6:B40" firstHeaderRow="1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3:B58" firstHeaderRow="1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axis="axisRow" compact="0" showAll="0">
      <items count="5">
        <item x="3"/>
        <item x="0"/>
        <item x="2"/>
        <item x="1"/>
        <item t="default"/>
      </items>
    </pivotField>
    <pivotField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70:B83" firstHeaderRow="1" firstDataRow="1" firstDataCol="1"/>
  <pivotFields count="2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0">
        <item x="71"/>
        <item x="48"/>
        <item x="241"/>
        <item x="232"/>
        <item x="138"/>
        <item x="7"/>
        <item x="329"/>
        <item x="194"/>
        <item x="285"/>
        <item x="134"/>
        <item x="256"/>
        <item x="269"/>
        <item x="28"/>
        <item x="200"/>
        <item x="306"/>
        <item x="294"/>
        <item x="195"/>
        <item x="163"/>
        <item x="210"/>
        <item x="207"/>
        <item x="275"/>
        <item x="192"/>
        <item x="128"/>
        <item x="206"/>
        <item x="277"/>
        <item x="105"/>
        <item x="318"/>
        <item x="177"/>
        <item x="184"/>
        <item x="9"/>
        <item x="338"/>
        <item x="283"/>
        <item x="331"/>
        <item x="310"/>
        <item x="171"/>
        <item x="106"/>
        <item x="304"/>
        <item x="165"/>
        <item x="301"/>
        <item x="86"/>
        <item x="270"/>
        <item x="72"/>
        <item x="29"/>
        <item x="313"/>
        <item x="247"/>
        <item x="253"/>
        <item x="215"/>
        <item x="326"/>
        <item x="185"/>
        <item x="67"/>
        <item x="262"/>
        <item x="60"/>
        <item x="91"/>
        <item x="305"/>
        <item x="35"/>
        <item x="174"/>
        <item x="204"/>
        <item x="169"/>
        <item x="100"/>
        <item x="258"/>
        <item x="216"/>
        <item x="153"/>
        <item x="130"/>
        <item x="110"/>
        <item x="246"/>
        <item x="159"/>
        <item x="227"/>
        <item x="4"/>
        <item x="132"/>
        <item x="251"/>
        <item x="288"/>
        <item x="13"/>
        <item x="290"/>
        <item x="198"/>
        <item x="267"/>
        <item x="118"/>
        <item x="27"/>
        <item x="257"/>
        <item x="323"/>
        <item x="148"/>
        <item x="295"/>
        <item x="152"/>
        <item x="181"/>
        <item x="162"/>
        <item x="233"/>
        <item x="55"/>
        <item x="291"/>
        <item x="1"/>
        <item x="126"/>
        <item x="75"/>
        <item x="10"/>
        <item x="211"/>
        <item x="187"/>
        <item x="93"/>
        <item x="88"/>
        <item x="101"/>
        <item x="115"/>
        <item x="234"/>
        <item x="84"/>
        <item x="179"/>
        <item x="38"/>
        <item x="307"/>
        <item x="42"/>
        <item x="59"/>
        <item x="141"/>
        <item x="30"/>
        <item x="99"/>
        <item x="61"/>
        <item x="327"/>
        <item x="131"/>
        <item x="107"/>
        <item x="260"/>
        <item x="212"/>
        <item x="312"/>
        <item x="272"/>
        <item x="228"/>
        <item x="287"/>
        <item x="23"/>
        <item x="218"/>
        <item x="151"/>
        <item x="266"/>
        <item x="320"/>
        <item x="147"/>
        <item x="317"/>
        <item x="292"/>
        <item x="224"/>
        <item x="69"/>
        <item x="167"/>
        <item x="87"/>
        <item x="79"/>
        <item x="196"/>
        <item x="127"/>
        <item x="62"/>
        <item x="264"/>
        <item x="197"/>
        <item x="209"/>
        <item x="103"/>
        <item x="278"/>
        <item x="58"/>
        <item x="239"/>
        <item x="164"/>
        <item x="137"/>
        <item x="325"/>
        <item x="81"/>
        <item x="45"/>
        <item x="154"/>
        <item x="226"/>
        <item x="303"/>
        <item x="319"/>
        <item x="145"/>
        <item x="142"/>
        <item x="114"/>
        <item x="276"/>
        <item x="193"/>
        <item x="322"/>
        <item x="314"/>
        <item x="57"/>
        <item x="230"/>
        <item x="40"/>
        <item x="144"/>
        <item x="149"/>
        <item x="14"/>
        <item x="335"/>
        <item x="64"/>
        <item x="143"/>
        <item x="70"/>
        <item x="150"/>
        <item x="104"/>
        <item x="6"/>
        <item x="119"/>
        <item x="12"/>
        <item x="117"/>
        <item x="46"/>
        <item x="20"/>
        <item x="189"/>
        <item x="94"/>
        <item x="238"/>
        <item x="222"/>
        <item x="139"/>
        <item x="173"/>
        <item x="208"/>
        <item x="298"/>
        <item x="2"/>
        <item x="63"/>
        <item x="65"/>
        <item x="168"/>
        <item x="321"/>
        <item x="32"/>
        <item x="8"/>
        <item x="324"/>
        <item x="0"/>
        <item x="191"/>
        <item x="50"/>
        <item x="135"/>
        <item x="235"/>
        <item x="25"/>
        <item x="111"/>
        <item x="248"/>
        <item x="309"/>
        <item x="205"/>
        <item x="112"/>
        <item x="37"/>
        <item x="182"/>
        <item x="53"/>
        <item x="336"/>
        <item x="183"/>
        <item x="281"/>
        <item x="244"/>
        <item x="254"/>
        <item x="73"/>
        <item x="116"/>
        <item x="44"/>
        <item x="229"/>
        <item x="284"/>
        <item x="85"/>
        <item x="96"/>
        <item x="330"/>
        <item x="334"/>
        <item x="80"/>
        <item x="54"/>
        <item x="201"/>
        <item x="175"/>
        <item x="202"/>
        <item x="166"/>
        <item x="263"/>
        <item x="109"/>
        <item x="203"/>
        <item x="49"/>
        <item x="3"/>
        <item x="250"/>
        <item x="188"/>
        <item x="26"/>
        <item x="240"/>
        <item x="120"/>
        <item x="156"/>
        <item x="24"/>
        <item x="18"/>
        <item x="11"/>
        <item x="337"/>
        <item x="259"/>
        <item x="223"/>
        <item x="299"/>
        <item x="315"/>
        <item x="199"/>
        <item x="268"/>
        <item x="41"/>
        <item x="76"/>
        <item x="255"/>
        <item x="178"/>
        <item x="82"/>
        <item x="43"/>
        <item x="243"/>
        <item x="78"/>
        <item x="47"/>
        <item x="34"/>
        <item x="274"/>
        <item x="31"/>
        <item x="158"/>
        <item x="186"/>
        <item x="39"/>
        <item x="225"/>
        <item x="249"/>
        <item x="133"/>
        <item x="140"/>
        <item x="123"/>
        <item x="273"/>
        <item x="51"/>
        <item x="16"/>
        <item x="77"/>
        <item x="129"/>
        <item x="237"/>
        <item x="271"/>
        <item x="108"/>
        <item x="155"/>
        <item x="125"/>
        <item x="236"/>
        <item x="261"/>
        <item x="113"/>
        <item x="289"/>
        <item x="157"/>
        <item x="161"/>
        <item x="124"/>
        <item x="98"/>
        <item x="296"/>
        <item x="176"/>
        <item x="21"/>
        <item x="328"/>
        <item x="95"/>
        <item x="170"/>
        <item x="68"/>
        <item x="217"/>
        <item x="15"/>
        <item x="242"/>
        <item x="213"/>
        <item x="5"/>
        <item x="280"/>
        <item x="332"/>
        <item x="83"/>
        <item x="293"/>
        <item x="136"/>
        <item x="219"/>
        <item x="19"/>
        <item x="279"/>
        <item x="214"/>
        <item x="36"/>
        <item x="245"/>
        <item x="333"/>
        <item x="74"/>
        <item x="180"/>
        <item x="265"/>
        <item x="252"/>
        <item x="190"/>
        <item x="302"/>
        <item x="33"/>
        <item x="56"/>
        <item x="102"/>
        <item x="146"/>
        <item x="90"/>
        <item x="92"/>
        <item x="286"/>
        <item x="97"/>
        <item x="22"/>
        <item x="220"/>
        <item x="297"/>
        <item x="17"/>
        <item x="231"/>
        <item x="89"/>
        <item x="221"/>
        <item x="316"/>
        <item x="121"/>
        <item x="282"/>
        <item x="308"/>
        <item x="172"/>
        <item x="52"/>
        <item x="122"/>
        <item x="300"/>
        <item x="160"/>
        <item x="66"/>
        <item x="31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1">
        <item x="10"/>
        <item x="7"/>
        <item x="14"/>
        <item x="12"/>
        <item x="2"/>
        <item x="15"/>
        <item x="17"/>
        <item x="16"/>
        <item x="18"/>
        <item x="6"/>
        <item x="8"/>
        <item x="5"/>
        <item x="3"/>
        <item x="4"/>
        <item x="19"/>
        <item x="0"/>
        <item x="9"/>
        <item x="11"/>
        <item x="13"/>
        <item x="1"/>
        <item t="default"/>
      </items>
    </pivotField>
    <pivotField compact="0" showAll="0">
      <items count="11">
        <item x="0"/>
        <item x="2"/>
        <item x="1"/>
        <item x="9"/>
        <item x="4"/>
        <item x="5"/>
        <item x="3"/>
        <item x="6"/>
        <item x="7"/>
        <item x="8"/>
        <item t="default"/>
      </items>
    </pivotField>
    <pivotField compact="0" showAll="0">
      <items count="10">
        <item x="6"/>
        <item x="4"/>
        <item x="8"/>
        <item x="3"/>
        <item x="0"/>
        <item x="2"/>
        <item x="5"/>
        <item x="1"/>
        <item x="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compact="0" showAll="0">
      <items count="8">
        <item x="6"/>
        <item x="2"/>
        <item x="5"/>
        <item x="0"/>
        <item x="1"/>
        <item x="4"/>
        <item x="3"/>
        <item t="default"/>
      </items>
    </pivotField>
    <pivotField compact="0" showAll="0">
      <items count="990">
        <item x="562"/>
        <item x="215"/>
        <item x="176"/>
        <item x="896"/>
        <item x="751"/>
        <item x="318"/>
        <item x="398"/>
        <item x="655"/>
        <item x="914"/>
        <item x="740"/>
        <item x="797"/>
        <item x="207"/>
        <item x="499"/>
        <item x="181"/>
        <item x="89"/>
        <item x="792"/>
        <item x="454"/>
        <item x="341"/>
        <item x="462"/>
        <item x="135"/>
        <item x="953"/>
        <item x="440"/>
        <item x="366"/>
        <item x="354"/>
        <item x="531"/>
        <item x="893"/>
        <item x="959"/>
        <item x="355"/>
        <item x="729"/>
        <item x="476"/>
        <item x="934"/>
        <item x="491"/>
        <item x="793"/>
        <item x="940"/>
        <item x="669"/>
        <item x="712"/>
        <item x="445"/>
        <item x="957"/>
        <item x="744"/>
        <item x="638"/>
        <item x="676"/>
        <item x="8"/>
        <item x="25"/>
        <item x="502"/>
        <item x="821"/>
        <item x="111"/>
        <item x="933"/>
        <item x="58"/>
        <item x="737"/>
        <item x="95"/>
        <item x="10"/>
        <item x="56"/>
        <item x="108"/>
        <item x="232"/>
        <item x="201"/>
        <item x="688"/>
        <item x="635"/>
        <item x="315"/>
        <item x="988"/>
        <item x="159"/>
        <item x="167"/>
        <item x="29"/>
        <item x="393"/>
        <item x="49"/>
        <item x="639"/>
        <item x="856"/>
        <item x="974"/>
        <item x="212"/>
        <item x="774"/>
        <item x="50"/>
        <item x="80"/>
        <item x="559"/>
        <item x="79"/>
        <item x="565"/>
        <item x="441"/>
        <item x="557"/>
        <item x="244"/>
        <item x="93"/>
        <item x="837"/>
        <item x="822"/>
        <item x="208"/>
        <item x="849"/>
        <item x="117"/>
        <item x="968"/>
        <item x="438"/>
        <item x="278"/>
        <item x="592"/>
        <item x="719"/>
        <item x="596"/>
        <item x="846"/>
        <item x="741"/>
        <item x="277"/>
        <item x="7"/>
        <item x="839"/>
        <item x="254"/>
        <item x="872"/>
        <item x="402"/>
        <item x="134"/>
        <item x="832"/>
        <item x="69"/>
        <item x="980"/>
        <item x="464"/>
        <item x="113"/>
        <item x="245"/>
        <item x="801"/>
        <item x="68"/>
        <item x="372"/>
        <item x="889"/>
        <item x="0"/>
        <item x="830"/>
        <item x="166"/>
        <item x="205"/>
        <item x="550"/>
        <item x="132"/>
        <item x="237"/>
        <item x="36"/>
        <item x="976"/>
        <item x="973"/>
        <item x="520"/>
        <item x="558"/>
        <item x="544"/>
        <item x="932"/>
        <item x="662"/>
        <item x="913"/>
        <item x="136"/>
        <item x="625"/>
        <item x="738"/>
        <item x="149"/>
        <item x="452"/>
        <item x="695"/>
        <item x="900"/>
        <item x="396"/>
        <item x="260"/>
        <item x="745"/>
        <item x="209"/>
        <item x="791"/>
        <item x="735"/>
        <item x="210"/>
        <item x="759"/>
        <item x="130"/>
        <item x="88"/>
        <item x="508"/>
        <item x="692"/>
        <item x="428"/>
        <item x="949"/>
        <item x="28"/>
        <item x="469"/>
        <item x="498"/>
        <item x="325"/>
        <item x="754"/>
        <item x="62"/>
        <item x="54"/>
        <item x="790"/>
        <item x="375"/>
        <item x="693"/>
        <item x="268"/>
        <item x="483"/>
        <item x="977"/>
        <item x="945"/>
        <item x="612"/>
        <item x="826"/>
        <item x="147"/>
        <item x="246"/>
        <item x="532"/>
        <item x="705"/>
        <item x="211"/>
        <item x="329"/>
        <item x="30"/>
        <item x="164"/>
        <item x="4"/>
        <item x="736"/>
        <item x="869"/>
        <item x="969"/>
        <item x="782"/>
        <item x="607"/>
        <item x="704"/>
        <item x="26"/>
        <item x="518"/>
        <item x="529"/>
        <item x="233"/>
        <item x="2"/>
        <item x="265"/>
        <item x="410"/>
        <item x="296"/>
        <item x="747"/>
        <item x="888"/>
        <item x="34"/>
        <item x="681"/>
        <item x="172"/>
        <item x="240"/>
        <item x="814"/>
        <item x="282"/>
        <item x="427"/>
        <item x="798"/>
        <item x="549"/>
        <item x="252"/>
        <item x="160"/>
        <item x="587"/>
        <item x="432"/>
        <item x="420"/>
        <item x="947"/>
        <item x="199"/>
        <item x="699"/>
        <item x="92"/>
        <item x="717"/>
        <item x="154"/>
        <item x="195"/>
        <item x="871"/>
        <item x="470"/>
        <item x="243"/>
        <item x="174"/>
        <item x="289"/>
        <item x="746"/>
        <item x="829"/>
        <item x="35"/>
        <item x="931"/>
        <item x="106"/>
        <item x="269"/>
        <item x="374"/>
        <item x="65"/>
        <item x="537"/>
        <item x="878"/>
        <item x="911"/>
        <item x="605"/>
        <item x="854"/>
        <item x="859"/>
        <item x="711"/>
        <item x="214"/>
        <item x="810"/>
        <item x="437"/>
        <item x="11"/>
        <item x="220"/>
        <item x="552"/>
        <item x="840"/>
        <item x="752"/>
        <item x="560"/>
        <item x="644"/>
        <item x="274"/>
        <item x="951"/>
        <item x="789"/>
        <item x="723"/>
        <item x="304"/>
        <item x="310"/>
        <item x="287"/>
        <item x="189"/>
        <item x="905"/>
        <item x="763"/>
        <item x="419"/>
        <item x="123"/>
        <item x="109"/>
        <item x="581"/>
        <item x="946"/>
        <item x="96"/>
        <item x="414"/>
        <item x="222"/>
        <item x="517"/>
        <item x="482"/>
        <item x="360"/>
        <item x="433"/>
        <item x="967"/>
        <item x="273"/>
        <item x="656"/>
        <item x="6"/>
        <item x="506"/>
        <item x="480"/>
        <item x="597"/>
        <item x="901"/>
        <item x="14"/>
        <item x="196"/>
        <item x="156"/>
        <item x="142"/>
        <item x="577"/>
        <item x="359"/>
        <item x="146"/>
        <item x="781"/>
        <item x="566"/>
        <item x="852"/>
        <item x="338"/>
        <item x="248"/>
        <item x="510"/>
        <item x="579"/>
        <item x="303"/>
        <item x="505"/>
        <item x="513"/>
        <item x="276"/>
        <item x="90"/>
        <item x="405"/>
        <item x="345"/>
        <item x="449"/>
        <item x="769"/>
        <item x="909"/>
        <item x="922"/>
        <item x="515"/>
        <item x="77"/>
        <item x="651"/>
        <item x="514"/>
        <item x="908"/>
        <item x="860"/>
        <item x="40"/>
        <item x="556"/>
        <item x="509"/>
        <item x="228"/>
        <item x="487"/>
        <item x="611"/>
        <item x="408"/>
        <item x="42"/>
        <item x="750"/>
        <item x="882"/>
        <item x="753"/>
        <item x="749"/>
        <item x="342"/>
        <item x="412"/>
        <item x="501"/>
        <item x="950"/>
        <item x="127"/>
        <item x="916"/>
        <item x="145"/>
        <item x="899"/>
        <item x="630"/>
        <item x="194"/>
        <item x="714"/>
        <item x="809"/>
        <item x="841"/>
        <item x="615"/>
        <item x="434"/>
        <item x="344"/>
        <item x="302"/>
        <item x="223"/>
        <item x="126"/>
        <item x="586"/>
        <item x="818"/>
        <item x="964"/>
        <item x="47"/>
        <item x="424"/>
        <item x="144"/>
        <item x="939"/>
        <item x="783"/>
        <item x="595"/>
        <item x="706"/>
        <item x="921"/>
        <item x="982"/>
        <item x="173"/>
        <item x="646"/>
        <item x="892"/>
        <item x="365"/>
        <item x="497"/>
        <item x="987"/>
        <item x="297"/>
        <item x="382"/>
        <item x="877"/>
        <item x="361"/>
        <item x="489"/>
        <item x="185"/>
        <item x="456"/>
        <item x="32"/>
        <item x="567"/>
        <item x="37"/>
        <item x="279"/>
        <item x="963"/>
        <item x="671"/>
        <item x="880"/>
        <item x="621"/>
        <item x="474"/>
        <item x="100"/>
        <item x="573"/>
        <item x="16"/>
        <item x="78"/>
        <item x="446"/>
        <item x="444"/>
        <item x="52"/>
        <item x="526"/>
        <item x="598"/>
        <item x="51"/>
        <item x="465"/>
        <item x="868"/>
        <item x="198"/>
        <item x="115"/>
        <item x="903"/>
        <item x="103"/>
        <item x="275"/>
        <item x="204"/>
        <item x="188"/>
        <item x="369"/>
        <item x="816"/>
        <item x="192"/>
        <item x="169"/>
        <item x="86"/>
        <item x="326"/>
        <item x="411"/>
        <item x="66"/>
        <item x="785"/>
        <item x="155"/>
        <item x="519"/>
        <item x="697"/>
        <item x="618"/>
        <item x="984"/>
        <item x="861"/>
        <item x="263"/>
        <item x="61"/>
        <item x="918"/>
        <item x="622"/>
        <item x="390"/>
        <item x="806"/>
        <item x="216"/>
        <item x="713"/>
        <item x="733"/>
        <item x="141"/>
        <item x="370"/>
        <item x="217"/>
        <item x="143"/>
        <item x="336"/>
        <item x="614"/>
        <item x="416"/>
        <item x="845"/>
        <item x="293"/>
        <item x="833"/>
        <item x="125"/>
        <item x="333"/>
        <item x="725"/>
        <item x="431"/>
        <item x="589"/>
        <item x="57"/>
        <item x="876"/>
        <item x="407"/>
        <item x="684"/>
        <item x="229"/>
        <item x="767"/>
        <item x="340"/>
        <item x="640"/>
        <item x="436"/>
        <item x="495"/>
        <item x="570"/>
        <item x="608"/>
        <item x="624"/>
        <item x="620"/>
        <item x="677"/>
        <item x="272"/>
        <item x="306"/>
        <item x="555"/>
        <item x="334"/>
        <item x="778"/>
        <item x="765"/>
        <item x="31"/>
        <item x="507"/>
        <item x="251"/>
        <item x="71"/>
        <item x="352"/>
        <item x="787"/>
        <item x="368"/>
        <item x="250"/>
        <item x="19"/>
        <item x="380"/>
        <item x="865"/>
        <item x="397"/>
        <item x="121"/>
        <item x="41"/>
        <item x="267"/>
        <item x="690"/>
        <item x="742"/>
        <item x="348"/>
        <item x="756"/>
        <item x="610"/>
        <item x="564"/>
        <item x="637"/>
        <item x="503"/>
        <item x="288"/>
        <item x="430"/>
        <item x="389"/>
        <item x="665"/>
        <item x="553"/>
        <item x="285"/>
        <item x="929"/>
        <item x="363"/>
        <item x="827"/>
        <item x="572"/>
        <item x="883"/>
        <item x="311"/>
        <item x="941"/>
        <item x="632"/>
        <item x="447"/>
        <item x="124"/>
        <item x="812"/>
        <item x="561"/>
        <item x="457"/>
        <item x="930"/>
        <item x="728"/>
        <item x="102"/>
        <item x="970"/>
        <item x="286"/>
        <item x="842"/>
        <item x="847"/>
        <item x="511"/>
        <item x="936"/>
        <item x="844"/>
        <item x="292"/>
        <item x="471"/>
        <item x="22"/>
        <item x="299"/>
        <item x="261"/>
        <item x="593"/>
        <item x="971"/>
        <item x="528"/>
        <item x="863"/>
        <item x="367"/>
        <item x="383"/>
        <item x="678"/>
        <item x="429"/>
        <item x="107"/>
        <item x="981"/>
        <item x="870"/>
        <item x="578"/>
        <item x="658"/>
        <item x="294"/>
        <item x="664"/>
        <item x="548"/>
        <item x="937"/>
        <item x="460"/>
        <item x="105"/>
        <item x="317"/>
        <item x="530"/>
        <item x="67"/>
        <item x="72"/>
        <item x="604"/>
        <item x="358"/>
        <item x="97"/>
        <item x="546"/>
        <item x="486"/>
        <item x="666"/>
        <item x="3"/>
        <item x="59"/>
        <item x="619"/>
        <item x="857"/>
        <item x="965"/>
        <item x="467"/>
        <item x="112"/>
        <item x="129"/>
        <item x="675"/>
        <item x="535"/>
        <item x="710"/>
        <item x="200"/>
        <item x="891"/>
        <item x="83"/>
        <item x="21"/>
        <item x="39"/>
        <item x="828"/>
        <item x="448"/>
        <item x="543"/>
        <item x="391"/>
        <item x="378"/>
        <item x="853"/>
        <item x="569"/>
        <item x="758"/>
        <item x="259"/>
        <item x="591"/>
        <item x="956"/>
        <item x="670"/>
        <item x="401"/>
        <item x="962"/>
        <item x="682"/>
        <item x="1"/>
        <item x="362"/>
        <item x="281"/>
        <item x="9"/>
        <item x="594"/>
        <item x="636"/>
        <item x="819"/>
        <item x="942"/>
        <item x="422"/>
        <item x="588"/>
        <item x="657"/>
        <item x="298"/>
        <item x="631"/>
        <item x="907"/>
        <item x="536"/>
        <item x="732"/>
        <item x="280"/>
        <item x="642"/>
        <item x="349"/>
        <item x="239"/>
        <item x="295"/>
        <item x="722"/>
        <item x="364"/>
        <item x="255"/>
        <item x="235"/>
        <item x="534"/>
        <item x="403"/>
        <item x="923"/>
        <item x="687"/>
        <item x="757"/>
        <item x="633"/>
        <item x="574"/>
        <item x="673"/>
        <item x="76"/>
        <item x="356"/>
        <item x="128"/>
        <item x="645"/>
        <item x="979"/>
        <item x="730"/>
        <item x="290"/>
        <item x="824"/>
        <item x="978"/>
        <item x="858"/>
        <item x="484"/>
        <item x="831"/>
        <item x="230"/>
        <item x="886"/>
        <item x="652"/>
        <item x="221"/>
        <item x="800"/>
        <item x="761"/>
        <item x="985"/>
        <item x="983"/>
        <item x="884"/>
        <item x="458"/>
        <item x="702"/>
        <item x="691"/>
        <item x="539"/>
        <item x="576"/>
        <item x="206"/>
        <item x="764"/>
        <item x="323"/>
        <item x="406"/>
        <item x="524"/>
        <item x="459"/>
        <item x="775"/>
        <item x="179"/>
        <item x="82"/>
        <item x="453"/>
        <item x="935"/>
        <item x="708"/>
        <item x="527"/>
        <item x="895"/>
        <item x="653"/>
        <item x="788"/>
        <item x="38"/>
        <item x="388"/>
        <item x="256"/>
        <item x="133"/>
        <item x="74"/>
        <item x="881"/>
        <item x="617"/>
        <item x="928"/>
        <item x="540"/>
        <item x="337"/>
        <item x="910"/>
        <item x="575"/>
        <item x="541"/>
        <item x="187"/>
        <item x="672"/>
        <item x="634"/>
        <item x="811"/>
        <item x="399"/>
        <item x="795"/>
        <item x="855"/>
        <item x="153"/>
        <item x="413"/>
        <item x="353"/>
        <item x="626"/>
        <item x="960"/>
        <item x="512"/>
        <item x="768"/>
        <item x="213"/>
        <item x="478"/>
        <item x="613"/>
        <item x="392"/>
        <item x="952"/>
        <item x="236"/>
        <item x="667"/>
        <item x="157"/>
        <item x="184"/>
        <item x="958"/>
        <item x="33"/>
        <item x="162"/>
        <item x="904"/>
        <item x="300"/>
        <item x="122"/>
        <item x="119"/>
        <item x="284"/>
        <item x="307"/>
        <item x="443"/>
        <item x="835"/>
        <item x="468"/>
        <item x="17"/>
        <item x="12"/>
        <item x="439"/>
        <item x="332"/>
        <item x="241"/>
        <item x="386"/>
        <item x="743"/>
        <item x="755"/>
        <item x="442"/>
        <item x="395"/>
        <item x="415"/>
        <item x="668"/>
        <item x="874"/>
        <item x="472"/>
        <item x="238"/>
        <item x="473"/>
        <item x="912"/>
        <item x="379"/>
        <item x="330"/>
        <item x="53"/>
        <item x="585"/>
        <item x="547"/>
        <item x="836"/>
        <item x="523"/>
        <item x="954"/>
        <item x="191"/>
        <item x="823"/>
        <item x="961"/>
        <item x="186"/>
        <item x="879"/>
        <item x="726"/>
        <item x="320"/>
        <item x="451"/>
        <item x="139"/>
        <item x="466"/>
        <item x="394"/>
        <item x="777"/>
        <item x="44"/>
        <item x="563"/>
        <item x="590"/>
        <item x="721"/>
        <item x="165"/>
        <item x="521"/>
        <item x="848"/>
        <item x="178"/>
        <item x="308"/>
        <item x="683"/>
        <item x="104"/>
        <item x="629"/>
        <item x="48"/>
        <item x="948"/>
        <item x="779"/>
        <item x="975"/>
        <item x="417"/>
        <item x="972"/>
        <item x="794"/>
        <item x="568"/>
        <item x="328"/>
        <item x="43"/>
        <item x="477"/>
        <item x="698"/>
        <item x="734"/>
        <item x="171"/>
        <item x="485"/>
        <item x="709"/>
        <item x="825"/>
        <item x="924"/>
        <item x="623"/>
        <item x="423"/>
        <item x="409"/>
        <item x="131"/>
        <item x="707"/>
        <item x="351"/>
        <item x="815"/>
        <item x="60"/>
        <item x="249"/>
        <item x="927"/>
        <item x="786"/>
        <item x="571"/>
        <item x="202"/>
        <item x="915"/>
        <item x="183"/>
        <item x="492"/>
        <item x="309"/>
        <item x="718"/>
        <item x="283"/>
        <item x="780"/>
        <item x="27"/>
        <item x="258"/>
        <item x="148"/>
        <item x="748"/>
        <item x="190"/>
        <item x="120"/>
        <item x="802"/>
        <item x="13"/>
        <item x="371"/>
        <item x="87"/>
        <item x="727"/>
        <item x="660"/>
        <item x="20"/>
        <item x="5"/>
        <item x="694"/>
        <item x="796"/>
        <item x="601"/>
        <item x="404"/>
        <item x="347"/>
        <item x="674"/>
        <item x="766"/>
        <item x="377"/>
        <item x="897"/>
        <item x="271"/>
        <item x="643"/>
        <item x="864"/>
        <item x="500"/>
        <item x="703"/>
        <item x="696"/>
        <item x="45"/>
        <item x="322"/>
        <item x="314"/>
        <item x="226"/>
        <item x="894"/>
        <item x="94"/>
        <item x="661"/>
        <item x="435"/>
        <item x="266"/>
        <item x="804"/>
        <item x="319"/>
        <item x="327"/>
        <item x="689"/>
        <item x="257"/>
        <item x="85"/>
        <item x="649"/>
        <item x="175"/>
        <item x="168"/>
        <item x="724"/>
        <item x="373"/>
        <item x="731"/>
        <item x="313"/>
        <item x="875"/>
        <item x="616"/>
        <item x="262"/>
        <item x="843"/>
        <item x="739"/>
        <item x="817"/>
        <item x="602"/>
        <item x="813"/>
        <item x="866"/>
        <item x="851"/>
        <item x="716"/>
        <item x="986"/>
        <item x="834"/>
        <item x="461"/>
        <item x="760"/>
        <item x="776"/>
        <item x="98"/>
        <item x="906"/>
        <item x="116"/>
        <item x="15"/>
        <item x="545"/>
        <item x="609"/>
        <item x="525"/>
        <item x="193"/>
        <item x="600"/>
        <item x="533"/>
        <item x="925"/>
        <item x="376"/>
        <item x="180"/>
        <item x="150"/>
        <item x="919"/>
        <item x="101"/>
        <item x="46"/>
        <item x="64"/>
        <item x="321"/>
        <item x="84"/>
        <item x="418"/>
        <item x="771"/>
        <item x="867"/>
        <item x="316"/>
        <item x="450"/>
        <item x="493"/>
        <item x="138"/>
        <item x="805"/>
        <item x="343"/>
        <item x="966"/>
        <item x="170"/>
        <item x="70"/>
        <item x="784"/>
        <item x="686"/>
        <item x="227"/>
        <item x="23"/>
        <item x="350"/>
        <item x="488"/>
        <item x="63"/>
        <item x="75"/>
        <item x="137"/>
        <item x="151"/>
        <item x="203"/>
        <item x="920"/>
        <item x="679"/>
        <item x="641"/>
        <item x="158"/>
        <item x="224"/>
        <item x="898"/>
        <item x="161"/>
        <item x="425"/>
        <item x="152"/>
        <item x="762"/>
        <item x="73"/>
        <item x="197"/>
        <item x="385"/>
        <item x="177"/>
        <item x="384"/>
        <item x="584"/>
        <item x="887"/>
        <item x="91"/>
        <item x="648"/>
        <item x="772"/>
        <item x="24"/>
        <item x="955"/>
        <item x="873"/>
        <item x="554"/>
        <item x="820"/>
        <item x="808"/>
        <item x="182"/>
        <item x="18"/>
        <item x="463"/>
        <item x="538"/>
        <item x="496"/>
        <item x="654"/>
        <item x="715"/>
        <item x="305"/>
        <item x="225"/>
        <item x="81"/>
        <item x="99"/>
        <item x="346"/>
        <item x="551"/>
        <item x="291"/>
        <item x="490"/>
        <item x="850"/>
        <item x="773"/>
        <item x="890"/>
        <item x="312"/>
        <item x="943"/>
        <item x="628"/>
        <item x="902"/>
        <item x="862"/>
        <item x="647"/>
        <item x="118"/>
        <item x="163"/>
        <item x="583"/>
        <item x="264"/>
        <item x="381"/>
        <item x="426"/>
        <item x="242"/>
        <item x="580"/>
        <item x="599"/>
        <item x="701"/>
        <item x="803"/>
        <item x="650"/>
        <item x="516"/>
        <item x="421"/>
        <item x="494"/>
        <item x="218"/>
        <item x="659"/>
        <item x="481"/>
        <item x="542"/>
        <item x="331"/>
        <item x="110"/>
        <item x="324"/>
        <item x="335"/>
        <item x="603"/>
        <item x="475"/>
        <item x="663"/>
        <item x="926"/>
        <item x="680"/>
        <item x="301"/>
        <item x="917"/>
        <item x="339"/>
        <item x="231"/>
        <item x="885"/>
        <item x="234"/>
        <item x="807"/>
        <item x="270"/>
        <item x="838"/>
        <item x="522"/>
        <item x="387"/>
        <item x="700"/>
        <item x="400"/>
        <item x="685"/>
        <item x="799"/>
        <item x="219"/>
        <item x="720"/>
        <item x="479"/>
        <item x="606"/>
        <item x="582"/>
        <item x="455"/>
        <item x="504"/>
        <item x="55"/>
        <item x="253"/>
        <item x="627"/>
        <item x="770"/>
        <item x="357"/>
        <item x="247"/>
        <item x="114"/>
        <item x="944"/>
        <item x="938"/>
        <item x="140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998">
        <item x="215"/>
        <item x="89"/>
        <item x="342"/>
        <item x="901"/>
        <item x="400"/>
        <item x="735"/>
        <item x="948"/>
        <item x="996"/>
        <item x="503"/>
        <item x="904"/>
        <item x="571"/>
        <item x="49"/>
        <item x="757"/>
        <item x="982"/>
        <item x="212"/>
        <item x="746"/>
        <item x="660"/>
        <item x="207"/>
        <item x="480"/>
        <item x="843"/>
        <item x="356"/>
        <item x="367"/>
        <item x="725"/>
        <item x="255"/>
        <item x="942"/>
        <item x="799"/>
        <item x="798"/>
        <item x="988"/>
        <item x="468"/>
        <item x="449"/>
        <item x="568"/>
        <item x="922"/>
        <item x="674"/>
        <item x="984"/>
        <item x="985"/>
        <item x="167"/>
        <item x="201"/>
        <item x="181"/>
        <item x="316"/>
        <item x="743"/>
        <item x="62"/>
        <item x="803"/>
        <item x="458"/>
        <item x="176"/>
        <item x="26"/>
        <item x="681"/>
        <item x="506"/>
        <item x="174"/>
        <item x="35"/>
        <item x="117"/>
        <item x="8"/>
        <item x="542"/>
        <item x="95"/>
        <item x="599"/>
        <item x="232"/>
        <item x="769"/>
        <item x="976"/>
        <item x="444"/>
        <item x="535"/>
        <item x="311"/>
        <item x="288"/>
        <item x="941"/>
        <item x="319"/>
        <item x="11"/>
        <item x="930"/>
        <item x="441"/>
        <item x="524"/>
        <item x="961"/>
        <item x="644"/>
        <item x="585"/>
        <item x="80"/>
        <item x="897"/>
        <item x="552"/>
        <item x="14"/>
        <item x="643"/>
        <item x="750"/>
        <item x="415"/>
        <item x="456"/>
        <item x="445"/>
        <item x="509"/>
        <item x="466"/>
        <item x="908"/>
        <item x="844"/>
        <item x="25"/>
        <item x="759"/>
        <item x="863"/>
        <item x="442"/>
        <item x="56"/>
        <item x="495"/>
        <item x="208"/>
        <item x="473"/>
        <item x="747"/>
        <item x="760"/>
        <item x="69"/>
        <item x="355"/>
        <item x="967"/>
        <item x="947"/>
        <item x="965"/>
        <item x="373"/>
        <item x="66"/>
        <item x="159"/>
        <item x="630"/>
        <item x="838"/>
        <item x="30"/>
        <item x="199"/>
        <item x="563"/>
        <item x="68"/>
        <item x="280"/>
        <item x="710"/>
        <item x="108"/>
        <item x="155"/>
        <item x="135"/>
        <item x="394"/>
        <item x="804"/>
        <item x="244"/>
        <item x="397"/>
        <item x="791"/>
        <item x="741"/>
        <item x="431"/>
        <item x="835"/>
        <item x="718"/>
        <item x="10"/>
        <item x="576"/>
        <item x="879"/>
        <item x="744"/>
        <item x="797"/>
        <item x="134"/>
        <item x="111"/>
        <item x="603"/>
        <item x="92"/>
        <item x="337"/>
        <item x="420"/>
        <item x="252"/>
        <item x="71"/>
        <item x="65"/>
        <item x="440"/>
        <item x="484"/>
        <item x="827"/>
        <item x="975"/>
        <item x="334"/>
        <item x="0"/>
        <item x="583"/>
        <item x="58"/>
        <item x="50"/>
        <item x="780"/>
        <item x="233"/>
        <item x="432"/>
        <item x="28"/>
        <item x="565"/>
        <item x="279"/>
        <item x="959"/>
        <item x="891"/>
        <item x="890"/>
        <item x="79"/>
        <item x="29"/>
        <item x="828"/>
        <item x="34"/>
        <item x="109"/>
        <item x="511"/>
        <item x="693"/>
        <item x="433"/>
        <item x="521"/>
        <item x="361"/>
        <item x="751"/>
        <item x="406"/>
        <item x="194"/>
        <item x="453"/>
        <item x="836"/>
        <item x="136"/>
        <item x="132"/>
        <item x="859"/>
        <item x="924"/>
        <item x="663"/>
        <item x="957"/>
        <item x="867"/>
        <item x="640"/>
        <item x="287"/>
        <item x="700"/>
        <item x="939"/>
        <item x="880"/>
        <item x="403"/>
        <item x="124"/>
        <item x="173"/>
        <item x="210"/>
        <item x="556"/>
        <item x="907"/>
        <item x="555"/>
        <item x="253"/>
        <item x="789"/>
        <item x="261"/>
        <item x="113"/>
        <item x="36"/>
        <item x="436"/>
        <item x="919"/>
        <item x="72"/>
        <item x="795"/>
        <item x="651"/>
        <item x="305"/>
        <item x="123"/>
        <item x="107"/>
        <item x="237"/>
        <item x="376"/>
        <item x="878"/>
        <item x="853"/>
        <item x="549"/>
        <item x="847"/>
        <item x="7"/>
        <item x="245"/>
        <item x="164"/>
        <item x="551"/>
        <item x="573"/>
        <item x="649"/>
        <item x="742"/>
        <item x="510"/>
        <item x="669"/>
        <item x="130"/>
        <item x="856"/>
        <item x="205"/>
        <item x="973"/>
        <item x="512"/>
        <item x="100"/>
        <item x="471"/>
        <item x="270"/>
        <item x="418"/>
        <item x="876"/>
        <item x="448"/>
        <item x="209"/>
        <item x="788"/>
        <item x="708"/>
        <item x="765"/>
        <item x="88"/>
        <item x="93"/>
        <item x="698"/>
        <item x="222"/>
        <item x="846"/>
        <item x="921"/>
        <item x="160"/>
        <item x="530"/>
        <item x="624"/>
        <item x="896"/>
        <item x="687"/>
        <item x="626"/>
        <item x="147"/>
        <item x="363"/>
        <item x="188"/>
        <item x="16"/>
        <item x="636"/>
        <item x="217"/>
        <item x="398"/>
        <item x="697"/>
        <item x="822"/>
        <item x="211"/>
        <item x="764"/>
        <item x="491"/>
        <item x="169"/>
        <item x="4"/>
        <item x="294"/>
        <item x="281"/>
        <item x="61"/>
        <item x="970"/>
        <item x="612"/>
        <item x="166"/>
        <item x="739"/>
        <item x="875"/>
        <item x="172"/>
        <item x="54"/>
        <item x="580"/>
        <item x="572"/>
        <item x="536"/>
        <item x="220"/>
        <item x="593"/>
        <item x="868"/>
        <item x="977"/>
        <item x="278"/>
        <item x="499"/>
        <item x="916"/>
        <item x="728"/>
        <item x="501"/>
        <item x="807"/>
        <item x="228"/>
        <item x="2"/>
        <item x="940"/>
        <item x="369"/>
        <item x="719"/>
        <item x="195"/>
        <item x="273"/>
        <item x="127"/>
        <item x="711"/>
        <item x="366"/>
        <item x="283"/>
        <item x="784"/>
        <item x="595"/>
        <item x="412"/>
        <item x="839"/>
        <item x="564"/>
        <item x="502"/>
        <item x="614"/>
        <item x="820"/>
        <item x="913"/>
        <item x="77"/>
        <item x="752"/>
        <item x="246"/>
        <item x="995"/>
        <item x="704"/>
        <item x="533"/>
        <item x="558"/>
        <item x="773"/>
        <item x="770"/>
        <item x="303"/>
        <item x="981"/>
        <item x="275"/>
        <item x="274"/>
        <item x="661"/>
        <item x="756"/>
        <item x="637"/>
        <item x="360"/>
        <item x="796"/>
        <item x="938"/>
        <item x="667"/>
        <item x="579"/>
        <item x="707"/>
        <item x="149"/>
        <item x="781"/>
        <item x="257"/>
        <item x="762"/>
        <item x="618"/>
        <item x="729"/>
        <item x="300"/>
        <item x="971"/>
        <item x="872"/>
        <item x="979"/>
        <item x="146"/>
        <item x="214"/>
        <item x="522"/>
        <item x="832"/>
        <item x="487"/>
        <item x="330"/>
        <item x="90"/>
        <item x="326"/>
        <item x="953"/>
        <item x="474"/>
        <item x="243"/>
        <item x="627"/>
        <item x="22"/>
        <item x="290"/>
        <item x="567"/>
        <item x="562"/>
        <item x="424"/>
        <item x="787"/>
        <item x="269"/>
        <item x="339"/>
        <item x="286"/>
        <item x="587"/>
        <item x="266"/>
        <item x="566"/>
        <item x="153"/>
        <item x="877"/>
        <item x="438"/>
        <item x="717"/>
        <item x="686"/>
        <item x="346"/>
        <item x="264"/>
        <item x="248"/>
        <item x="414"/>
        <item x="817"/>
        <item x="861"/>
        <item x="519"/>
        <item x="538"/>
        <item x="189"/>
        <item x="384"/>
        <item x="758"/>
        <item x="862"/>
        <item x="57"/>
        <item x="192"/>
        <item x="428"/>
        <item x="753"/>
        <item x="327"/>
        <item x="712"/>
        <item x="52"/>
        <item x="909"/>
        <item x="240"/>
        <item x="958"/>
        <item x="561"/>
        <item x="553"/>
        <item x="527"/>
        <item x="47"/>
        <item x="435"/>
        <item x="689"/>
        <item x="639"/>
        <item x="78"/>
        <item x="486"/>
        <item x="122"/>
        <item x="41"/>
        <item x="129"/>
        <item x="141"/>
        <item x="900"/>
        <item x="297"/>
        <item x="723"/>
        <item x="575"/>
        <item x="96"/>
        <item x="929"/>
        <item x="833"/>
        <item x="631"/>
        <item x="774"/>
        <item x="720"/>
        <item x="236"/>
        <item x="642"/>
        <item x="899"/>
        <item x="816"/>
        <item x="142"/>
        <item x="911"/>
        <item x="525"/>
        <item x="106"/>
        <item x="178"/>
        <item x="103"/>
        <item x="829"/>
        <item x="886"/>
        <item x="6"/>
        <item x="223"/>
        <item x="617"/>
        <item x="410"/>
        <item x="455"/>
        <item x="86"/>
        <item x="964"/>
        <item x="3"/>
        <item x="949"/>
        <item x="955"/>
        <item x="676"/>
        <item x="343"/>
        <item x="154"/>
        <item x="641"/>
        <item x="249"/>
        <item x="937"/>
        <item x="321"/>
        <item x="514"/>
        <item x="605"/>
        <item x="43"/>
        <item x="156"/>
        <item x="423"/>
        <item x="775"/>
        <item x="824"/>
        <item x="702"/>
        <item x="298"/>
        <item x="375"/>
        <item x="276"/>
        <item x="731"/>
        <item x="299"/>
        <item x="734"/>
        <item x="848"/>
        <item x="260"/>
        <item x="559"/>
        <item x="460"/>
        <item x="866"/>
        <item x="268"/>
        <item x="517"/>
        <item x="851"/>
        <item x="196"/>
        <item x="577"/>
        <item x="616"/>
        <item x="917"/>
        <item x="594"/>
        <item x="831"/>
        <item x="372"/>
        <item x="40"/>
        <item x="505"/>
        <item x="256"/>
        <item x="602"/>
        <item x="623"/>
        <item x="27"/>
        <item x="462"/>
        <item x="105"/>
        <item x="426"/>
        <item x="216"/>
        <item x="792"/>
        <item x="251"/>
        <item x="489"/>
        <item x="656"/>
        <item x="990"/>
        <item x="13"/>
        <item x="954"/>
        <item x="371"/>
        <item x="592"/>
        <item x="888"/>
        <item x="478"/>
        <item x="145"/>
        <item x="87"/>
        <item x="102"/>
        <item x="437"/>
        <item x="250"/>
        <item x="604"/>
        <item x="793"/>
        <item x="409"/>
        <item x="295"/>
        <item x="518"/>
        <item x="83"/>
        <item x="513"/>
        <item x="771"/>
        <item x="304"/>
        <item x="42"/>
        <item x="277"/>
        <item x="806"/>
        <item x="582"/>
        <item x="383"/>
        <item x="635"/>
        <item x="341"/>
        <item x="450"/>
        <item x="987"/>
        <item x="391"/>
        <item x="850"/>
        <item x="629"/>
        <item x="665"/>
        <item x="810"/>
        <item x="51"/>
        <item x="818"/>
        <item x="608"/>
        <item x="345"/>
        <item x="885"/>
        <item x="767"/>
        <item x="755"/>
        <item x="650"/>
        <item x="126"/>
        <item x="830"/>
        <item x="463"/>
        <item x="745"/>
        <item x="570"/>
        <item x="679"/>
        <item x="413"/>
        <item x="144"/>
        <item x="993"/>
        <item x="991"/>
        <item x="359"/>
        <item x="927"/>
        <item x="918"/>
        <item x="32"/>
        <item x="849"/>
        <item x="37"/>
        <item x="815"/>
        <item x="389"/>
        <item x="451"/>
        <item x="198"/>
        <item x="852"/>
        <item x="206"/>
        <item x="531"/>
        <item x="493"/>
        <item x="622"/>
        <item x="185"/>
        <item x="840"/>
        <item x="854"/>
        <item x="314"/>
        <item x="748"/>
        <item x="972"/>
        <item x="812"/>
        <item x="534"/>
        <item x="381"/>
        <item x="457"/>
        <item x="943"/>
        <item x="801"/>
        <item x="229"/>
        <item x="239"/>
        <item x="362"/>
        <item x="392"/>
        <item x="204"/>
        <item x="370"/>
        <item x="811"/>
        <item x="903"/>
        <item x="645"/>
        <item x="944"/>
        <item x="596"/>
        <item x="620"/>
        <item x="464"/>
        <item x="38"/>
        <item x="578"/>
        <item x="992"/>
        <item x="162"/>
        <item x="695"/>
        <item x="291"/>
        <item x="262"/>
        <item x="600"/>
        <item x="318"/>
        <item x="125"/>
        <item x="858"/>
        <item x="368"/>
        <item x="584"/>
        <item x="293"/>
        <item x="550"/>
        <item x="476"/>
        <item x="607"/>
        <item x="143"/>
        <item x="515"/>
        <item x="926"/>
        <item x="469"/>
        <item x="417"/>
        <item x="353"/>
        <item x="523"/>
        <item x="115"/>
        <item x="680"/>
        <item x="335"/>
        <item x="569"/>
        <item x="488"/>
        <item x="682"/>
        <item x="317"/>
        <item x="749"/>
        <item x="963"/>
        <item x="884"/>
        <item x="152"/>
        <item x="768"/>
        <item x="761"/>
        <item x="931"/>
        <item x="692"/>
        <item x="186"/>
        <item x="128"/>
        <item x="956"/>
        <item x="407"/>
        <item x="983"/>
        <item x="225"/>
        <item x="763"/>
        <item x="638"/>
        <item x="597"/>
        <item x="507"/>
        <item x="331"/>
        <item x="387"/>
        <item x="191"/>
        <item x="75"/>
        <item x="137"/>
        <item x="19"/>
        <item x="104"/>
        <item x="736"/>
        <item x="364"/>
        <item x="60"/>
        <item x="532"/>
        <item x="591"/>
        <item x="31"/>
        <item x="408"/>
        <item x="870"/>
        <item x="560"/>
        <item x="309"/>
        <item x="989"/>
        <item x="349"/>
        <item x="91"/>
        <item x="475"/>
        <item x="653"/>
        <item x="1"/>
        <item x="390"/>
        <item x="289"/>
        <item x="82"/>
        <item x="889"/>
        <item x="379"/>
        <item x="688"/>
        <item x="978"/>
        <item x="121"/>
        <item x="625"/>
        <item x="307"/>
        <item x="611"/>
        <item x="606"/>
        <item x="516"/>
        <item x="461"/>
        <item x="67"/>
        <item x="348"/>
        <item x="619"/>
        <item x="399"/>
        <item x="683"/>
        <item x="721"/>
        <item x="235"/>
        <item x="490"/>
        <item x="658"/>
        <item x="898"/>
        <item x="647"/>
        <item x="675"/>
        <item x="59"/>
        <item x="200"/>
        <item x="434"/>
        <item x="670"/>
        <item x="39"/>
        <item x="282"/>
        <item x="9"/>
        <item x="860"/>
        <item x="915"/>
        <item x="865"/>
        <item x="685"/>
        <item x="452"/>
        <item x="945"/>
        <item x="472"/>
        <item x="312"/>
        <item x="601"/>
        <item x="834"/>
        <item x="354"/>
        <item x="419"/>
        <item x="242"/>
        <item x="648"/>
        <item x="696"/>
        <item x="504"/>
        <item x="554"/>
        <item x="873"/>
        <item x="678"/>
        <item x="315"/>
        <item x="74"/>
        <item x="925"/>
        <item x="340"/>
        <item x="97"/>
        <item x="950"/>
        <item x="737"/>
        <item x="887"/>
        <item x="825"/>
        <item x="447"/>
        <item x="776"/>
        <item x="837"/>
        <item x="17"/>
        <item x="994"/>
        <item x="654"/>
        <item x="168"/>
        <item x="610"/>
        <item x="671"/>
        <item x="716"/>
        <item x="120"/>
        <item x="254"/>
        <item x="935"/>
        <item x="690"/>
        <item x="219"/>
        <item x="427"/>
        <item x="548"/>
        <item x="855"/>
        <item x="157"/>
        <item x="730"/>
        <item x="396"/>
        <item x="539"/>
        <item x="540"/>
        <item x="301"/>
        <item x="864"/>
        <item x="952"/>
        <item x="350"/>
        <item x="724"/>
        <item x="411"/>
        <item x="672"/>
        <item x="545"/>
        <item x="365"/>
        <item x="677"/>
        <item x="55"/>
        <item x="344"/>
        <item x="33"/>
        <item x="21"/>
        <item x="960"/>
        <item x="541"/>
        <item x="112"/>
        <item x="598"/>
        <item x="333"/>
        <item x="892"/>
        <item x="202"/>
        <item x="296"/>
        <item x="158"/>
        <item x="224"/>
        <item x="323"/>
        <item x="894"/>
        <item x="338"/>
        <item x="738"/>
        <item x="404"/>
        <item x="221"/>
        <item x="969"/>
        <item x="673"/>
        <item x="703"/>
        <item x="790"/>
        <item x="165"/>
        <item x="241"/>
        <item x="53"/>
        <item x="76"/>
        <item x="161"/>
        <item x="23"/>
        <item x="713"/>
        <item x="694"/>
        <item x="94"/>
        <item x="139"/>
        <item x="986"/>
        <item x="662"/>
        <item x="841"/>
        <item x="380"/>
        <item x="906"/>
        <item x="230"/>
        <item x="226"/>
        <item x="557"/>
        <item x="308"/>
        <item x="544"/>
        <item x="657"/>
        <item x="609"/>
        <item x="284"/>
        <item x="324"/>
        <item x="974"/>
        <item x="546"/>
        <item x="968"/>
        <item x="259"/>
        <item x="477"/>
        <item x="416"/>
        <item x="133"/>
        <item x="628"/>
        <item x="664"/>
        <item x="357"/>
        <item x="933"/>
        <item x="699"/>
        <item x="966"/>
        <item x="528"/>
        <item x="821"/>
        <item x="187"/>
        <item x="285"/>
        <item x="265"/>
        <item x="263"/>
        <item x="808"/>
        <item x="119"/>
        <item x="706"/>
        <item x="928"/>
        <item x="809"/>
        <item x="393"/>
        <item x="962"/>
        <item x="352"/>
        <item x="779"/>
        <item x="785"/>
        <item x="772"/>
        <item x="179"/>
        <item x="714"/>
        <item x="655"/>
        <item x="646"/>
        <item x="180"/>
        <item x="581"/>
        <item x="24"/>
        <item x="386"/>
        <item x="421"/>
        <item x="980"/>
        <item x="272"/>
        <item x="912"/>
        <item x="63"/>
        <item x="668"/>
        <item x="203"/>
        <item x="302"/>
        <item x="819"/>
        <item x="895"/>
        <item x="497"/>
        <item x="794"/>
        <item x="429"/>
        <item x="902"/>
        <item x="465"/>
        <item x="732"/>
        <item x="401"/>
        <item x="871"/>
        <item x="932"/>
        <item x="470"/>
        <item x="238"/>
        <item x="936"/>
        <item x="701"/>
        <item x="783"/>
        <item x="45"/>
        <item x="727"/>
        <item x="705"/>
        <item x="443"/>
        <item x="805"/>
        <item x="140"/>
        <item x="175"/>
        <item x="190"/>
        <item x="405"/>
        <item x="800"/>
        <item x="329"/>
        <item x="116"/>
        <item x="184"/>
        <item x="923"/>
        <item x="358"/>
        <item x="171"/>
        <item x="114"/>
        <item x="722"/>
        <item x="842"/>
        <item x="310"/>
        <item x="85"/>
        <item x="882"/>
        <item x="374"/>
        <item x="213"/>
        <item x="482"/>
        <item x="48"/>
        <item x="845"/>
        <item x="754"/>
        <item x="182"/>
        <item x="823"/>
        <item x="18"/>
        <item x="446"/>
        <item x="150"/>
        <item x="634"/>
        <item x="138"/>
        <item x="574"/>
        <item x="44"/>
        <item x="481"/>
        <item x="64"/>
        <item x="98"/>
        <item x="148"/>
        <item x="621"/>
        <item x="12"/>
        <item x="715"/>
        <item x="131"/>
        <item x="874"/>
        <item x="733"/>
        <item x="258"/>
        <item x="20"/>
        <item x="666"/>
        <item x="920"/>
        <item x="395"/>
        <item x="492"/>
        <item x="382"/>
        <item x="951"/>
        <item x="15"/>
        <item x="684"/>
        <item x="454"/>
        <item x="292"/>
        <item x="802"/>
        <item x="740"/>
        <item x="322"/>
        <item x="496"/>
        <item x="814"/>
        <item x="709"/>
        <item x="377"/>
        <item x="328"/>
        <item x="766"/>
        <item x="402"/>
        <item x="183"/>
        <item x="234"/>
        <item x="313"/>
        <item x="632"/>
        <item x="5"/>
        <item x="786"/>
        <item x="691"/>
        <item x="910"/>
        <item x="227"/>
        <item x="118"/>
        <item x="883"/>
        <item x="46"/>
        <item x="351"/>
        <item x="588"/>
        <item x="84"/>
        <item x="267"/>
        <item x="271"/>
        <item x="777"/>
        <item x="193"/>
        <item x="378"/>
        <item x="537"/>
        <item x="101"/>
        <item x="439"/>
        <item x="914"/>
        <item x="905"/>
        <item x="231"/>
        <item x="110"/>
        <item x="336"/>
        <item x="320"/>
        <item x="385"/>
        <item x="529"/>
        <item x="543"/>
        <item x="520"/>
        <item x="615"/>
        <item x="590"/>
        <item x="422"/>
        <item x="778"/>
        <item x="869"/>
        <item x="826"/>
        <item x="782"/>
        <item x="467"/>
        <item x="485"/>
        <item x="483"/>
        <item x="881"/>
        <item x="170"/>
        <item x="306"/>
        <item x="81"/>
        <item x="73"/>
        <item x="197"/>
        <item x="500"/>
        <item x="70"/>
        <item x="177"/>
        <item x="479"/>
        <item x="99"/>
        <item x="893"/>
        <item x="498"/>
        <item x="946"/>
        <item x="659"/>
        <item x="613"/>
        <item x="325"/>
        <item x="151"/>
        <item x="163"/>
        <item x="589"/>
        <item x="813"/>
        <item x="347"/>
        <item x="526"/>
        <item x="247"/>
        <item x="633"/>
        <item x="425"/>
        <item x="494"/>
        <item x="218"/>
        <item x="586"/>
        <item x="652"/>
        <item x="857"/>
        <item x="508"/>
        <item x="332"/>
        <item x="430"/>
        <item x="388"/>
        <item x="547"/>
        <item x="459"/>
        <item x="934"/>
        <item x="726"/>
        <item t="default"/>
      </items>
    </pivotField>
    <pivotField compact="0" showAll="0">
      <items count="999">
        <item x="215"/>
        <item x="342"/>
        <item x="89"/>
        <item x="400"/>
        <item x="902"/>
        <item x="736"/>
        <item x="504"/>
        <item x="949"/>
        <item x="905"/>
        <item x="997"/>
        <item x="758"/>
        <item x="572"/>
        <item x="212"/>
        <item x="983"/>
        <item x="747"/>
        <item x="356"/>
        <item x="662"/>
        <item x="255"/>
        <item x="676"/>
        <item x="49"/>
        <item x="985"/>
        <item x="367"/>
        <item x="481"/>
        <item x="469"/>
        <item x="844"/>
        <item x="569"/>
        <item x="799"/>
        <item x="207"/>
        <item x="986"/>
        <item x="943"/>
        <item x="181"/>
        <item x="201"/>
        <item x="726"/>
        <item x="744"/>
        <item x="450"/>
        <item x="989"/>
        <item x="459"/>
        <item x="800"/>
        <item x="176"/>
        <item x="923"/>
        <item x="316"/>
        <item x="804"/>
        <item x="174"/>
        <item x="977"/>
        <item x="507"/>
        <item x="167"/>
        <item x="117"/>
        <item x="8"/>
        <item x="26"/>
        <item x="311"/>
        <item x="62"/>
        <item x="600"/>
        <item x="319"/>
        <item x="445"/>
        <item x="683"/>
        <item x="288"/>
        <item x="770"/>
        <item x="80"/>
        <item x="232"/>
        <item x="95"/>
        <item x="525"/>
        <item x="35"/>
        <item x="14"/>
        <item x="442"/>
        <item x="845"/>
        <item x="962"/>
        <item x="646"/>
        <item x="536"/>
        <item x="942"/>
        <item x="208"/>
        <item x="11"/>
        <item x="898"/>
        <item x="543"/>
        <item x="645"/>
        <item x="909"/>
        <item x="443"/>
        <item x="968"/>
        <item x="553"/>
        <item x="496"/>
        <item x="931"/>
        <item x="948"/>
        <item x="966"/>
        <item x="510"/>
        <item x="586"/>
        <item x="373"/>
        <item x="751"/>
        <item x="446"/>
        <item x="155"/>
        <item x="108"/>
        <item x="416"/>
        <item x="748"/>
        <item x="69"/>
        <item x="474"/>
        <item x="30"/>
        <item x="467"/>
        <item x="760"/>
        <item x="457"/>
        <item x="25"/>
        <item x="432"/>
        <item x="10"/>
        <item x="745"/>
        <item x="134"/>
        <item x="864"/>
        <item x="56"/>
        <item x="805"/>
        <item x="604"/>
        <item x="280"/>
        <item x="761"/>
        <item x="159"/>
        <item x="828"/>
        <item x="742"/>
        <item x="633"/>
        <item x="68"/>
        <item x="798"/>
        <item x="355"/>
        <item x="564"/>
        <item x="66"/>
        <item x="577"/>
        <item x="719"/>
        <item x="394"/>
        <item x="880"/>
        <item x="711"/>
        <item x="29"/>
        <item x="839"/>
        <item x="421"/>
        <item x="836"/>
        <item x="337"/>
        <item x="433"/>
        <item x="199"/>
        <item x="485"/>
        <item x="566"/>
        <item x="792"/>
        <item x="616"/>
        <item x="109"/>
        <item x="441"/>
        <item x="837"/>
        <item x="244"/>
        <item x="397"/>
        <item x="434"/>
        <item x="135"/>
        <item x="71"/>
        <item x="892"/>
        <item x="881"/>
        <item x="65"/>
        <item x="111"/>
        <item x="512"/>
        <item x="860"/>
        <item x="34"/>
        <item x="233"/>
        <item x="92"/>
        <item x="960"/>
        <item x="891"/>
        <item x="940"/>
        <item x="781"/>
        <item x="557"/>
        <item x="404"/>
        <item x="136"/>
        <item x="790"/>
        <item x="522"/>
        <item x="584"/>
        <item x="252"/>
        <item x="796"/>
        <item x="50"/>
        <item x="695"/>
        <item x="454"/>
        <item x="79"/>
        <item x="124"/>
        <item x="752"/>
        <item x="58"/>
        <item x="976"/>
        <item x="868"/>
        <item x="205"/>
        <item x="334"/>
        <item x="550"/>
        <item x="920"/>
        <item x="407"/>
        <item x="829"/>
        <item x="925"/>
        <item x="665"/>
        <item x="194"/>
        <item x="132"/>
        <item x="0"/>
        <item x="651"/>
        <item x="766"/>
        <item x="279"/>
        <item x="287"/>
        <item x="72"/>
        <item x="28"/>
        <item x="113"/>
        <item x="689"/>
        <item x="854"/>
        <item x="513"/>
        <item x="879"/>
        <item x="100"/>
        <item x="361"/>
        <item x="627"/>
        <item x="209"/>
        <item x="552"/>
        <item x="173"/>
        <item x="61"/>
        <item x="642"/>
        <item x="88"/>
        <item x="958"/>
        <item x="847"/>
        <item x="7"/>
        <item x="974"/>
        <item x="638"/>
        <item x="376"/>
        <item x="511"/>
        <item x="437"/>
        <item x="556"/>
        <item x="897"/>
        <item x="922"/>
        <item x="93"/>
        <item x="449"/>
        <item x="36"/>
        <item x="671"/>
        <item x="253"/>
        <item x="172"/>
        <item x="54"/>
        <item x="107"/>
        <item x="472"/>
        <item x="917"/>
        <item x="245"/>
        <item x="743"/>
        <item x="419"/>
        <item x="789"/>
        <item x="702"/>
        <item x="305"/>
        <item x="653"/>
        <item x="188"/>
        <item x="531"/>
        <item x="210"/>
        <item x="848"/>
        <item x="261"/>
        <item x="270"/>
        <item x="273"/>
        <item x="857"/>
        <item x="785"/>
        <item x="908"/>
        <item x="222"/>
        <item x="217"/>
        <item x="123"/>
        <item x="164"/>
        <item x="574"/>
        <item x="629"/>
        <item x="877"/>
        <item x="369"/>
        <item x="573"/>
        <item x="840"/>
        <item x="503"/>
        <item x="237"/>
        <item x="502"/>
        <item x="363"/>
        <item x="712"/>
        <item x="720"/>
        <item x="169"/>
        <item x="220"/>
        <item x="594"/>
        <item x="876"/>
        <item x="534"/>
        <item x="130"/>
        <item x="211"/>
        <item x="581"/>
        <item x="147"/>
        <item x="294"/>
        <item x="765"/>
        <item x="996"/>
        <item x="278"/>
        <item x="709"/>
        <item x="753"/>
        <item x="492"/>
        <item x="620"/>
        <item x="757"/>
        <item x="398"/>
        <item x="699"/>
        <item x="403"/>
        <item x="700"/>
        <item x="740"/>
        <item x="214"/>
        <item x="669"/>
        <item x="941"/>
        <item x="914"/>
        <item x="663"/>
        <item x="2"/>
        <item x="537"/>
        <item x="281"/>
        <item x="706"/>
        <item x="160"/>
        <item x="615"/>
        <item x="639"/>
        <item x="771"/>
        <item x="4"/>
        <item x="16"/>
        <item x="283"/>
        <item x="565"/>
        <item x="869"/>
        <item x="823"/>
        <item x="360"/>
        <item x="808"/>
        <item x="330"/>
        <item x="972"/>
        <item x="729"/>
        <item x="954"/>
        <item x="195"/>
        <item x="166"/>
        <item x="559"/>
        <item x="613"/>
        <item x="77"/>
        <item x="596"/>
        <item x="971"/>
        <item x="500"/>
        <item x="275"/>
        <item x="57"/>
        <item x="978"/>
        <item x="303"/>
        <item x="366"/>
        <item x="127"/>
        <item x="149"/>
        <item x="873"/>
        <item x="286"/>
        <item x="228"/>
        <item x="22"/>
        <item x="246"/>
        <item x="878"/>
        <item x="833"/>
        <item x="567"/>
        <item x="910"/>
        <item x="982"/>
        <item x="488"/>
        <item x="818"/>
        <item x="901"/>
        <item x="266"/>
        <item x="300"/>
        <item x="730"/>
        <item x="520"/>
        <item x="862"/>
        <item x="588"/>
        <item x="413"/>
        <item x="415"/>
        <item x="980"/>
        <item x="708"/>
        <item x="487"/>
        <item x="146"/>
        <item x="523"/>
        <item x="153"/>
        <item x="269"/>
        <item x="257"/>
        <item x="41"/>
        <item x="384"/>
        <item x="339"/>
        <item x="436"/>
        <item x="528"/>
        <item x="568"/>
        <item x="774"/>
        <item x="688"/>
        <item x="763"/>
        <item x="78"/>
        <item x="821"/>
        <item x="754"/>
        <item x="274"/>
        <item x="630"/>
        <item x="475"/>
        <item x="782"/>
        <item x="959"/>
        <item x="887"/>
        <item x="539"/>
        <item x="96"/>
        <item x="797"/>
        <item x="47"/>
        <item x="939"/>
        <item x="526"/>
        <item x="264"/>
        <item x="788"/>
        <item x="580"/>
        <item x="425"/>
        <item x="243"/>
        <item x="429"/>
        <item x="290"/>
        <item x="346"/>
        <item x="704"/>
        <item x="424"/>
        <item x="52"/>
        <item x="965"/>
        <item x="249"/>
        <item x="192"/>
        <item x="775"/>
        <item x="713"/>
        <item x="236"/>
        <item x="90"/>
        <item x="554"/>
        <item x="326"/>
        <item x="691"/>
        <item x="122"/>
        <item x="644"/>
        <item x="189"/>
        <item x="439"/>
        <item x="817"/>
        <item x="106"/>
        <item x="6"/>
        <item x="867"/>
        <item x="240"/>
        <item x="938"/>
        <item x="930"/>
        <item x="178"/>
        <item x="956"/>
        <item x="606"/>
        <item x="156"/>
        <item x="563"/>
        <item x="721"/>
        <item x="759"/>
        <item x="718"/>
        <item x="141"/>
        <item x="918"/>
        <item x="832"/>
        <item x="142"/>
        <item x="248"/>
        <item x="297"/>
        <item x="371"/>
        <item x="603"/>
        <item x="955"/>
        <item x="863"/>
        <item x="889"/>
        <item x="852"/>
        <item x="13"/>
        <item x="634"/>
        <item x="576"/>
        <item x="87"/>
        <item x="276"/>
        <item x="327"/>
        <item x="623"/>
        <item x="560"/>
        <item x="562"/>
        <item x="849"/>
        <item x="641"/>
        <item x="343"/>
        <item x="103"/>
        <item x="129"/>
        <item x="678"/>
        <item x="196"/>
        <item x="375"/>
        <item x="43"/>
        <item x="321"/>
        <item x="900"/>
        <item x="912"/>
        <item x="251"/>
        <item x="438"/>
        <item x="518"/>
        <item x="456"/>
        <item x="811"/>
        <item x="299"/>
        <item x="793"/>
        <item x="304"/>
        <item x="51"/>
        <item x="834"/>
        <item x="298"/>
        <item x="40"/>
        <item x="86"/>
        <item x="724"/>
        <item x="652"/>
        <item x="461"/>
        <item x="27"/>
        <item x="681"/>
        <item x="256"/>
        <item x="154"/>
        <item x="756"/>
        <item x="410"/>
        <item x="950"/>
        <item x="830"/>
        <item x="658"/>
        <item x="794"/>
        <item x="411"/>
        <item x="277"/>
        <item x="223"/>
        <item x="643"/>
        <item x="3"/>
        <item x="145"/>
        <item x="816"/>
        <item x="831"/>
        <item x="776"/>
        <item x="295"/>
        <item x="619"/>
        <item x="735"/>
        <item x="389"/>
        <item x="268"/>
        <item x="519"/>
        <item x="506"/>
        <item x="83"/>
        <item x="632"/>
        <item x="515"/>
        <item x="198"/>
        <item x="732"/>
        <item x="992"/>
        <item x="494"/>
        <item x="381"/>
        <item x="578"/>
        <item x="479"/>
        <item x="618"/>
        <item x="372"/>
        <item x="825"/>
        <item x="593"/>
        <item x="583"/>
        <item x="144"/>
        <item x="626"/>
        <item x="463"/>
        <item x="126"/>
        <item x="260"/>
        <item x="451"/>
        <item x="819"/>
        <item x="579"/>
        <item x="341"/>
        <item x="994"/>
        <item x="571"/>
        <item x="988"/>
        <item x="886"/>
        <item x="595"/>
        <item x="229"/>
        <item x="991"/>
        <item x="206"/>
        <item x="625"/>
        <item x="772"/>
        <item x="216"/>
        <item x="514"/>
        <item x="250"/>
        <item x="125"/>
        <item x="585"/>
        <item x="746"/>
        <item x="105"/>
        <item x="851"/>
        <item x="391"/>
        <item x="314"/>
        <item x="928"/>
        <item x="427"/>
        <item x="749"/>
        <item x="392"/>
        <item x="919"/>
        <item x="647"/>
        <item x="605"/>
        <item x="490"/>
        <item x="102"/>
        <item x="807"/>
        <item x="697"/>
        <item x="850"/>
        <item x="904"/>
        <item x="535"/>
        <item x="115"/>
        <item x="973"/>
        <item x="458"/>
        <item x="667"/>
        <item x="362"/>
        <item x="353"/>
        <item x="452"/>
        <item x="383"/>
        <item x="262"/>
        <item x="532"/>
        <item x="38"/>
        <item x="944"/>
        <item x="368"/>
        <item x="768"/>
        <item x="32"/>
        <item x="42"/>
        <item x="802"/>
        <item x="609"/>
        <item x="37"/>
        <item x="335"/>
        <item x="993"/>
        <item x="345"/>
        <item x="239"/>
        <item x="516"/>
        <item x="225"/>
        <item x="682"/>
        <item x="185"/>
        <item x="964"/>
        <item x="489"/>
        <item x="859"/>
        <item x="841"/>
        <item x="414"/>
        <item x="508"/>
        <item x="162"/>
        <item x="318"/>
        <item x="750"/>
        <item x="408"/>
        <item x="855"/>
        <item x="598"/>
        <item x="812"/>
        <item x="364"/>
        <item x="853"/>
        <item x="464"/>
        <item x="359"/>
        <item x="524"/>
        <item x="622"/>
        <item x="601"/>
        <item x="370"/>
        <item x="927"/>
        <item x="137"/>
        <item x="813"/>
        <item x="608"/>
        <item x="309"/>
        <item x="990"/>
        <item x="331"/>
        <item x="204"/>
        <item x="597"/>
        <item x="291"/>
        <item x="551"/>
        <item x="470"/>
        <item x="945"/>
        <item x="390"/>
        <item x="690"/>
        <item x="769"/>
        <item x="75"/>
        <item x="885"/>
        <item x="476"/>
        <item x="764"/>
        <item x="465"/>
        <item x="533"/>
        <item x="640"/>
        <item x="399"/>
        <item x="186"/>
        <item x="128"/>
        <item x="621"/>
        <item x="121"/>
        <item x="191"/>
        <item x="60"/>
        <item x="462"/>
        <item x="592"/>
        <item x="293"/>
        <item x="477"/>
        <item x="143"/>
        <item x="409"/>
        <item x="684"/>
        <item x="984"/>
        <item x="39"/>
        <item x="282"/>
        <item x="762"/>
        <item x="387"/>
        <item x="957"/>
        <item x="1"/>
        <item x="694"/>
        <item x="317"/>
        <item x="737"/>
        <item x="289"/>
        <item x="31"/>
        <item x="628"/>
        <item x="235"/>
        <item x="9"/>
        <item x="104"/>
        <item x="570"/>
        <item x="418"/>
        <item x="722"/>
        <item x="561"/>
        <item x="916"/>
        <item x="871"/>
        <item x="152"/>
        <item x="932"/>
        <item x="82"/>
        <item x="97"/>
        <item x="340"/>
        <item x="677"/>
        <item x="838"/>
        <item x="874"/>
        <item x="453"/>
        <item x="660"/>
        <item x="612"/>
        <item x="59"/>
        <item x="517"/>
        <item x="19"/>
        <item x="491"/>
        <item x="420"/>
        <item x="607"/>
        <item x="473"/>
        <item x="555"/>
        <item x="649"/>
        <item x="655"/>
        <item x="91"/>
        <item x="611"/>
        <item x="349"/>
        <item x="899"/>
        <item x="549"/>
        <item x="979"/>
        <item x="717"/>
        <item x="926"/>
        <item x="200"/>
        <item x="890"/>
        <item x="738"/>
        <item x="348"/>
        <item x="412"/>
        <item x="936"/>
        <item x="379"/>
        <item x="315"/>
        <item x="856"/>
        <item x="435"/>
        <item x="674"/>
        <item x="242"/>
        <item x="946"/>
        <item x="365"/>
        <item x="866"/>
        <item x="835"/>
        <item x="307"/>
        <item x="33"/>
        <item x="120"/>
        <item x="861"/>
        <item x="350"/>
        <item x="687"/>
        <item x="67"/>
        <item x="540"/>
        <item x="301"/>
        <item x="428"/>
        <item x="542"/>
        <item x="685"/>
        <item x="541"/>
        <item x="865"/>
        <item x="995"/>
        <item x="679"/>
        <item x="672"/>
        <item x="354"/>
        <item x="17"/>
        <item x="826"/>
        <item x="338"/>
        <item x="777"/>
        <item x="55"/>
        <item x="951"/>
        <item x="546"/>
        <item x="21"/>
        <item x="602"/>
        <item x="680"/>
        <item x="157"/>
        <item x="698"/>
        <item x="312"/>
        <item x="74"/>
        <item x="505"/>
        <item x="725"/>
        <item x="656"/>
        <item x="696"/>
        <item x="221"/>
        <item x="953"/>
        <item x="112"/>
        <item x="650"/>
        <item x="888"/>
        <item x="692"/>
        <item x="241"/>
        <item x="599"/>
        <item x="731"/>
        <item x="961"/>
        <item x="254"/>
        <item x="202"/>
        <item x="23"/>
        <item x="448"/>
        <item x="907"/>
        <item x="970"/>
        <item x="165"/>
        <item x="344"/>
        <item x="975"/>
        <item x="673"/>
        <item x="168"/>
        <item x="417"/>
        <item x="139"/>
        <item x="219"/>
        <item x="610"/>
        <item x="296"/>
        <item x="714"/>
        <item x="405"/>
        <item x="259"/>
        <item x="396"/>
        <item x="547"/>
        <item x="545"/>
        <item x="895"/>
        <item x="323"/>
        <item x="161"/>
        <item x="94"/>
        <item x="701"/>
        <item x="810"/>
        <item x="987"/>
        <item x="308"/>
        <item x="664"/>
        <item x="967"/>
        <item x="822"/>
        <item x="230"/>
        <item x="224"/>
        <item x="76"/>
        <item x="707"/>
        <item x="333"/>
        <item x="893"/>
        <item x="648"/>
        <item x="558"/>
        <item x="791"/>
        <item x="158"/>
        <item x="675"/>
        <item x="380"/>
        <item x="422"/>
        <item x="53"/>
        <item x="963"/>
        <item x="820"/>
        <item x="226"/>
        <item x="809"/>
        <item x="739"/>
        <item x="352"/>
        <item x="715"/>
        <item x="133"/>
        <item x="324"/>
        <item x="705"/>
        <item x="659"/>
        <item x="265"/>
        <item x="444"/>
        <item x="784"/>
        <item x="969"/>
        <item x="842"/>
        <item x="934"/>
        <item x="903"/>
        <item x="478"/>
        <item x="179"/>
        <item x="466"/>
        <item x="393"/>
        <item x="728"/>
        <item x="24"/>
        <item x="582"/>
        <item x="780"/>
        <item x="63"/>
        <item x="703"/>
        <item x="631"/>
        <item x="529"/>
        <item x="213"/>
        <item x="872"/>
        <item x="238"/>
        <item x="483"/>
        <item x="666"/>
        <item x="357"/>
        <item x="187"/>
        <item x="285"/>
        <item x="933"/>
        <item x="929"/>
        <item x="284"/>
        <item x="329"/>
        <item x="116"/>
        <item x="981"/>
        <item x="843"/>
        <item x="773"/>
        <item x="263"/>
        <item x="119"/>
        <item x="374"/>
        <item x="180"/>
        <item x="430"/>
        <item x="937"/>
        <item x="733"/>
        <item x="896"/>
        <item x="203"/>
        <item x="482"/>
        <item x="406"/>
        <item x="401"/>
        <item x="190"/>
        <item x="272"/>
        <item x="498"/>
        <item x="386"/>
        <item x="670"/>
        <item x="637"/>
        <item x="175"/>
        <item x="786"/>
        <item x="741"/>
        <item x="140"/>
        <item x="12"/>
        <item x="20"/>
        <item x="624"/>
        <item x="913"/>
        <item x="657"/>
        <item x="302"/>
        <item x="44"/>
        <item x="114"/>
        <item x="18"/>
        <item x="824"/>
        <item x="716"/>
        <item x="310"/>
        <item x="184"/>
        <item x="795"/>
        <item x="182"/>
        <item x="395"/>
        <item x="45"/>
        <item x="322"/>
        <item x="801"/>
        <item x="292"/>
        <item x="471"/>
        <item x="493"/>
        <item x="447"/>
        <item x="755"/>
        <item x="846"/>
        <item x="5"/>
        <item x="723"/>
        <item x="171"/>
        <item x="64"/>
        <item x="234"/>
        <item x="382"/>
        <item x="150"/>
        <item x="358"/>
        <item x="883"/>
        <item x="402"/>
        <item x="85"/>
        <item x="921"/>
        <item x="806"/>
        <item x="710"/>
        <item x="138"/>
        <item x="575"/>
        <item x="924"/>
        <item x="48"/>
        <item x="911"/>
        <item x="183"/>
        <item x="455"/>
        <item x="377"/>
        <item x="193"/>
        <item x="497"/>
        <item x="313"/>
        <item x="668"/>
        <item x="148"/>
        <item x="589"/>
        <item x="875"/>
        <item x="915"/>
        <item x="101"/>
        <item x="258"/>
        <item x="131"/>
        <item x="906"/>
        <item x="118"/>
        <item x="686"/>
        <item x="803"/>
        <item x="98"/>
        <item x="15"/>
        <item x="734"/>
        <item x="952"/>
        <item x="767"/>
        <item x="693"/>
        <item x="385"/>
        <item x="538"/>
        <item x="378"/>
        <item x="815"/>
        <item x="787"/>
        <item x="635"/>
        <item x="46"/>
        <item x="351"/>
        <item x="227"/>
        <item x="544"/>
        <item x="320"/>
        <item x="328"/>
        <item x="267"/>
        <item x="530"/>
        <item x="271"/>
        <item x="84"/>
        <item x="197"/>
        <item x="73"/>
        <item x="884"/>
        <item x="894"/>
        <item x="480"/>
        <item x="778"/>
        <item x="499"/>
        <item x="591"/>
        <item x="177"/>
        <item x="779"/>
        <item x="882"/>
        <item x="110"/>
        <item x="440"/>
        <item x="231"/>
        <item x="870"/>
        <item x="99"/>
        <item x="81"/>
        <item x="163"/>
        <item x="521"/>
        <item x="484"/>
        <item x="336"/>
        <item x="151"/>
        <item x="486"/>
        <item x="247"/>
        <item x="468"/>
        <item x="501"/>
        <item x="617"/>
        <item x="170"/>
        <item x="423"/>
        <item x="827"/>
        <item x="947"/>
        <item x="783"/>
        <item x="614"/>
        <item x="590"/>
        <item x="858"/>
        <item x="347"/>
        <item x="306"/>
        <item x="814"/>
        <item x="426"/>
        <item x="654"/>
        <item x="661"/>
        <item x="70"/>
        <item x="325"/>
        <item x="636"/>
        <item x="527"/>
        <item x="587"/>
        <item x="935"/>
        <item x="218"/>
        <item x="509"/>
        <item x="495"/>
        <item x="431"/>
        <item x="388"/>
        <item x="460"/>
        <item x="548"/>
        <item x="332"/>
        <item x="727"/>
        <item t="default"/>
      </items>
    </pivotField>
    <pivotField compact="0" showAll="0">
      <items count="995">
        <item x="899"/>
        <item x="89"/>
        <item x="342"/>
        <item x="215"/>
        <item x="49"/>
        <item x="737"/>
        <item x="207"/>
        <item x="800"/>
        <item x="946"/>
        <item x="920"/>
        <item x="985"/>
        <item x="727"/>
        <item x="993"/>
        <item x="400"/>
        <item x="842"/>
        <item x="167"/>
        <item x="940"/>
        <item x="481"/>
        <item x="902"/>
        <item x="572"/>
        <item x="450"/>
        <item x="504"/>
        <item x="662"/>
        <item x="799"/>
        <item x="747"/>
        <item x="62"/>
        <item x="367"/>
        <item x="212"/>
        <item x="469"/>
        <item x="543"/>
        <item x="758"/>
        <item x="569"/>
        <item x="255"/>
        <item x="356"/>
        <item x="457"/>
        <item x="928"/>
        <item x="586"/>
        <item x="26"/>
        <item x="25"/>
        <item x="467"/>
        <item x="35"/>
        <item x="683"/>
        <item x="862"/>
        <item x="316"/>
        <item x="56"/>
        <item x="536"/>
        <item x="676"/>
        <item x="416"/>
        <item x="981"/>
        <item x="804"/>
        <item x="135"/>
        <item x="11"/>
        <item x="553"/>
        <item x="939"/>
        <item x="201"/>
        <item x="199"/>
        <item x="355"/>
        <item x="982"/>
        <item x="95"/>
        <item x="751"/>
        <item x="760"/>
        <item x="181"/>
        <item x="176"/>
        <item x="446"/>
        <item x="232"/>
        <item x="744"/>
        <item x="761"/>
        <item x="600"/>
        <item x="770"/>
        <item x="252"/>
        <item x="459"/>
        <item x="244"/>
        <item x="507"/>
        <item x="510"/>
        <item x="397"/>
        <item x="8"/>
        <item x="117"/>
        <item x="959"/>
        <item x="895"/>
        <item x="445"/>
        <item x="0"/>
        <item x="647"/>
        <item x="442"/>
        <item x="28"/>
        <item x="66"/>
        <item x="92"/>
        <item x="288"/>
        <item x="646"/>
        <item x="174"/>
        <item x="702"/>
        <item x="792"/>
        <item x="319"/>
        <item x="279"/>
        <item x="334"/>
        <item x="361"/>
        <item x="973"/>
        <item x="712"/>
        <item x="111"/>
        <item x="311"/>
        <item x="905"/>
        <item x="525"/>
        <item x="474"/>
        <item x="633"/>
        <item x="14"/>
        <item x="974"/>
        <item x="210"/>
        <item x="564"/>
        <item x="906"/>
        <item x="748"/>
        <item x="159"/>
        <item x="80"/>
        <item x="69"/>
        <item x="68"/>
        <item x="237"/>
        <item x="58"/>
        <item x="65"/>
        <item x="130"/>
        <item x="496"/>
        <item x="403"/>
        <item x="394"/>
        <item x="71"/>
        <item x="443"/>
        <item x="616"/>
        <item x="261"/>
        <item x="828"/>
        <item x="955"/>
        <item x="843"/>
        <item x="835"/>
        <item x="584"/>
        <item x="50"/>
        <item x="123"/>
        <item x="968"/>
        <item x="280"/>
        <item x="160"/>
        <item x="710"/>
        <item x="441"/>
        <item x="613"/>
        <item x="574"/>
        <item x="700"/>
        <item x="823"/>
        <item x="194"/>
        <item x="781"/>
        <item x="79"/>
        <item x="720"/>
        <item x="208"/>
        <item x="407"/>
        <item x="654"/>
        <item x="643"/>
        <item x="164"/>
        <item x="337"/>
        <item x="975"/>
        <item x="305"/>
        <item x="30"/>
        <item x="805"/>
        <item x="743"/>
        <item x="166"/>
        <item x="253"/>
        <item x="132"/>
        <item x="577"/>
        <item x="945"/>
        <item x="485"/>
        <item x="421"/>
        <item x="878"/>
        <item x="36"/>
        <item x="957"/>
        <item x="233"/>
        <item x="16"/>
        <item x="373"/>
        <item x="846"/>
        <item x="695"/>
        <item x="965"/>
        <item x="963"/>
        <item x="922"/>
        <item x="228"/>
        <item x="556"/>
        <item x="752"/>
        <item x="821"/>
        <item x="522"/>
        <item x="798"/>
        <item x="173"/>
        <item x="413"/>
        <item x="665"/>
        <item x="4"/>
        <item x="108"/>
        <item x="855"/>
        <item x="454"/>
        <item x="875"/>
        <item x="34"/>
        <item x="155"/>
        <item x="107"/>
        <item x="563"/>
        <item x="889"/>
        <item x="245"/>
        <item x="287"/>
        <item x="432"/>
        <item x="512"/>
        <item x="500"/>
        <item x="437"/>
        <item x="281"/>
        <item x="699"/>
        <item x="136"/>
        <item x="398"/>
        <item x="270"/>
        <item x="10"/>
        <item x="774"/>
        <item x="604"/>
        <item x="134"/>
        <item x="326"/>
        <item x="90"/>
        <item x="745"/>
        <item x="797"/>
        <item x="566"/>
        <item x="866"/>
        <item x="492"/>
        <item x="274"/>
        <item x="147"/>
        <item x="936"/>
        <item x="433"/>
        <item x="580"/>
        <item x="867"/>
        <item x="248"/>
        <item x="376"/>
        <item x="765"/>
        <item x="741"/>
        <item x="434"/>
        <item x="109"/>
        <item x="671"/>
        <item x="537"/>
        <item x="858"/>
        <item x="419"/>
        <item x="127"/>
        <item x="211"/>
        <item x="730"/>
        <item x="113"/>
        <item x="472"/>
        <item x="719"/>
        <item x="366"/>
        <item x="7"/>
        <item x="294"/>
        <item x="363"/>
        <item x="789"/>
        <item x="222"/>
        <item x="836"/>
        <item x="29"/>
        <item x="725"/>
        <item x="327"/>
        <item x="808"/>
        <item x="511"/>
        <item x="619"/>
        <item x="439"/>
        <item x="124"/>
        <item x="629"/>
        <item x="861"/>
        <item x="72"/>
        <item x="877"/>
        <item x="169"/>
        <item x="552"/>
        <item x="449"/>
        <item x="971"/>
        <item x="195"/>
        <item x="852"/>
        <item x="937"/>
        <item x="833"/>
        <item x="782"/>
        <item x="581"/>
        <item x="874"/>
        <item x="404"/>
        <item x="917"/>
        <item x="246"/>
        <item x="562"/>
        <item x="531"/>
        <item x="290"/>
        <item x="596"/>
        <item x="825"/>
        <item x="515"/>
        <item x="557"/>
        <item x="979"/>
        <item x="217"/>
        <item x="759"/>
        <item x="243"/>
        <item x="278"/>
        <item x="642"/>
        <item x="100"/>
        <item x="93"/>
        <item x="790"/>
        <item x="829"/>
        <item x="223"/>
        <item x="879"/>
        <item x="2"/>
        <item x="623"/>
        <item x="260"/>
        <item x="513"/>
        <item x="763"/>
        <item x="652"/>
        <item x="189"/>
        <item x="550"/>
        <item x="594"/>
        <item x="188"/>
        <item x="3"/>
        <item x="220"/>
        <item x="573"/>
        <item x="411"/>
        <item x="796"/>
        <item x="129"/>
        <item x="490"/>
        <item x="595"/>
        <item x="938"/>
        <item x="209"/>
        <item x="919"/>
        <item x="257"/>
        <item x="283"/>
        <item x="303"/>
        <item x="88"/>
        <item x="425"/>
        <item x="894"/>
        <item x="709"/>
        <item x="427"/>
        <item x="77"/>
        <item x="845"/>
        <item x="733"/>
        <item x="346"/>
        <item x="205"/>
        <item x="788"/>
        <item x="947"/>
        <item x="523"/>
        <item x="977"/>
        <item x="146"/>
        <item x="275"/>
        <item x="475"/>
        <item x="559"/>
        <item x="565"/>
        <item x="102"/>
        <item x="105"/>
        <item x="766"/>
        <item x="731"/>
        <item x="192"/>
        <item x="502"/>
        <item x="240"/>
        <item x="630"/>
        <item x="300"/>
        <item x="639"/>
        <item x="42"/>
        <item x="464"/>
        <item x="86"/>
        <item x="627"/>
        <item x="714"/>
        <item x="216"/>
        <item x="54"/>
        <item x="644"/>
        <item x="172"/>
        <item x="897"/>
        <item x="721"/>
        <item x="618"/>
        <item x="615"/>
        <item x="909"/>
        <item x="689"/>
        <item x="578"/>
        <item x="832"/>
        <item x="369"/>
        <item x="568"/>
        <item x="264"/>
        <item x="149"/>
        <item x="488"/>
        <item x="776"/>
        <item x="52"/>
        <item x="456"/>
        <item x="61"/>
        <item x="706"/>
        <item x="154"/>
        <item x="372"/>
        <item x="713"/>
        <item x="911"/>
        <item x="429"/>
        <item x="871"/>
        <item x="771"/>
        <item x="605"/>
        <item x="987"/>
        <item x="297"/>
        <item x="554"/>
        <item x="383"/>
        <item x="339"/>
        <item x="736"/>
        <item x="576"/>
        <item x="141"/>
        <item x="914"/>
        <item x="626"/>
        <item x="539"/>
        <item x="269"/>
        <item x="753"/>
        <item x="360"/>
        <item x="691"/>
        <item x="359"/>
        <item x="268"/>
        <item x="634"/>
        <item x="640"/>
        <item x="345"/>
        <item x="463"/>
        <item x="153"/>
        <item x="663"/>
        <item x="992"/>
        <item x="688"/>
        <item x="273"/>
        <item x="838"/>
        <item x="785"/>
        <item x="122"/>
        <item x="588"/>
        <item x="103"/>
        <item x="250"/>
        <item x="757"/>
        <item x="534"/>
        <item x="22"/>
        <item x="609"/>
        <item x="503"/>
        <item x="465"/>
        <item x="266"/>
        <item x="969"/>
        <item x="506"/>
        <item x="669"/>
        <item x="415"/>
        <item x="414"/>
        <item x="678"/>
        <item x="567"/>
        <item x="807"/>
        <item x="876"/>
        <item x="384"/>
        <item x="927"/>
        <item x="754"/>
        <item x="593"/>
        <item x="860"/>
        <item x="768"/>
        <item x="286"/>
        <item x="418"/>
        <item x="722"/>
        <item x="520"/>
        <item x="330"/>
        <item x="818"/>
        <item x="142"/>
        <item x="293"/>
        <item x="298"/>
        <item x="951"/>
        <item x="47"/>
        <item x="667"/>
        <item x="956"/>
        <item x="321"/>
        <item x="942"/>
        <item x="343"/>
        <item x="479"/>
        <item x="620"/>
        <item x="461"/>
        <item x="214"/>
        <item x="477"/>
        <item x="514"/>
        <item x="204"/>
        <item x="43"/>
        <item x="929"/>
        <item x="19"/>
        <item x="817"/>
        <item x="775"/>
        <item x="645"/>
        <item x="152"/>
        <item x="178"/>
        <item x="299"/>
        <item x="772"/>
        <item x="570"/>
        <item x="236"/>
        <item x="106"/>
        <item x="528"/>
        <item x="436"/>
        <item x="78"/>
        <item x="597"/>
        <item x="851"/>
        <item x="6"/>
        <item x="907"/>
        <item x="391"/>
        <item x="813"/>
        <item x="953"/>
        <item x="518"/>
        <item x="849"/>
        <item x="375"/>
        <item x="143"/>
        <item x="41"/>
        <item x="57"/>
        <item x="291"/>
        <item x="256"/>
        <item x="40"/>
        <item x="379"/>
        <item x="341"/>
        <item x="96"/>
        <item x="487"/>
        <item x="984"/>
        <item x="27"/>
        <item x="145"/>
        <item x="37"/>
        <item x="888"/>
        <item x="962"/>
        <item x="658"/>
        <item x="32"/>
        <item x="307"/>
        <item x="583"/>
        <item x="67"/>
        <item x="853"/>
        <item x="847"/>
        <item x="349"/>
        <item x="185"/>
        <item x="451"/>
        <item x="519"/>
        <item x="196"/>
        <item x="276"/>
        <item x="839"/>
        <item x="935"/>
        <item x="317"/>
        <item x="560"/>
        <item x="370"/>
        <item x="898"/>
        <item x="606"/>
        <item x="83"/>
        <item x="526"/>
        <item x="156"/>
        <item x="793"/>
        <item x="976"/>
        <item x="295"/>
        <item x="249"/>
        <item x="819"/>
        <item x="685"/>
        <item x="884"/>
        <item x="651"/>
        <item x="885"/>
        <item x="251"/>
        <item x="622"/>
        <item x="850"/>
        <item x="452"/>
        <item x="746"/>
        <item x="794"/>
        <item x="91"/>
        <item x="684"/>
        <item x="694"/>
        <item x="551"/>
        <item x="762"/>
        <item x="848"/>
        <item x="632"/>
        <item x="410"/>
        <item x="672"/>
        <item x="812"/>
        <item x="312"/>
        <item x="424"/>
        <item x="865"/>
        <item x="601"/>
        <item x="916"/>
        <item x="438"/>
        <item x="915"/>
        <item x="954"/>
        <item x="925"/>
        <item x="532"/>
        <item x="831"/>
        <item x="126"/>
        <item x="704"/>
        <item x="571"/>
        <item x="277"/>
        <item x="348"/>
        <item x="603"/>
        <item x="448"/>
        <item x="162"/>
        <item x="239"/>
        <item x="980"/>
        <item x="505"/>
        <item x="608"/>
        <item x="990"/>
        <item x="168"/>
        <item x="13"/>
        <item x="104"/>
        <item x="802"/>
        <item x="602"/>
        <item x="318"/>
        <item x="87"/>
        <item x="304"/>
        <item x="144"/>
        <item x="952"/>
        <item x="470"/>
        <item x="887"/>
        <item x="941"/>
        <item x="371"/>
        <item x="673"/>
        <item x="387"/>
        <item x="396"/>
        <item x="857"/>
        <item x="970"/>
        <item x="989"/>
        <item x="886"/>
        <item x="638"/>
        <item x="186"/>
        <item x="698"/>
        <item x="128"/>
        <item x="988"/>
        <item x="738"/>
        <item x="458"/>
        <item x="219"/>
        <item x="74"/>
        <item x="535"/>
        <item x="883"/>
        <item x="869"/>
        <item x="830"/>
        <item x="362"/>
        <item x="435"/>
        <item x="333"/>
        <item x="859"/>
        <item x="769"/>
        <item x="206"/>
        <item x="625"/>
        <item x="561"/>
        <item x="749"/>
        <item x="314"/>
        <item x="38"/>
        <item x="51"/>
        <item x="756"/>
        <item x="811"/>
        <item x="607"/>
        <item x="641"/>
        <item x="31"/>
        <item x="705"/>
        <item x="740"/>
        <item x="653"/>
        <item x="764"/>
        <item x="200"/>
        <item x="262"/>
        <item x="901"/>
        <item x="924"/>
        <item x="191"/>
        <item x="896"/>
        <item x="392"/>
        <item x="681"/>
        <item x="368"/>
        <item x="890"/>
        <item x="648"/>
        <item x="198"/>
        <item x="517"/>
        <item x="494"/>
        <item x="389"/>
        <item x="680"/>
        <item x="82"/>
        <item x="816"/>
        <item x="697"/>
        <item x="60"/>
        <item x="687"/>
        <item x="229"/>
        <item x="524"/>
        <item x="650"/>
        <item x="612"/>
        <item x="409"/>
        <item x="491"/>
        <item x="354"/>
        <item x="284"/>
        <item x="592"/>
        <item x="254"/>
        <item x="75"/>
        <item x="381"/>
        <item x="864"/>
        <item x="533"/>
        <item x="158"/>
        <item x="125"/>
        <item x="579"/>
        <item x="331"/>
        <item x="516"/>
        <item x="656"/>
        <item x="289"/>
        <item x="840"/>
        <item x="682"/>
        <item x="943"/>
        <item x="489"/>
        <item x="1"/>
        <item x="660"/>
        <item x="59"/>
        <item x="750"/>
        <item x="585"/>
        <item x="948"/>
        <item x="335"/>
        <item x="834"/>
        <item x="961"/>
        <item x="628"/>
        <item x="692"/>
        <item x="675"/>
        <item x="224"/>
        <item x="408"/>
        <item x="353"/>
        <item x="732"/>
        <item x="137"/>
        <item x="598"/>
        <item x="777"/>
        <item x="115"/>
        <item x="826"/>
        <item x="677"/>
        <item x="225"/>
        <item x="242"/>
        <item x="723"/>
        <item x="508"/>
        <item x="791"/>
        <item x="786"/>
        <item x="476"/>
        <item x="309"/>
        <item x="657"/>
        <item x="53"/>
        <item x="235"/>
        <item x="364"/>
        <item x="121"/>
        <item x="473"/>
        <item x="806"/>
        <item x="17"/>
        <item x="390"/>
        <item x="986"/>
        <item x="344"/>
        <item x="315"/>
        <item x="462"/>
        <item x="690"/>
        <item x="913"/>
        <item x="157"/>
        <item x="357"/>
        <item x="666"/>
        <item x="923"/>
        <item x="453"/>
        <item x="9"/>
        <item x="420"/>
        <item x="621"/>
        <item x="991"/>
        <item x="263"/>
        <item x="76"/>
        <item x="950"/>
        <item x="323"/>
        <item x="739"/>
        <item x="399"/>
        <item x="119"/>
        <item x="226"/>
        <item x="892"/>
        <item x="555"/>
        <item x="282"/>
        <item x="39"/>
        <item x="910"/>
        <item x="285"/>
        <item x="726"/>
        <item x="380"/>
        <item x="631"/>
        <item x="187"/>
        <item x="921"/>
        <item x="659"/>
        <item x="296"/>
        <item x="795"/>
        <item x="120"/>
        <item x="471"/>
        <item x="478"/>
        <item x="98"/>
        <item x="958"/>
        <item x="302"/>
        <item x="926"/>
        <item x="405"/>
        <item x="529"/>
        <item x="872"/>
        <item x="599"/>
        <item x="428"/>
        <item x="966"/>
        <item x="386"/>
        <item x="933"/>
        <item x="230"/>
        <item x="358"/>
        <item x="161"/>
        <item x="718"/>
        <item x="112"/>
        <item x="664"/>
        <item x="546"/>
        <item x="558"/>
        <item x="340"/>
        <item x="773"/>
        <item x="611"/>
        <item x="541"/>
        <item x="202"/>
        <item x="97"/>
        <item x="540"/>
        <item x="324"/>
        <item x="85"/>
        <item x="854"/>
        <item x="735"/>
        <item x="863"/>
        <item x="670"/>
        <item x="983"/>
        <item x="272"/>
        <item x="301"/>
        <item x="45"/>
        <item x="55"/>
        <item x="94"/>
        <item x="837"/>
        <item x="328"/>
        <item x="881"/>
        <item x="48"/>
        <item x="931"/>
        <item x="21"/>
        <item x="171"/>
        <item x="549"/>
        <item x="967"/>
        <item x="350"/>
        <item x="679"/>
        <item x="180"/>
        <item x="715"/>
        <item x="133"/>
        <item x="724"/>
        <item x="498"/>
        <item x="674"/>
        <item x="412"/>
        <item x="949"/>
        <item x="707"/>
        <item x="365"/>
        <item x="148"/>
        <item x="308"/>
        <item x="165"/>
        <item x="139"/>
        <item x="393"/>
        <item x="221"/>
        <item x="780"/>
        <item x="33"/>
        <item x="131"/>
        <item x="265"/>
        <item x="203"/>
        <item x="801"/>
        <item x="815"/>
        <item x="15"/>
        <item x="978"/>
        <item x="258"/>
        <item x="542"/>
        <item x="241"/>
        <item x="23"/>
        <item x="893"/>
        <item x="440"/>
        <item x="882"/>
        <item x="140"/>
        <item x="179"/>
        <item x="873"/>
        <item x="809"/>
        <item x="545"/>
        <item x="423"/>
        <item x="336"/>
        <item x="338"/>
        <item x="138"/>
        <item x="778"/>
        <item x="696"/>
        <item x="904"/>
        <item x="150"/>
        <item x="184"/>
        <item x="430"/>
        <item x="575"/>
        <item x="844"/>
        <item x="401"/>
        <item x="582"/>
        <item x="686"/>
        <item x="755"/>
        <item x="24"/>
        <item x="668"/>
        <item x="114"/>
        <item x="175"/>
        <item x="610"/>
        <item x="783"/>
        <item x="822"/>
        <item x="734"/>
        <item x="803"/>
        <item x="352"/>
        <item x="310"/>
        <item x="63"/>
        <item x="617"/>
        <item x="964"/>
        <item x="231"/>
        <item x="547"/>
        <item x="934"/>
        <item x="960"/>
        <item x="259"/>
        <item x="447"/>
        <item x="827"/>
        <item x="190"/>
        <item x="182"/>
        <item x="708"/>
        <item x="701"/>
        <item x="64"/>
        <item x="110"/>
        <item x="716"/>
        <item x="417"/>
        <item x="930"/>
        <item x="972"/>
        <item x="306"/>
        <item x="84"/>
        <item x="406"/>
        <item x="70"/>
        <item x="824"/>
        <item x="767"/>
        <item x="918"/>
        <item x="870"/>
        <item x="238"/>
        <item x="18"/>
        <item x="521"/>
        <item x="810"/>
        <item x="271"/>
        <item x="466"/>
        <item x="703"/>
        <item x="649"/>
        <item x="900"/>
        <item x="455"/>
        <item x="329"/>
        <item x="422"/>
        <item x="116"/>
        <item x="382"/>
        <item x="729"/>
        <item x="820"/>
        <item x="44"/>
        <item x="841"/>
        <item x="717"/>
        <item x="495"/>
        <item x="227"/>
        <item x="497"/>
        <item x="635"/>
        <item x="637"/>
        <item x="784"/>
        <item x="624"/>
        <item x="374"/>
        <item x="267"/>
        <item x="493"/>
        <item x="787"/>
        <item x="12"/>
        <item x="444"/>
        <item x="351"/>
        <item x="395"/>
        <item x="46"/>
        <item x="377"/>
        <item x="483"/>
        <item x="468"/>
        <item x="213"/>
        <item x="20"/>
        <item x="868"/>
        <item x="711"/>
        <item x="482"/>
        <item x="693"/>
        <item x="292"/>
        <item x="170"/>
        <item x="322"/>
        <item x="486"/>
        <item x="779"/>
        <item x="332"/>
        <item x="591"/>
        <item x="742"/>
        <item x="378"/>
        <item x="325"/>
        <item x="118"/>
        <item x="183"/>
        <item x="402"/>
        <item x="313"/>
        <item x="538"/>
        <item x="527"/>
        <item x="530"/>
        <item x="484"/>
        <item x="661"/>
        <item x="501"/>
        <item x="908"/>
        <item x="234"/>
        <item x="589"/>
        <item x="218"/>
        <item x="636"/>
        <item x="320"/>
        <item x="5"/>
        <item x="81"/>
        <item x="544"/>
        <item x="101"/>
        <item x="814"/>
        <item x="880"/>
        <item x="193"/>
        <item x="509"/>
        <item x="431"/>
        <item x="912"/>
        <item x="903"/>
        <item x="385"/>
        <item x="944"/>
        <item x="590"/>
        <item x="614"/>
        <item x="347"/>
        <item x="426"/>
        <item x="99"/>
        <item x="548"/>
        <item x="177"/>
        <item x="73"/>
        <item x="587"/>
        <item x="197"/>
        <item x="388"/>
        <item x="480"/>
        <item x="151"/>
        <item x="163"/>
        <item x="891"/>
        <item x="499"/>
        <item x="247"/>
        <item x="460"/>
        <item x="728"/>
        <item x="655"/>
        <item x="856"/>
        <item x="932"/>
        <item t="default"/>
      </items>
    </pivotField>
    <pivotField compact="0" showAll="0">
      <items count="27">
        <item x="14"/>
        <item x="9"/>
        <item x="18"/>
        <item x="11"/>
        <item x="17"/>
        <item x="25"/>
        <item x="5"/>
        <item x="8"/>
        <item x="22"/>
        <item x="23"/>
        <item x="12"/>
        <item x="1"/>
        <item x="2"/>
        <item x="13"/>
        <item x="7"/>
        <item x="21"/>
        <item x="16"/>
        <item x="15"/>
        <item x="4"/>
        <item x="20"/>
        <item x="0"/>
        <item x="3"/>
        <item x="6"/>
        <item x="24"/>
        <item x="19"/>
        <item x="10"/>
        <item t="default"/>
      </items>
    </pivotField>
    <pivotField axis="axisRow" compact="0" showAll="0">
      <items count="13">
        <item x="5"/>
        <item x="6"/>
        <item x="3"/>
        <item x="1"/>
        <item x="10"/>
        <item x="7"/>
        <item x="0"/>
        <item x="11"/>
        <item x="2"/>
        <item x="8"/>
        <item x="4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2"/>
        <item x="3"/>
        <item x="1"/>
        <item x="4"/>
        <item x="0"/>
        <item t="default"/>
      </items>
    </pivotField>
    <pivotField compact="0" showAll="0">
      <items count="1001">
        <item x="563"/>
        <item x="706"/>
        <item x="808"/>
        <item x="619"/>
        <item x="284"/>
        <item x="703"/>
        <item x="423"/>
        <item x="651"/>
        <item x="490"/>
        <item x="910"/>
        <item x="827"/>
        <item x="464"/>
        <item x="135"/>
        <item x="741"/>
        <item x="403"/>
        <item x="19"/>
        <item x="495"/>
        <item x="973"/>
        <item x="333"/>
        <item x="726"/>
        <item x="515"/>
        <item x="418"/>
        <item x="785"/>
        <item x="379"/>
        <item x="260"/>
        <item x="595"/>
        <item x="130"/>
        <item x="210"/>
        <item x="67"/>
        <item x="823"/>
        <item x="70"/>
        <item x="427"/>
        <item x="396"/>
        <item x="42"/>
        <item x="336"/>
        <item x="307"/>
        <item x="98"/>
        <item x="613"/>
        <item x="328"/>
        <item x="248"/>
        <item x="465"/>
        <item x="658"/>
        <item x="237"/>
        <item x="892"/>
        <item x="934"/>
        <item x="448"/>
        <item x="168"/>
        <item x="440"/>
        <item x="457"/>
        <item x="925"/>
        <item x="980"/>
        <item x="326"/>
        <item x="788"/>
        <item x="904"/>
        <item x="802"/>
        <item x="90"/>
        <item x="28"/>
        <item x="312"/>
        <item x="836"/>
        <item x="252"/>
        <item x="152"/>
        <item x="306"/>
        <item x="829"/>
        <item x="617"/>
        <item x="0"/>
        <item x="160"/>
        <item x="102"/>
        <item x="895"/>
        <item x="199"/>
        <item x="825"/>
        <item x="293"/>
        <item x="674"/>
        <item x="219"/>
        <item x="686"/>
        <item x="844"/>
        <item x="359"/>
        <item x="570"/>
        <item x="413"/>
        <item x="327"/>
        <item x="105"/>
        <item x="167"/>
        <item x="25"/>
        <item x="223"/>
        <item x="228"/>
        <item x="926"/>
        <item x="349"/>
        <item x="711"/>
        <item x="361"/>
        <item x="832"/>
        <item x="720"/>
        <item x="736"/>
        <item x="477"/>
        <item x="166"/>
        <item x="886"/>
        <item x="543"/>
        <item x="3"/>
        <item x="332"/>
        <item x="505"/>
        <item x="701"/>
        <item x="673"/>
        <item x="981"/>
        <item x="866"/>
        <item x="261"/>
        <item x="207"/>
        <item x="734"/>
        <item x="411"/>
        <item x="991"/>
        <item x="279"/>
        <item x="780"/>
        <item x="56"/>
        <item x="865"/>
        <item x="216"/>
        <item x="799"/>
        <item x="231"/>
        <item x="890"/>
        <item x="158"/>
        <item x="941"/>
        <item x="467"/>
        <item x="383"/>
        <item x="586"/>
        <item x="562"/>
        <item x="776"/>
        <item x="580"/>
        <item x="947"/>
        <item x="345"/>
        <item x="49"/>
        <item x="244"/>
        <item x="123"/>
        <item x="355"/>
        <item x="439"/>
        <item x="602"/>
        <item x="728"/>
        <item x="274"/>
        <item x="334"/>
        <item x="933"/>
        <item x="915"/>
        <item x="358"/>
        <item x="16"/>
        <item x="605"/>
        <item x="471"/>
        <item x="74"/>
        <item x="92"/>
        <item x="397"/>
        <item x="817"/>
        <item x="642"/>
        <item x="699"/>
        <item x="978"/>
        <item x="797"/>
        <item x="618"/>
        <item x="574"/>
        <item x="143"/>
        <item x="204"/>
        <item x="91"/>
        <item x="414"/>
        <item x="609"/>
        <item x="954"/>
        <item x="110"/>
        <item x="656"/>
        <item x="85"/>
        <item x="521"/>
        <item x="263"/>
        <item x="993"/>
        <item x="952"/>
        <item x="676"/>
        <item x="623"/>
        <item x="348"/>
        <item x="62"/>
        <item x="578"/>
        <item x="129"/>
        <item x="302"/>
        <item x="357"/>
        <item x="761"/>
        <item x="48"/>
        <item x="667"/>
        <item x="500"/>
        <item x="841"/>
        <item x="597"/>
        <item x="4"/>
        <item x="119"/>
        <item x="372"/>
        <item x="224"/>
        <item x="885"/>
        <item x="164"/>
        <item x="15"/>
        <item x="317"/>
        <item x="131"/>
        <item x="960"/>
        <item x="416"/>
        <item x="644"/>
        <item x="626"/>
        <item x="148"/>
        <item x="290"/>
        <item x="654"/>
        <item x="171"/>
        <item x="770"/>
        <item x="250"/>
        <item x="86"/>
        <item x="291"/>
        <item x="285"/>
        <item x="258"/>
        <item x="778"/>
        <item x="793"/>
        <item x="111"/>
        <item x="45"/>
        <item x="305"/>
        <item x="189"/>
        <item x="53"/>
        <item x="815"/>
        <item x="463"/>
        <item x="386"/>
        <item x="254"/>
        <item x="763"/>
        <item x="58"/>
        <item x="762"/>
        <item x="809"/>
        <item x="737"/>
        <item x="281"/>
        <item x="784"/>
        <item x="84"/>
        <item x="863"/>
        <item x="831"/>
        <item x="127"/>
        <item x="794"/>
        <item x="681"/>
        <item x="725"/>
        <item x="855"/>
        <item x="243"/>
        <item x="187"/>
        <item x="435"/>
        <item x="850"/>
        <item x="668"/>
        <item x="695"/>
        <item x="268"/>
        <item x="154"/>
        <item x="631"/>
        <item x="931"/>
        <item x="902"/>
        <item x="700"/>
        <item x="398"/>
        <item x="671"/>
        <item x="366"/>
        <item x="218"/>
        <item x="253"/>
        <item x="914"/>
        <item x="877"/>
        <item x="764"/>
        <item x="325"/>
        <item x="685"/>
        <item x="527"/>
        <item x="871"/>
        <item x="272"/>
        <item x="879"/>
        <item x="553"/>
        <item x="456"/>
        <item x="687"/>
        <item x="468"/>
        <item x="657"/>
        <item x="431"/>
        <item x="66"/>
        <item x="643"/>
        <item x="271"/>
        <item x="36"/>
        <item x="959"/>
        <item x="450"/>
        <item x="775"/>
        <item x="226"/>
        <item x="945"/>
        <item x="731"/>
        <item x="509"/>
        <item x="529"/>
        <item x="805"/>
        <item x="200"/>
        <item x="753"/>
        <item x="859"/>
        <item x="492"/>
        <item x="506"/>
        <item x="593"/>
        <item x="803"/>
        <item x="65"/>
        <item x="170"/>
        <item x="693"/>
        <item x="478"/>
        <item x="50"/>
        <item x="688"/>
        <item x="240"/>
        <item x="713"/>
        <item x="370"/>
        <item x="514"/>
        <item x="765"/>
        <item x="246"/>
        <item x="607"/>
        <item x="354"/>
        <item x="708"/>
        <item x="584"/>
        <item x="742"/>
        <item x="104"/>
        <item x="138"/>
        <item x="537"/>
        <item x="846"/>
        <item x="669"/>
        <item x="147"/>
        <item x="536"/>
        <item x="857"/>
        <item x="660"/>
        <item x="346"/>
        <item x="76"/>
        <item x="872"/>
        <item x="425"/>
        <item x="446"/>
        <item x="194"/>
        <item x="984"/>
        <item x="901"/>
        <item x="556"/>
        <item x="575"/>
        <item x="733"/>
        <item x="498"/>
        <item x="35"/>
        <item x="192"/>
        <item x="986"/>
        <item x="150"/>
        <item x="551"/>
        <item x="810"/>
        <item x="11"/>
        <item x="774"/>
        <item x="767"/>
        <item x="71"/>
        <item x="380"/>
        <item x="636"/>
        <item x="407"/>
        <item x="548"/>
        <item x="37"/>
        <item x="185"/>
        <item x="843"/>
        <item x="479"/>
        <item x="662"/>
        <item x="270"/>
        <item x="971"/>
        <item x="245"/>
        <item x="715"/>
        <item x="873"/>
        <item x="745"/>
        <item x="180"/>
        <item x="391"/>
        <item x="107"/>
        <item x="769"/>
        <item x="195"/>
        <item x="257"/>
        <item x="32"/>
        <item x="26"/>
        <item x="790"/>
        <item x="953"/>
        <item x="576"/>
        <item x="868"/>
        <item x="211"/>
        <item x="344"/>
        <item x="633"/>
        <item x="323"/>
        <item x="622"/>
        <item x="564"/>
        <item x="616"/>
        <item x="387"/>
        <item x="944"/>
        <item x="297"/>
        <item x="481"/>
        <item x="561"/>
        <item x="132"/>
        <item x="848"/>
        <item x="739"/>
        <item x="79"/>
        <item x="173"/>
        <item x="853"/>
        <item x="596"/>
        <item x="517"/>
        <item x="801"/>
        <item x="294"/>
        <item x="203"/>
        <item x="757"/>
        <item x="650"/>
        <item x="486"/>
        <item x="141"/>
        <item x="140"/>
        <item x="634"/>
        <item x="897"/>
        <item x="267"/>
        <item x="684"/>
        <item x="710"/>
        <item x="103"/>
        <item x="475"/>
        <item x="783"/>
        <item x="184"/>
        <item x="437"/>
        <item x="510"/>
        <item x="227"/>
        <item x="388"/>
        <item x="601"/>
        <item x="948"/>
        <item x="927"/>
        <item x="52"/>
        <item x="31"/>
        <item x="729"/>
        <item x="324"/>
        <item x="779"/>
        <item x="491"/>
        <item x="936"/>
        <item x="630"/>
        <item x="298"/>
        <item x="554"/>
        <item x="612"/>
        <item x="186"/>
        <item x="814"/>
        <item x="828"/>
        <item x="363"/>
        <item x="128"/>
        <item x="990"/>
        <item x="898"/>
        <item x="635"/>
        <item x="82"/>
        <item x="394"/>
        <item x="461"/>
        <item x="341"/>
        <item x="983"/>
        <item x="523"/>
        <item x="608"/>
        <item x="837"/>
        <item x="679"/>
        <item x="303"/>
        <item x="64"/>
        <item x="470"/>
        <item x="146"/>
        <item x="816"/>
        <item x="501"/>
        <item x="558"/>
        <item x="89"/>
        <item x="982"/>
        <item x="692"/>
        <item x="230"/>
        <item x="447"/>
        <item x="114"/>
        <item x="429"/>
        <item x="351"/>
        <item x="68"/>
        <item x="789"/>
        <item x="666"/>
        <item x="781"/>
        <item x="159"/>
        <item x="838"/>
        <item x="484"/>
        <item x="419"/>
        <item x="696"/>
        <item x="169"/>
        <item x="441"/>
        <item x="310"/>
        <item x="264"/>
        <item x="887"/>
        <item x="782"/>
        <item x="222"/>
        <item x="923"/>
        <item x="754"/>
        <item x="732"/>
        <item x="581"/>
        <item x="452"/>
        <item x="321"/>
        <item x="665"/>
        <item x="629"/>
        <item x="300"/>
        <item x="122"/>
        <item x="393"/>
        <item x="999"/>
        <item x="878"/>
        <item x="182"/>
        <item x="296"/>
        <item x="287"/>
        <item x="771"/>
        <item x="672"/>
        <item x="641"/>
        <item x="46"/>
        <item x="175"/>
        <item x="583"/>
        <item x="591"/>
        <item x="460"/>
        <item x="962"/>
        <item x="955"/>
        <item x="133"/>
        <item x="474"/>
        <item x="401"/>
        <item x="2"/>
        <item x="162"/>
        <item x="738"/>
        <item x="451"/>
        <item x="893"/>
        <item x="405"/>
        <item x="157"/>
        <item x="242"/>
        <item x="299"/>
        <item x="522"/>
        <item x="376"/>
        <item x="191"/>
        <item x="161"/>
        <item x="17"/>
        <item x="278"/>
        <item x="791"/>
        <item x="430"/>
        <item x="233"/>
        <item x="472"/>
        <item x="568"/>
        <item x="766"/>
        <item x="283"/>
        <item x="43"/>
        <item x="59"/>
        <item x="343"/>
        <item x="77"/>
        <item x="455"/>
        <item x="95"/>
        <item x="532"/>
        <item x="661"/>
        <item x="951"/>
        <item x="852"/>
        <item x="265"/>
        <item x="239"/>
        <item x="539"/>
        <item x="275"/>
        <item x="989"/>
        <item x="318"/>
        <item x="943"/>
        <item x="888"/>
        <item x="454"/>
        <item x="469"/>
        <item x="932"/>
        <item x="748"/>
        <item x="663"/>
        <item x="145"/>
        <item x="723"/>
        <item x="821"/>
        <item x="60"/>
        <item x="587"/>
        <item x="519"/>
        <item x="142"/>
        <item x="367"/>
        <item x="256"/>
        <item x="426"/>
        <item x="339"/>
        <item x="735"/>
        <item x="949"/>
        <item x="590"/>
        <item x="750"/>
        <item x="727"/>
        <item x="559"/>
        <item x="83"/>
        <item x="347"/>
        <item x="190"/>
        <item x="179"/>
        <item x="921"/>
        <item x="488"/>
        <item x="409"/>
        <item x="382"/>
        <item x="94"/>
        <item x="900"/>
        <item x="40"/>
        <item x="826"/>
        <item x="861"/>
        <item x="835"/>
        <item x="518"/>
        <item x="497"/>
        <item x="337"/>
        <item x="7"/>
        <item x="963"/>
        <item x="594"/>
        <item x="694"/>
        <item x="18"/>
        <item x="217"/>
        <item x="531"/>
        <item x="614"/>
        <item x="804"/>
        <item x="939"/>
        <item x="81"/>
        <item x="27"/>
        <item x="930"/>
        <item x="269"/>
        <item x="964"/>
        <item x="232"/>
        <item x="289"/>
        <item x="659"/>
        <item x="220"/>
        <item x="315"/>
        <item x="646"/>
        <item x="565"/>
        <item x="511"/>
        <item x="592"/>
        <item x="34"/>
        <item x="485"/>
        <item x="997"/>
        <item x="69"/>
        <item x="582"/>
        <item x="599"/>
        <item x="721"/>
        <item x="449"/>
        <item x="149"/>
        <item x="689"/>
        <item x="995"/>
        <item x="647"/>
        <item x="870"/>
        <item x="530"/>
        <item x="985"/>
        <item x="375"/>
        <item x="1"/>
        <item x="573"/>
        <item x="136"/>
        <item x="153"/>
        <item x="946"/>
        <item x="316"/>
        <item x="929"/>
        <item x="295"/>
        <item x="24"/>
        <item x="280"/>
        <item x="875"/>
        <item x="113"/>
        <item x="473"/>
        <item x="572"/>
        <item x="628"/>
        <item x="308"/>
        <item x="571"/>
        <item x="533"/>
        <item x="569"/>
        <item x="678"/>
        <item x="819"/>
        <item x="178"/>
        <item x="406"/>
        <item x="512"/>
        <item x="421"/>
        <item x="75"/>
        <item x="63"/>
        <item x="976"/>
        <item x="772"/>
        <item x="202"/>
        <item x="126"/>
        <item x="811"/>
        <item x="377"/>
        <item x="632"/>
        <item x="928"/>
        <item x="442"/>
        <item x="645"/>
        <item x="112"/>
        <item x="975"/>
        <item x="106"/>
        <item x="806"/>
        <item x="588"/>
        <item x="777"/>
        <item x="894"/>
        <item x="884"/>
        <item x="552"/>
        <item x="342"/>
        <item x="600"/>
        <item x="716"/>
        <item x="935"/>
        <item x="188"/>
        <item x="882"/>
        <item x="577"/>
        <item x="749"/>
        <item x="458"/>
        <item x="615"/>
        <item x="744"/>
        <item x="740"/>
        <item x="493"/>
        <item x="236"/>
        <item x="881"/>
        <item x="378"/>
        <item x="362"/>
        <item x="38"/>
        <item x="724"/>
        <item x="712"/>
        <item x="6"/>
        <item x="756"/>
        <item x="44"/>
        <item x="996"/>
        <item x="972"/>
        <item x="911"/>
        <item x="266"/>
        <item x="718"/>
        <item x="795"/>
        <item x="47"/>
        <item x="196"/>
        <item x="535"/>
        <item x="796"/>
        <item x="524"/>
        <item x="93"/>
        <item x="420"/>
        <item x="958"/>
        <item x="856"/>
        <item x="331"/>
        <item x="384"/>
        <item x="851"/>
        <item x="72"/>
        <item x="415"/>
        <item x="961"/>
        <item x="22"/>
        <item x="496"/>
        <item x="538"/>
        <item x="624"/>
        <item x="352"/>
        <item x="139"/>
        <item x="395"/>
        <item x="238"/>
        <item x="874"/>
        <item x="707"/>
        <item x="120"/>
        <item x="546"/>
        <item x="502"/>
        <item x="235"/>
        <item x="773"/>
        <item x="807"/>
        <item x="410"/>
        <item x="262"/>
        <item x="445"/>
        <item x="560"/>
        <item x="453"/>
        <item x="320"/>
        <item x="360"/>
        <item x="144"/>
        <item x="251"/>
        <item x="907"/>
        <item x="751"/>
        <item x="12"/>
        <item x="276"/>
        <item x="864"/>
        <item x="212"/>
        <item x="637"/>
        <item x="567"/>
        <item x="916"/>
        <item x="800"/>
        <item x="368"/>
        <item x="555"/>
        <item x="520"/>
        <item x="924"/>
        <item x="314"/>
        <item x="655"/>
        <item x="118"/>
        <item x="507"/>
        <item x="880"/>
        <item x="862"/>
        <item x="165"/>
        <item x="428"/>
        <item x="722"/>
        <item x="329"/>
        <item x="215"/>
        <item x="277"/>
        <item x="124"/>
        <item x="116"/>
        <item x="99"/>
        <item x="100"/>
        <item x="625"/>
        <item x="820"/>
        <item x="206"/>
        <item x="443"/>
        <item x="288"/>
        <item x="906"/>
        <item x="965"/>
        <item x="14"/>
        <item x="8"/>
        <item x="922"/>
        <item x="55"/>
        <item x="292"/>
        <item x="545"/>
        <item x="566"/>
        <item x="640"/>
        <item x="824"/>
        <item x="918"/>
        <item x="899"/>
        <item x="255"/>
        <item x="513"/>
        <item x="21"/>
        <item x="438"/>
        <item x="434"/>
        <item x="606"/>
        <item x="717"/>
        <item x="544"/>
        <item x="286"/>
        <item x="541"/>
        <item x="30"/>
        <item x="994"/>
        <item x="704"/>
        <item x="845"/>
        <item x="117"/>
        <item x="392"/>
        <item x="940"/>
        <item x="156"/>
        <item x="209"/>
        <item x="20"/>
        <item x="938"/>
        <item x="755"/>
        <item x="9"/>
        <item x="78"/>
        <item x="969"/>
        <item x="466"/>
        <item x="967"/>
        <item x="867"/>
        <item x="528"/>
        <item x="88"/>
        <item x="433"/>
        <item x="974"/>
        <item x="540"/>
        <item x="698"/>
        <item x="648"/>
        <item x="121"/>
        <item x="374"/>
        <item x="221"/>
        <item x="369"/>
        <item x="436"/>
        <item x="476"/>
        <item x="664"/>
        <item x="714"/>
        <item x="109"/>
        <item x="313"/>
        <item x="177"/>
        <item x="183"/>
        <item x="525"/>
        <item x="719"/>
        <item x="709"/>
        <item x="301"/>
        <item x="516"/>
        <item x="489"/>
        <item x="23"/>
        <item x="854"/>
        <item x="319"/>
        <item x="683"/>
        <item x="462"/>
        <item x="652"/>
        <item x="752"/>
        <item x="905"/>
        <item x="849"/>
        <item x="356"/>
        <item x="504"/>
        <item x="241"/>
        <item x="402"/>
        <item x="404"/>
        <item x="858"/>
        <item x="942"/>
        <item x="96"/>
        <item x="730"/>
        <item x="176"/>
        <item x="137"/>
        <item x="151"/>
        <item x="998"/>
        <item x="680"/>
        <item x="322"/>
        <item x="759"/>
        <item x="839"/>
        <item x="390"/>
        <item x="833"/>
        <item x="589"/>
        <item x="54"/>
        <item x="966"/>
        <item x="309"/>
        <item x="550"/>
        <item x="249"/>
        <item x="330"/>
        <item x="304"/>
        <item x="172"/>
        <item x="611"/>
        <item x="408"/>
        <item x="41"/>
        <item x="860"/>
        <item x="547"/>
        <item x="201"/>
        <item x="73"/>
        <item x="247"/>
        <item x="610"/>
        <item x="909"/>
        <item x="229"/>
        <item x="482"/>
        <item x="691"/>
        <item x="350"/>
        <item x="163"/>
        <item x="639"/>
        <item x="956"/>
        <item x="702"/>
        <item x="557"/>
        <item x="912"/>
        <item x="670"/>
        <item x="621"/>
        <item x="311"/>
        <item x="335"/>
        <item x="598"/>
        <item x="913"/>
        <item x="400"/>
        <item x="992"/>
        <item x="259"/>
        <item x="920"/>
        <item x="876"/>
        <item x="534"/>
        <item x="480"/>
        <item x="282"/>
        <item x="834"/>
        <item x="937"/>
        <item x="494"/>
        <item x="385"/>
        <item x="792"/>
        <item x="39"/>
        <item x="198"/>
        <item x="487"/>
        <item x="869"/>
        <item x="842"/>
        <item x="526"/>
        <item x="197"/>
        <item x="638"/>
        <item x="101"/>
        <item x="373"/>
        <item x="483"/>
        <item x="847"/>
        <item x="125"/>
        <item x="603"/>
        <item x="399"/>
        <item x="549"/>
        <item x="181"/>
        <item x="697"/>
        <item x="786"/>
        <item x="760"/>
        <item x="604"/>
        <item x="798"/>
        <item x="822"/>
        <item x="758"/>
        <item x="234"/>
        <item x="432"/>
        <item x="950"/>
        <item x="213"/>
        <item x="422"/>
        <item x="225"/>
        <item x="508"/>
        <item x="503"/>
        <item x="649"/>
        <item x="80"/>
        <item x="919"/>
        <item x="627"/>
        <item x="746"/>
        <item x="968"/>
        <item x="675"/>
        <item x="988"/>
        <item x="389"/>
        <item x="787"/>
        <item x="13"/>
        <item x="273"/>
        <item x="364"/>
        <item x="444"/>
        <item x="812"/>
        <item x="29"/>
        <item x="353"/>
        <item x="51"/>
        <item x="653"/>
        <item x="340"/>
        <item x="987"/>
        <item x="365"/>
        <item x="743"/>
        <item x="205"/>
        <item x="459"/>
        <item x="412"/>
        <item x="134"/>
        <item x="33"/>
        <item x="424"/>
        <item x="87"/>
        <item x="108"/>
        <item x="768"/>
        <item x="579"/>
        <item x="10"/>
        <item x="908"/>
        <item x="677"/>
        <item x="174"/>
        <item x="818"/>
        <item x="979"/>
        <item x="417"/>
        <item x="97"/>
        <item x="813"/>
        <item x="889"/>
        <item x="214"/>
        <item x="883"/>
        <item x="499"/>
        <item x="896"/>
        <item x="747"/>
        <item x="381"/>
        <item x="542"/>
        <item x="620"/>
        <item x="917"/>
        <item x="155"/>
        <item x="57"/>
        <item x="193"/>
        <item x="957"/>
        <item x="891"/>
        <item x="585"/>
        <item x="705"/>
        <item x="338"/>
        <item x="970"/>
        <item x="208"/>
        <item x="977"/>
        <item x="682"/>
        <item x="61"/>
        <item x="830"/>
        <item x="5"/>
        <item x="690"/>
        <item x="840"/>
        <item x="903"/>
        <item x="371"/>
        <item x="115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" sourceName="Payment_Mode">
  <pivotTables>
    <pivotTable tabId="15" name="PivotTable20"/>
    <pivotTable tabId="11" name="PivotTable22"/>
    <pivotTable tabId="13" name="PivotTable2"/>
    <pivotTable tabId="13" name="PivotTable13"/>
    <pivotTable tabId="13" name="PivotTable3"/>
    <pivotTable tabId="13" name="PivotTable9"/>
    <pivotTable tabId="15" name="PivotTable16"/>
    <pivotTable tabId="15" name="PivotTable17"/>
    <pivotTable tabId="15" name="PivotTable18"/>
    <pivotTable tabId="15" name="PivotTable19"/>
  </pivotTables>
  <data>
    <tabular pivotCacheId="1">
      <items count="4">
        <i x="3" s="1"/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5" name="PivotTable20"/>
    <pivotTable tabId="11" name="PivotTable22"/>
    <pivotTable tabId="13" name="PivotTable2"/>
    <pivotTable tabId="13" name="PivotTable13"/>
    <pivotTable tabId="13" name="PivotTable3"/>
    <pivotTable tabId="13" name="PivotTable9"/>
    <pivotTable tabId="15" name="PivotTable16"/>
    <pivotTable tabId="15" name="PivotTable17"/>
    <pivotTable tabId="15" name="PivotTable18"/>
    <pivotTable tabId="15" name="PivotTable19"/>
  </pivotTables>
  <data>
    <tabular pivotCacheId="1">
      <items count="4">
        <i x="1" s="1"/>
        <i x="3" s="1"/>
        <i x="0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5" name="PivotTable20"/>
    <pivotTable tabId="11" name="PivotTable22"/>
    <pivotTable tabId="13" name="PivotTable2"/>
    <pivotTable tabId="13" name="PivotTable13"/>
    <pivotTable tabId="13" name="PivotTable3"/>
    <pivotTable tabId="13" name="PivotTable9"/>
    <pivotTable tabId="15" name="PivotTable16"/>
    <pivotTable tabId="15" name="PivotTable17"/>
    <pivotTable tabId="15" name="PivotTable18"/>
    <pivotTable tabId="15" name="PivotTable19"/>
  </pivotTables>
  <data>
    <tabular pivotCacheId="1">
      <items count="5">
        <i x="0" s="1"/>
        <i x="4" s="1"/>
        <i x="3" s="1"/>
        <i x="2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_Type">
  <pivotTables>
    <pivotTable tabId="15" name="PivotTable20"/>
    <pivotTable tabId="11" name="PivotTable22"/>
    <pivotTable tabId="13" name="PivotTable2"/>
    <pivotTable tabId="13" name="PivotTable13"/>
    <pivotTable tabId="13" name="PivotTable3"/>
    <pivotTable tabId="13" name="PivotTable9"/>
    <pivotTable tabId="15" name="PivotTable16"/>
    <pivotTable tabId="15" name="PivotTable17"/>
    <pivotTable tabId="15" name="PivotTable18"/>
    <pivotTable tabId="15" name="PivotTable19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_Mode 1" cache="Slicer_Payment_Mode" caption="Payment_Mode" rowHeight="225425"/>
  <slicer name="Region" cache="Slicer_Region" caption="Region" rowHeight="225425"/>
  <slicer name="Category" cache="Slicer_Category" caption="Category" rowHeight="225425"/>
  <slicer name="Customer_Type" cache="Slicer_Customer_Type" caption="Customer_Type" rowHeight="225425"/>
</slicers>
</file>

<file path=xl/tables/table1.xml><?xml version="1.0" encoding="utf-8"?>
<table xmlns="http://schemas.openxmlformats.org/spreadsheetml/2006/main" id="1" name="Table1" displayName="Table1" ref="A1:Z1001" totalsRowShown="0">
  <autoFilter xmlns:etc="http://www.wps.cn/officeDocument/2017/etCustomData" ref="A1:Z1001" etc:filterBottomFollowUsedRange="0"/>
  <sortState ref="A1:Z1001">
    <sortCondition ref="X1"/>
  </sortState>
  <tableColumns count="26">
    <tableColumn id="1" name="Order_ID" dataDxfId="0"/>
    <tableColumn id="2" name="Order_Date" dataDxfId="1"/>
    <tableColumn id="3" name="Customer_Type" dataDxfId="2"/>
    <tableColumn id="4" name="Category" dataDxfId="3"/>
    <tableColumn id="5" name="Product" dataDxfId="4"/>
    <tableColumn id="6" name="City" dataDxfId="5"/>
    <tableColumn id="7" name="State" dataDxfId="6"/>
    <tableColumn id="8" name="Region" dataDxfId="7"/>
    <tableColumn id="9" name="Payment_Mode" dataDxfId="8"/>
    <tableColumn id="10" name="Quantity" dataDxfId="9"/>
    <tableColumn id="11" name="Unit_Price" dataDxfId="10"/>
    <tableColumn id="12" name="Discount" dataDxfId="11"/>
    <tableColumn id="13" name="Sales" dataDxfId="12"/>
    <tableColumn id="14" name="Cost" dataDxfId="13"/>
    <tableColumn id="15" name="Profit" dataDxfId="14"/>
    <tableColumn id="16" name="Rating" dataDxfId="15"/>
    <tableColumn id="17" name="Month" dataDxfId="16"/>
    <tableColumn id="18" name="Year" dataDxfId="17"/>
    <tableColumn id="19" name="Profit_Status" dataDxfId="18">
      <calculatedColumnFormula>IF(O2&gt;500,"High Profit","Low Profit")</calculatedColumnFormula>
    </tableColumn>
    <tableColumn id="20" name="Sales_Profit" dataDxfId="19">
      <calculatedColumnFormula>IF(M2&gt;1000,"High Sales","Low Sales")</calculatedColumnFormula>
    </tableColumn>
    <tableColumn id="21" name="Rating_Status" dataDxfId="20">
      <calculatedColumnFormula>IF(P2&gt;=4,"Good","Needs Improvement")</calculatedColumnFormula>
    </tableColumn>
    <tableColumn id="22" name="Discount_Status" dataDxfId="21">
      <calculatedColumnFormula>IF(L2&gt;=15%,"High Discount","Normal Discount")</calculatedColumnFormula>
    </tableColumn>
    <tableColumn id="23" name="Target Margin" dataDxfId="22">
      <calculatedColumnFormula>VLOOKUP(D2,Lookup_Table!$A:$C,2,FALSE)</calculatedColumnFormula>
    </tableColumn>
    <tableColumn id="24" name="Profit_margin" dataDxfId="23">
      <calculatedColumnFormula>O2/M2</calculatedColumnFormula>
    </tableColumn>
    <tableColumn id="25" name="Category_manager" dataDxfId="24">
      <calculatedColumnFormula>VLOOKUP(D2,Lookup_Table!A:C,3,0)</calculatedColumnFormula>
    </tableColumn>
    <tableColumn id="26" name="Margin_Status" dataDxfId="25">
      <calculatedColumnFormula>IF(X2&gt;=W2,"Achived","Not Achieved")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1"/>
  <sheetViews>
    <sheetView topLeftCell="A12" workbookViewId="0">
      <selection activeCell="L17" sqref="L17"/>
    </sheetView>
  </sheetViews>
  <sheetFormatPr defaultColWidth="9" defaultRowHeight="14.4"/>
  <cols>
    <col min="1" max="1" width="11.712962962963" customWidth="1"/>
    <col min="2" max="2" width="18.8796296296296" customWidth="1"/>
    <col min="3" max="3" width="15.1851851851852" customWidth="1"/>
    <col min="4" max="4" width="13.9259259259259" customWidth="1"/>
    <col min="5" max="5" width="15.0925925925926" customWidth="1"/>
    <col min="6" max="6" width="13.537037037037" customWidth="1"/>
    <col min="9" max="9" width="13.1481481481481" customWidth="1"/>
    <col min="19" max="19" width="13.537037037037" customWidth="1"/>
    <col min="20" max="20" width="13.6759259259259" customWidth="1"/>
    <col min="21" max="21" width="17.0555555555556" customWidth="1"/>
    <col min="22" max="22" width="14.5740740740741" customWidth="1"/>
    <col min="23" max="23" width="13.2777777777778" customWidth="1"/>
    <col min="24" max="24" width="12.6851851851852"/>
    <col min="25" max="25" width="16.6759259259259" customWidth="1"/>
    <col min="26" max="26" width="12.7592592592593" customWidth="1"/>
    <col min="28" max="28" width="10.5"/>
  </cols>
  <sheetData>
    <row r="1" spans="1:2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t="s">
        <v>19</v>
      </c>
      <c r="U1" s="12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8">
      <c r="A2" s="13" t="s">
        <v>26</v>
      </c>
      <c r="B2" s="14">
        <v>45995</v>
      </c>
      <c r="C2" s="13" t="s">
        <v>27</v>
      </c>
      <c r="D2" s="13" t="s">
        <v>28</v>
      </c>
      <c r="E2" s="13" t="s">
        <v>29</v>
      </c>
      <c r="F2" s="13" t="s">
        <v>30</v>
      </c>
      <c r="G2" s="13" t="s">
        <v>31</v>
      </c>
      <c r="H2" s="13" t="s">
        <v>32</v>
      </c>
      <c r="I2" s="13" t="s">
        <v>33</v>
      </c>
      <c r="J2" s="13">
        <v>4</v>
      </c>
      <c r="K2" s="13">
        <v>78.82</v>
      </c>
      <c r="L2" s="13">
        <v>0</v>
      </c>
      <c r="M2" s="13">
        <v>315.28</v>
      </c>
      <c r="N2" s="13">
        <v>267.88</v>
      </c>
      <c r="O2" s="13">
        <v>47.4</v>
      </c>
      <c r="P2" s="13">
        <v>2.9</v>
      </c>
      <c r="Q2" s="13" t="s">
        <v>34</v>
      </c>
      <c r="R2" s="13">
        <v>2025</v>
      </c>
      <c r="S2" s="15" t="str">
        <f t="shared" ref="S2:S65" si="0">IF(O2&gt;500,"High Profit","Low Profit")</f>
        <v>Low Profit</v>
      </c>
      <c r="T2" s="15" t="str">
        <f t="shared" ref="T2:T65" si="1">IF(M2&gt;1000,"High Sales","Low Sales")</f>
        <v>Low Sales</v>
      </c>
      <c r="U2" s="15" t="str">
        <f t="shared" ref="U2:U65" si="2">IF(P2&gt;=4,"Good","Needs Improvement")</f>
        <v>Needs Improvement</v>
      </c>
      <c r="V2" s="15" t="str">
        <f t="shared" ref="V2:V65" si="3">IF(L2&gt;=15%,"High Discount","Normal Discount")</f>
        <v>Normal Discount</v>
      </c>
      <c r="W2" s="15">
        <f>VLOOKUP(D2,Lookup_Table!$A:$C,2,FALSE)</f>
        <v>0.2</v>
      </c>
      <c r="X2" s="15">
        <f t="shared" ref="X2:X65" si="4">O2/M2</f>
        <v>0.150342552651611</v>
      </c>
      <c r="Y2" s="15" t="str">
        <f>VLOOKUP(D2,Lookup_Table!A:C,3,0)</f>
        <v>Sneha</v>
      </c>
      <c r="Z2" s="15" t="str">
        <f t="shared" ref="Z2:Z65" si="5">IF(X2&gt;=W2,"Achived","Not Achieved")</f>
        <v>Not Achieved</v>
      </c>
    </row>
    <row r="3" spans="1:28">
      <c r="A3" s="13" t="s">
        <v>35</v>
      </c>
      <c r="B3" s="14">
        <v>45784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33</v>
      </c>
      <c r="J3" s="13">
        <v>4</v>
      </c>
      <c r="K3" s="13">
        <v>485.66</v>
      </c>
      <c r="L3" s="13">
        <v>0.15</v>
      </c>
      <c r="M3" s="13">
        <v>1651.24</v>
      </c>
      <c r="N3" s="13">
        <v>1402.28</v>
      </c>
      <c r="O3" s="13">
        <v>248.96</v>
      </c>
      <c r="P3" s="13">
        <v>3.8</v>
      </c>
      <c r="Q3" s="13" t="s">
        <v>42</v>
      </c>
      <c r="R3" s="13">
        <v>2025</v>
      </c>
      <c r="S3" s="15" t="str">
        <f t="shared" si="0"/>
        <v>Low Profit</v>
      </c>
      <c r="T3" s="15" t="str">
        <f t="shared" si="1"/>
        <v>High Sales</v>
      </c>
      <c r="U3" s="15" t="str">
        <f t="shared" si="2"/>
        <v>Needs Improvement</v>
      </c>
      <c r="V3" s="15" t="str">
        <f t="shared" si="3"/>
        <v>High Discount</v>
      </c>
      <c r="W3" s="15">
        <f>VLOOKUP(D3,Lookup_Table!$A:$C,2,FALSE)</f>
        <v>0.16</v>
      </c>
      <c r="X3" s="15">
        <f t="shared" si="4"/>
        <v>0.150771541387079</v>
      </c>
      <c r="Y3" s="15" t="str">
        <f>VLOOKUP(D3,Lookup_Table!A:C,3,0)</f>
        <v>Vikram</v>
      </c>
      <c r="Z3" s="15" t="str">
        <f t="shared" si="5"/>
        <v>Not Achieved</v>
      </c>
      <c r="AB3">
        <f>MAX(X2:X1001)</f>
        <v>0.449925300087579</v>
      </c>
    </row>
    <row r="4" spans="1:28">
      <c r="A4" s="13" t="s">
        <v>43</v>
      </c>
      <c r="B4" s="14">
        <v>45900</v>
      </c>
      <c r="C4" s="13" t="s">
        <v>27</v>
      </c>
      <c r="D4" s="13" t="s">
        <v>44</v>
      </c>
      <c r="E4" s="13" t="s">
        <v>45</v>
      </c>
      <c r="F4" s="13" t="s">
        <v>39</v>
      </c>
      <c r="G4" s="13" t="s">
        <v>40</v>
      </c>
      <c r="H4" s="13" t="s">
        <v>41</v>
      </c>
      <c r="I4" s="13" t="s">
        <v>46</v>
      </c>
      <c r="J4" s="13">
        <v>2</v>
      </c>
      <c r="K4" s="13">
        <v>1404.24</v>
      </c>
      <c r="L4" s="13">
        <v>0.1</v>
      </c>
      <c r="M4" s="13">
        <v>2527.63</v>
      </c>
      <c r="N4" s="13">
        <v>2145.97</v>
      </c>
      <c r="O4" s="13">
        <v>381.66</v>
      </c>
      <c r="P4" s="13">
        <v>4.8</v>
      </c>
      <c r="Q4" s="13" t="s">
        <v>47</v>
      </c>
      <c r="R4" s="13">
        <v>2025</v>
      </c>
      <c r="S4" s="15" t="str">
        <f t="shared" si="0"/>
        <v>Low Profit</v>
      </c>
      <c r="T4" s="15" t="str">
        <f t="shared" si="1"/>
        <v>High Sales</v>
      </c>
      <c r="U4" s="15" t="str">
        <f t="shared" si="2"/>
        <v>Good</v>
      </c>
      <c r="V4" s="15" t="str">
        <f t="shared" si="3"/>
        <v>Normal Discount</v>
      </c>
      <c r="W4" s="15">
        <f>VLOOKUP(D4,Lookup_Table!$A:$C,2,FALSE)</f>
        <v>0.18</v>
      </c>
      <c r="X4" s="15">
        <f t="shared" si="4"/>
        <v>0.150995201038127</v>
      </c>
      <c r="Y4" s="15" t="str">
        <f>VLOOKUP(D4,Lookup_Table!A:C,3,0)</f>
        <v>Amit</v>
      </c>
      <c r="Z4" s="15" t="str">
        <f t="shared" si="5"/>
        <v>Not Achieved</v>
      </c>
    </row>
    <row r="5" spans="1:28">
      <c r="A5" s="13" t="s">
        <v>48</v>
      </c>
      <c r="B5" s="14">
        <v>45917</v>
      </c>
      <c r="C5" s="13" t="s">
        <v>27</v>
      </c>
      <c r="D5" s="13" t="s">
        <v>28</v>
      </c>
      <c r="E5" s="13" t="s">
        <v>49</v>
      </c>
      <c r="F5" s="13" t="s">
        <v>50</v>
      </c>
      <c r="G5" s="13" t="s">
        <v>51</v>
      </c>
      <c r="H5" s="13" t="s">
        <v>32</v>
      </c>
      <c r="I5" s="13" t="s">
        <v>52</v>
      </c>
      <c r="J5" s="13">
        <v>6</v>
      </c>
      <c r="K5" s="13">
        <v>80.18</v>
      </c>
      <c r="L5" s="13">
        <v>0.15</v>
      </c>
      <c r="M5" s="13">
        <v>408.92</v>
      </c>
      <c r="N5" s="13">
        <v>347.03</v>
      </c>
      <c r="O5" s="13">
        <v>61.89</v>
      </c>
      <c r="P5" s="13">
        <v>4.1</v>
      </c>
      <c r="Q5" s="13" t="s">
        <v>53</v>
      </c>
      <c r="R5" s="13">
        <v>2025</v>
      </c>
      <c r="S5" s="15" t="str">
        <f t="shared" si="0"/>
        <v>Low Profit</v>
      </c>
      <c r="T5" s="15" t="str">
        <f t="shared" si="1"/>
        <v>Low Sales</v>
      </c>
      <c r="U5" s="15" t="str">
        <f t="shared" si="2"/>
        <v>Good</v>
      </c>
      <c r="V5" s="15" t="str">
        <f t="shared" si="3"/>
        <v>High Discount</v>
      </c>
      <c r="W5" s="15">
        <f>VLOOKUP(D5,Lookup_Table!$A:$C,2,FALSE)</f>
        <v>0.2</v>
      </c>
      <c r="X5" s="15">
        <f t="shared" si="4"/>
        <v>0.151349897290424</v>
      </c>
      <c r="Y5" s="15" t="str">
        <f>VLOOKUP(D5,Lookup_Table!A:C,3,0)</f>
        <v>Sneha</v>
      </c>
      <c r="Z5" s="15" t="str">
        <f t="shared" si="5"/>
        <v>Not Achieved</v>
      </c>
    </row>
    <row r="6" spans="1:28">
      <c r="A6" s="13" t="s">
        <v>54</v>
      </c>
      <c r="B6" s="14">
        <v>45839</v>
      </c>
      <c r="C6" s="13" t="s">
        <v>55</v>
      </c>
      <c r="D6" s="13" t="s">
        <v>44</v>
      </c>
      <c r="E6" s="13" t="s">
        <v>45</v>
      </c>
      <c r="F6" s="13" t="s">
        <v>39</v>
      </c>
      <c r="G6" s="13" t="s">
        <v>40</v>
      </c>
      <c r="H6" s="13" t="s">
        <v>41</v>
      </c>
      <c r="I6" s="13" t="s">
        <v>46</v>
      </c>
      <c r="J6" s="13">
        <v>4</v>
      </c>
      <c r="K6" s="13">
        <v>530.06</v>
      </c>
      <c r="L6" s="13">
        <v>0.1</v>
      </c>
      <c r="M6" s="13">
        <v>1908.22</v>
      </c>
      <c r="N6" s="13">
        <v>1617.23</v>
      </c>
      <c r="O6" s="13">
        <v>290.99</v>
      </c>
      <c r="P6" s="13">
        <v>3.1</v>
      </c>
      <c r="Q6" s="13" t="s">
        <v>56</v>
      </c>
      <c r="R6" s="13">
        <v>2025</v>
      </c>
      <c r="S6" s="15" t="str">
        <f t="shared" si="0"/>
        <v>Low Profit</v>
      </c>
      <c r="T6" s="15" t="str">
        <f t="shared" si="1"/>
        <v>High Sales</v>
      </c>
      <c r="U6" s="15" t="str">
        <f t="shared" si="2"/>
        <v>Needs Improvement</v>
      </c>
      <c r="V6" s="15" t="str">
        <f t="shared" si="3"/>
        <v>Normal Discount</v>
      </c>
      <c r="W6" s="15">
        <f>VLOOKUP(D6,Lookup_Table!$A:$C,2,FALSE)</f>
        <v>0.18</v>
      </c>
      <c r="X6" s="15">
        <f t="shared" si="4"/>
        <v>0.152492899141608</v>
      </c>
      <c r="Y6" s="15" t="str">
        <f>VLOOKUP(D6,Lookup_Table!A:C,3,0)</f>
        <v>Amit</v>
      </c>
      <c r="Z6" s="15" t="str">
        <f t="shared" si="5"/>
        <v>Not Achieved</v>
      </c>
    </row>
    <row r="7" spans="1:28">
      <c r="A7" s="13" t="s">
        <v>57</v>
      </c>
      <c r="B7" s="14">
        <v>45830</v>
      </c>
      <c r="C7" s="13" t="s">
        <v>55</v>
      </c>
      <c r="D7" s="13" t="s">
        <v>28</v>
      </c>
      <c r="E7" s="13" t="s">
        <v>29</v>
      </c>
      <c r="F7" s="13" t="s">
        <v>50</v>
      </c>
      <c r="G7" s="13" t="s">
        <v>51</v>
      </c>
      <c r="H7" s="13" t="s">
        <v>32</v>
      </c>
      <c r="I7" s="13" t="s">
        <v>46</v>
      </c>
      <c r="J7" s="13">
        <v>4</v>
      </c>
      <c r="K7" s="13">
        <v>42.43</v>
      </c>
      <c r="L7" s="13">
        <v>0.05</v>
      </c>
      <c r="M7" s="13">
        <v>161.23</v>
      </c>
      <c r="N7" s="13">
        <v>136.57</v>
      </c>
      <c r="O7" s="13">
        <v>24.66</v>
      </c>
      <c r="P7" s="13">
        <v>3.9</v>
      </c>
      <c r="Q7" s="13" t="s">
        <v>58</v>
      </c>
      <c r="R7" s="13">
        <v>2025</v>
      </c>
      <c r="S7" s="15" t="str">
        <f t="shared" si="0"/>
        <v>Low Profit</v>
      </c>
      <c r="T7" s="15" t="str">
        <f t="shared" si="1"/>
        <v>Low Sales</v>
      </c>
      <c r="U7" s="15" t="str">
        <f t="shared" si="2"/>
        <v>Needs Improvement</v>
      </c>
      <c r="V7" s="15" t="str">
        <f t="shared" si="3"/>
        <v>Normal Discount</v>
      </c>
      <c r="W7" s="15">
        <f>VLOOKUP(D7,Lookup_Table!$A:$C,2,FALSE)</f>
        <v>0.2</v>
      </c>
      <c r="X7" s="15">
        <f t="shared" si="4"/>
        <v>0.152949203001923</v>
      </c>
      <c r="Y7" s="15" t="str">
        <f>VLOOKUP(D7,Lookup_Table!A:C,3,0)</f>
        <v>Sneha</v>
      </c>
      <c r="Z7" s="15" t="str">
        <f t="shared" si="5"/>
        <v>Not Achieved</v>
      </c>
    </row>
    <row r="8" spans="1:28">
      <c r="A8" s="13" t="s">
        <v>59</v>
      </c>
      <c r="B8" s="14">
        <v>45660</v>
      </c>
      <c r="C8" s="13" t="s">
        <v>55</v>
      </c>
      <c r="D8" s="13" t="s">
        <v>60</v>
      </c>
      <c r="E8" s="13" t="s">
        <v>61</v>
      </c>
      <c r="F8" s="13" t="s">
        <v>62</v>
      </c>
      <c r="G8" s="13" t="s">
        <v>63</v>
      </c>
      <c r="H8" s="13" t="s">
        <v>32</v>
      </c>
      <c r="I8" s="13" t="s">
        <v>52</v>
      </c>
      <c r="J8" s="13">
        <v>7</v>
      </c>
      <c r="K8" s="13">
        <v>782.23</v>
      </c>
      <c r="L8" s="13">
        <v>0.15</v>
      </c>
      <c r="M8" s="13">
        <v>4654.27</v>
      </c>
      <c r="N8" s="13">
        <v>3941.26</v>
      </c>
      <c r="O8" s="13">
        <v>713.01</v>
      </c>
      <c r="P8" s="13">
        <v>3.2</v>
      </c>
      <c r="Q8" s="13" t="s">
        <v>64</v>
      </c>
      <c r="R8" s="13">
        <v>2025</v>
      </c>
      <c r="S8" s="15" t="str">
        <f t="shared" si="0"/>
        <v>High Profit</v>
      </c>
      <c r="T8" s="15" t="str">
        <f t="shared" si="1"/>
        <v>High Sales</v>
      </c>
      <c r="U8" s="15" t="str">
        <f t="shared" si="2"/>
        <v>Needs Improvement</v>
      </c>
      <c r="V8" s="15" t="str">
        <f t="shared" si="3"/>
        <v>High Discount</v>
      </c>
      <c r="W8" s="15">
        <f>VLOOKUP(D8,Lookup_Table!$A:$C,2,FALSE)</f>
        <v>0.15</v>
      </c>
      <c r="X8" s="15">
        <f t="shared" si="4"/>
        <v>0.153194808208376</v>
      </c>
      <c r="Y8" s="15" t="str">
        <f>VLOOKUP(D8,Lookup_Table!A:C,3,0)</f>
        <v>Priya</v>
      </c>
      <c r="Z8" s="15" t="str">
        <f t="shared" si="5"/>
        <v>Achived</v>
      </c>
    </row>
    <row r="9" spans="1:28">
      <c r="A9" s="13" t="s">
        <v>65</v>
      </c>
      <c r="B9" s="14">
        <v>45894</v>
      </c>
      <c r="C9" s="13" t="s">
        <v>55</v>
      </c>
      <c r="D9" s="13" t="s">
        <v>60</v>
      </c>
      <c r="E9" s="13" t="s">
        <v>66</v>
      </c>
      <c r="F9" s="13" t="s">
        <v>67</v>
      </c>
      <c r="G9" s="13" t="s">
        <v>68</v>
      </c>
      <c r="H9" s="13" t="s">
        <v>69</v>
      </c>
      <c r="I9" s="13" t="s">
        <v>33</v>
      </c>
      <c r="J9" s="13">
        <v>2</v>
      </c>
      <c r="K9" s="13">
        <v>613.81</v>
      </c>
      <c r="L9" s="13">
        <v>0.05</v>
      </c>
      <c r="M9" s="13">
        <v>1166.24</v>
      </c>
      <c r="N9" s="13">
        <v>987.53</v>
      </c>
      <c r="O9" s="13">
        <v>178.71</v>
      </c>
      <c r="P9" s="13">
        <v>4.1</v>
      </c>
      <c r="Q9" s="13" t="s">
        <v>47</v>
      </c>
      <c r="R9" s="13">
        <v>2025</v>
      </c>
      <c r="S9" s="15" t="str">
        <f t="shared" si="0"/>
        <v>Low Profit</v>
      </c>
      <c r="T9" s="15" t="str">
        <f t="shared" si="1"/>
        <v>High Sales</v>
      </c>
      <c r="U9" s="15" t="str">
        <f t="shared" si="2"/>
        <v>Good</v>
      </c>
      <c r="V9" s="15" t="str">
        <f t="shared" si="3"/>
        <v>Normal Discount</v>
      </c>
      <c r="W9" s="15">
        <f>VLOOKUP(D9,Lookup_Table!$A:$C,2,FALSE)</f>
        <v>0.15</v>
      </c>
      <c r="X9" s="15">
        <f t="shared" si="4"/>
        <v>0.153236040609137</v>
      </c>
      <c r="Y9" s="15" t="str">
        <f>VLOOKUP(D9,Lookup_Table!A:C,3,0)</f>
        <v>Priya</v>
      </c>
      <c r="Z9" s="15" t="str">
        <f t="shared" si="5"/>
        <v>Achived</v>
      </c>
    </row>
    <row r="10" spans="1:28">
      <c r="A10" s="13" t="s">
        <v>70</v>
      </c>
      <c r="B10" s="14">
        <v>45972</v>
      </c>
      <c r="C10" s="13" t="s">
        <v>27</v>
      </c>
      <c r="D10" s="13" t="s">
        <v>44</v>
      </c>
      <c r="E10" s="13" t="s">
        <v>45</v>
      </c>
      <c r="F10" s="13" t="s">
        <v>39</v>
      </c>
      <c r="G10" s="13" t="s">
        <v>40</v>
      </c>
      <c r="H10" s="13" t="s">
        <v>41</v>
      </c>
      <c r="I10" s="13" t="s">
        <v>33</v>
      </c>
      <c r="J10" s="13">
        <v>1</v>
      </c>
      <c r="K10" s="13">
        <v>490.34</v>
      </c>
      <c r="L10" s="13">
        <v>0</v>
      </c>
      <c r="M10" s="13">
        <v>490.34</v>
      </c>
      <c r="N10" s="13">
        <v>414.89</v>
      </c>
      <c r="O10" s="13">
        <v>75.45</v>
      </c>
      <c r="P10" s="13">
        <v>4.2</v>
      </c>
      <c r="Q10" s="13" t="s">
        <v>71</v>
      </c>
      <c r="R10" s="13">
        <v>2025</v>
      </c>
      <c r="S10" s="15" t="str">
        <f t="shared" si="0"/>
        <v>Low Profit</v>
      </c>
      <c r="T10" s="15" t="str">
        <f t="shared" si="1"/>
        <v>Low Sales</v>
      </c>
      <c r="U10" s="15" t="str">
        <f t="shared" si="2"/>
        <v>Good</v>
      </c>
      <c r="V10" s="15" t="str">
        <f t="shared" si="3"/>
        <v>Normal Discount</v>
      </c>
      <c r="W10" s="15">
        <f>VLOOKUP(D10,Lookup_Table!$A:$C,2,FALSE)</f>
        <v>0.18</v>
      </c>
      <c r="X10" s="15">
        <f t="shared" si="4"/>
        <v>0.153872822939185</v>
      </c>
      <c r="Y10" s="15" t="str">
        <f>VLOOKUP(D10,Lookup_Table!A:C,3,0)</f>
        <v>Amit</v>
      </c>
      <c r="Z10" s="15" t="str">
        <f t="shared" si="5"/>
        <v>Not Achieved</v>
      </c>
    </row>
    <row r="11" spans="1:28">
      <c r="A11" s="13" t="s">
        <v>72</v>
      </c>
      <c r="B11" s="14">
        <v>45874</v>
      </c>
      <c r="C11" s="13" t="s">
        <v>55</v>
      </c>
      <c r="D11" s="13" t="s">
        <v>28</v>
      </c>
      <c r="E11" s="13" t="s">
        <v>73</v>
      </c>
      <c r="F11" s="13" t="s">
        <v>50</v>
      </c>
      <c r="G11" s="13" t="s">
        <v>51</v>
      </c>
      <c r="H11" s="13" t="s">
        <v>32</v>
      </c>
      <c r="I11" s="13" t="s">
        <v>46</v>
      </c>
      <c r="J11" s="13">
        <v>2</v>
      </c>
      <c r="K11" s="13">
        <v>84.42</v>
      </c>
      <c r="L11" s="13">
        <v>0</v>
      </c>
      <c r="M11" s="13">
        <v>168.84</v>
      </c>
      <c r="N11" s="13">
        <v>142.82</v>
      </c>
      <c r="O11" s="13">
        <v>26.02</v>
      </c>
      <c r="P11" s="13">
        <v>3.7</v>
      </c>
      <c r="Q11" s="13" t="s">
        <v>47</v>
      </c>
      <c r="R11" s="13">
        <v>2025</v>
      </c>
      <c r="S11" s="15" t="str">
        <f t="shared" si="0"/>
        <v>Low Profit</v>
      </c>
      <c r="T11" s="15" t="str">
        <f t="shared" si="1"/>
        <v>Low Sales</v>
      </c>
      <c r="U11" s="15" t="str">
        <f t="shared" si="2"/>
        <v>Needs Improvement</v>
      </c>
      <c r="V11" s="15" t="str">
        <f t="shared" si="3"/>
        <v>Normal Discount</v>
      </c>
      <c r="W11" s="15">
        <f>VLOOKUP(D11,Lookup_Table!$A:$C,2,FALSE)</f>
        <v>0.2</v>
      </c>
      <c r="X11" s="15">
        <f t="shared" si="4"/>
        <v>0.154110400379057</v>
      </c>
      <c r="Y11" s="15" t="str">
        <f>VLOOKUP(D11,Lookup_Table!A:C,3,0)</f>
        <v>Sneha</v>
      </c>
      <c r="Z11" s="15" t="str">
        <f t="shared" si="5"/>
        <v>Not Achieved</v>
      </c>
    </row>
    <row r="12" spans="1:28">
      <c r="A12" s="13" t="s">
        <v>74</v>
      </c>
      <c r="B12" s="14">
        <v>45683</v>
      </c>
      <c r="C12" s="13" t="s">
        <v>55</v>
      </c>
      <c r="D12" s="13" t="s">
        <v>28</v>
      </c>
      <c r="E12" s="13" t="s">
        <v>29</v>
      </c>
      <c r="F12" s="13" t="s">
        <v>75</v>
      </c>
      <c r="G12" s="13" t="s">
        <v>76</v>
      </c>
      <c r="H12" s="13" t="s">
        <v>77</v>
      </c>
      <c r="I12" s="13" t="s">
        <v>52</v>
      </c>
      <c r="J12" s="13">
        <v>5</v>
      </c>
      <c r="K12" s="13">
        <v>93.24</v>
      </c>
      <c r="L12" s="13">
        <v>0.05</v>
      </c>
      <c r="M12" s="13">
        <v>442.89</v>
      </c>
      <c r="N12" s="13">
        <v>374.53</v>
      </c>
      <c r="O12" s="13">
        <v>68.36</v>
      </c>
      <c r="P12" s="13">
        <v>3.7</v>
      </c>
      <c r="Q12" s="13" t="s">
        <v>64</v>
      </c>
      <c r="R12" s="13">
        <v>2025</v>
      </c>
      <c r="S12" s="15" t="str">
        <f t="shared" si="0"/>
        <v>Low Profit</v>
      </c>
      <c r="T12" s="15" t="str">
        <f t="shared" si="1"/>
        <v>Low Sales</v>
      </c>
      <c r="U12" s="15" t="str">
        <f t="shared" si="2"/>
        <v>Needs Improvement</v>
      </c>
      <c r="V12" s="15" t="str">
        <f t="shared" si="3"/>
        <v>Normal Discount</v>
      </c>
      <c r="W12" s="15">
        <f>VLOOKUP(D12,Lookup_Table!$A:$C,2,FALSE)</f>
        <v>0.2</v>
      </c>
      <c r="X12" s="15">
        <f t="shared" si="4"/>
        <v>0.154349838560365</v>
      </c>
      <c r="Y12" s="15" t="str">
        <f>VLOOKUP(D12,Lookup_Table!A:C,3,0)</f>
        <v>Sneha</v>
      </c>
      <c r="Z12" s="15" t="str">
        <f t="shared" si="5"/>
        <v>Not Achieved</v>
      </c>
    </row>
    <row r="13" spans="1:28">
      <c r="A13" s="13" t="s">
        <v>78</v>
      </c>
      <c r="B13" s="14">
        <v>45830</v>
      </c>
      <c r="C13" s="13" t="s">
        <v>27</v>
      </c>
      <c r="D13" s="13" t="s">
        <v>60</v>
      </c>
      <c r="E13" s="13" t="s">
        <v>66</v>
      </c>
      <c r="F13" s="13" t="s">
        <v>62</v>
      </c>
      <c r="G13" s="13" t="s">
        <v>63</v>
      </c>
      <c r="H13" s="13" t="s">
        <v>32</v>
      </c>
      <c r="I13" s="13" t="s">
        <v>33</v>
      </c>
      <c r="J13" s="13">
        <v>2</v>
      </c>
      <c r="K13" s="13">
        <v>322.34</v>
      </c>
      <c r="L13" s="13">
        <v>0.1</v>
      </c>
      <c r="M13" s="13">
        <v>580.21</v>
      </c>
      <c r="N13" s="13">
        <v>490.56</v>
      </c>
      <c r="O13" s="13">
        <v>89.65</v>
      </c>
      <c r="P13" s="13">
        <v>3.2</v>
      </c>
      <c r="Q13" s="13" t="s">
        <v>58</v>
      </c>
      <c r="R13" s="13">
        <v>2025</v>
      </c>
      <c r="S13" s="15" t="str">
        <f t="shared" si="0"/>
        <v>Low Profit</v>
      </c>
      <c r="T13" s="15" t="str">
        <f t="shared" si="1"/>
        <v>Low Sales</v>
      </c>
      <c r="U13" s="15" t="str">
        <f t="shared" si="2"/>
        <v>Needs Improvement</v>
      </c>
      <c r="V13" s="15" t="str">
        <f t="shared" si="3"/>
        <v>Normal Discount</v>
      </c>
      <c r="W13" s="15">
        <f>VLOOKUP(D13,Lookup_Table!$A:$C,2,FALSE)</f>
        <v>0.15</v>
      </c>
      <c r="X13" s="15">
        <f t="shared" si="4"/>
        <v>0.154513021147516</v>
      </c>
      <c r="Y13" s="15" t="str">
        <f>VLOOKUP(D13,Lookup_Table!A:C,3,0)</f>
        <v>Priya</v>
      </c>
      <c r="Z13" s="15" t="str">
        <f t="shared" si="5"/>
        <v>Achived</v>
      </c>
    </row>
    <row r="14" spans="1:28">
      <c r="A14" s="13" t="s">
        <v>79</v>
      </c>
      <c r="B14" s="14">
        <v>45776</v>
      </c>
      <c r="C14" s="13" t="s">
        <v>27</v>
      </c>
      <c r="D14" s="13" t="s">
        <v>80</v>
      </c>
      <c r="E14" s="13" t="s">
        <v>81</v>
      </c>
      <c r="F14" s="13" t="s">
        <v>82</v>
      </c>
      <c r="G14" s="13" t="s">
        <v>83</v>
      </c>
      <c r="H14" s="13" t="s">
        <v>77</v>
      </c>
      <c r="I14" s="13" t="s">
        <v>33</v>
      </c>
      <c r="J14" s="13">
        <v>7</v>
      </c>
      <c r="K14" s="13">
        <v>14.98</v>
      </c>
      <c r="L14" s="13">
        <v>0</v>
      </c>
      <c r="M14" s="13">
        <v>104.86</v>
      </c>
      <c r="N14" s="13">
        <v>88.64</v>
      </c>
      <c r="O14" s="13">
        <v>16.22</v>
      </c>
      <c r="P14" s="13">
        <v>3.1</v>
      </c>
      <c r="Q14" s="13" t="s">
        <v>84</v>
      </c>
      <c r="R14" s="13">
        <v>2025</v>
      </c>
      <c r="S14" s="15" t="str">
        <f t="shared" si="0"/>
        <v>Low Profit</v>
      </c>
      <c r="T14" s="15" t="str">
        <f t="shared" si="1"/>
        <v>Low Sales</v>
      </c>
      <c r="U14" s="15" t="str">
        <f t="shared" si="2"/>
        <v>Needs Improvement</v>
      </c>
      <c r="V14" s="15" t="str">
        <f t="shared" si="3"/>
        <v>Normal Discount</v>
      </c>
      <c r="W14" s="15">
        <f>VLOOKUP(D14,Lookup_Table!$A:$C,2,FALSE)</f>
        <v>0.12</v>
      </c>
      <c r="X14" s="15">
        <f t="shared" si="4"/>
        <v>0.154682433721152</v>
      </c>
      <c r="Y14" s="15" t="str">
        <f>VLOOKUP(D14,Lookup_Table!A:C,3,0)</f>
        <v>Rahul</v>
      </c>
      <c r="Z14" s="15" t="str">
        <f t="shared" si="5"/>
        <v>Achived</v>
      </c>
    </row>
    <row r="15" spans="1:28">
      <c r="A15" s="13" t="s">
        <v>85</v>
      </c>
      <c r="B15" s="14">
        <v>45940</v>
      </c>
      <c r="C15" s="13" t="s">
        <v>55</v>
      </c>
      <c r="D15" s="13" t="s">
        <v>37</v>
      </c>
      <c r="E15" s="13" t="s">
        <v>86</v>
      </c>
      <c r="F15" s="13" t="s">
        <v>62</v>
      </c>
      <c r="G15" s="13" t="s">
        <v>63</v>
      </c>
      <c r="H15" s="13" t="s">
        <v>32</v>
      </c>
      <c r="I15" s="13" t="s">
        <v>46</v>
      </c>
      <c r="J15" s="13">
        <v>7</v>
      </c>
      <c r="K15" s="13">
        <v>255.38</v>
      </c>
      <c r="L15" s="13">
        <v>0.1</v>
      </c>
      <c r="M15" s="13">
        <v>1608.89</v>
      </c>
      <c r="N15" s="13">
        <v>1359.64</v>
      </c>
      <c r="O15" s="13">
        <v>249.25</v>
      </c>
      <c r="P15" s="13">
        <v>3.5</v>
      </c>
      <c r="Q15" s="13" t="s">
        <v>87</v>
      </c>
      <c r="R15" s="13">
        <v>2025</v>
      </c>
      <c r="S15" s="15" t="str">
        <f t="shared" si="0"/>
        <v>Low Profit</v>
      </c>
      <c r="T15" s="15" t="str">
        <f t="shared" si="1"/>
        <v>High Sales</v>
      </c>
      <c r="U15" s="15" t="str">
        <f t="shared" si="2"/>
        <v>Needs Improvement</v>
      </c>
      <c r="V15" s="15" t="str">
        <f t="shared" si="3"/>
        <v>Normal Discount</v>
      </c>
      <c r="W15" s="15">
        <f>VLOOKUP(D15,Lookup_Table!$A:$C,2,FALSE)</f>
        <v>0.16</v>
      </c>
      <c r="X15" s="15">
        <f t="shared" si="4"/>
        <v>0.15492047312122</v>
      </c>
      <c r="Y15" s="15" t="str">
        <f>VLOOKUP(D15,Lookup_Table!A:C,3,0)</f>
        <v>Vikram</v>
      </c>
      <c r="Z15" s="15" t="str">
        <f t="shared" si="5"/>
        <v>Not Achieved</v>
      </c>
    </row>
    <row r="16" spans="1:28">
      <c r="A16" s="13" t="s">
        <v>88</v>
      </c>
      <c r="B16" s="14">
        <v>45886</v>
      </c>
      <c r="C16" s="13" t="s">
        <v>27</v>
      </c>
      <c r="D16" s="13" t="s">
        <v>37</v>
      </c>
      <c r="E16" s="13" t="s">
        <v>86</v>
      </c>
      <c r="F16" s="13" t="s">
        <v>75</v>
      </c>
      <c r="G16" s="13" t="s">
        <v>76</v>
      </c>
      <c r="H16" s="13" t="s">
        <v>77</v>
      </c>
      <c r="I16" s="13" t="s">
        <v>52</v>
      </c>
      <c r="J16" s="13">
        <v>1</v>
      </c>
      <c r="K16" s="13">
        <v>229.5</v>
      </c>
      <c r="L16" s="13">
        <v>0.15</v>
      </c>
      <c r="M16" s="13">
        <v>195.08</v>
      </c>
      <c r="N16" s="13">
        <v>164.55</v>
      </c>
      <c r="O16" s="13">
        <v>30.53</v>
      </c>
      <c r="P16" s="13">
        <v>4.6</v>
      </c>
      <c r="Q16" s="13" t="s">
        <v>47</v>
      </c>
      <c r="R16" s="13">
        <v>2025</v>
      </c>
      <c r="S16" s="15" t="str">
        <f t="shared" si="0"/>
        <v>Low Profit</v>
      </c>
      <c r="T16" s="15" t="str">
        <f t="shared" si="1"/>
        <v>Low Sales</v>
      </c>
      <c r="U16" s="15" t="str">
        <f t="shared" si="2"/>
        <v>Good</v>
      </c>
      <c r="V16" s="15" t="str">
        <f t="shared" si="3"/>
        <v>High Discount</v>
      </c>
      <c r="W16" s="15">
        <f>VLOOKUP(D16,Lookup_Table!$A:$C,2,FALSE)</f>
        <v>0.16</v>
      </c>
      <c r="X16" s="15">
        <f t="shared" si="4"/>
        <v>0.156499897477958</v>
      </c>
      <c r="Y16" s="15" t="str">
        <f>VLOOKUP(D16,Lookup_Table!A:C,3,0)</f>
        <v>Vikram</v>
      </c>
      <c r="Z16" s="15" t="str">
        <f t="shared" si="5"/>
        <v>Not Achieved</v>
      </c>
    </row>
    <row r="17" spans="1:26">
      <c r="A17" s="13" t="s">
        <v>89</v>
      </c>
      <c r="B17" s="14">
        <v>45982</v>
      </c>
      <c r="C17" s="13" t="s">
        <v>27</v>
      </c>
      <c r="D17" s="13" t="s">
        <v>28</v>
      </c>
      <c r="E17" s="13" t="s">
        <v>90</v>
      </c>
      <c r="F17" s="13" t="s">
        <v>82</v>
      </c>
      <c r="G17" s="13" t="s">
        <v>83</v>
      </c>
      <c r="H17" s="13" t="s">
        <v>77</v>
      </c>
      <c r="I17" s="13" t="s">
        <v>46</v>
      </c>
      <c r="J17" s="13">
        <v>7</v>
      </c>
      <c r="K17" s="13">
        <v>144.43</v>
      </c>
      <c r="L17" s="13">
        <v>0.15</v>
      </c>
      <c r="M17" s="13">
        <v>859.36</v>
      </c>
      <c r="N17" s="13">
        <v>724.75</v>
      </c>
      <c r="O17" s="13">
        <v>134.61</v>
      </c>
      <c r="P17" s="13">
        <v>3.5</v>
      </c>
      <c r="Q17" s="13" t="s">
        <v>71</v>
      </c>
      <c r="R17" s="13">
        <v>2025</v>
      </c>
      <c r="S17" s="15" t="str">
        <f t="shared" si="0"/>
        <v>Low Profit</v>
      </c>
      <c r="T17" s="15" t="str">
        <f t="shared" si="1"/>
        <v>Low Sales</v>
      </c>
      <c r="U17" s="15" t="str">
        <f t="shared" si="2"/>
        <v>Needs Improvement</v>
      </c>
      <c r="V17" s="15" t="str">
        <f t="shared" si="3"/>
        <v>High Discount</v>
      </c>
      <c r="W17" s="15">
        <f>VLOOKUP(D17,Lookup_Table!$A:$C,2,FALSE)</f>
        <v>0.2</v>
      </c>
      <c r="X17" s="15">
        <f t="shared" si="4"/>
        <v>0.156639824986036</v>
      </c>
      <c r="Y17" s="15" t="str">
        <f>VLOOKUP(D17,Lookup_Table!A:C,3,0)</f>
        <v>Sneha</v>
      </c>
      <c r="Z17" s="15" t="str">
        <f t="shared" si="5"/>
        <v>Not Achieved</v>
      </c>
    </row>
    <row r="18" spans="1:26">
      <c r="A18" s="13" t="s">
        <v>91</v>
      </c>
      <c r="B18" s="14">
        <v>45848</v>
      </c>
      <c r="C18" s="13" t="s">
        <v>27</v>
      </c>
      <c r="D18" s="13" t="s">
        <v>44</v>
      </c>
      <c r="E18" s="13" t="s">
        <v>45</v>
      </c>
      <c r="F18" s="13" t="s">
        <v>39</v>
      </c>
      <c r="G18" s="13" t="s">
        <v>40</v>
      </c>
      <c r="H18" s="13" t="s">
        <v>41</v>
      </c>
      <c r="I18" s="13" t="s">
        <v>33</v>
      </c>
      <c r="J18" s="13">
        <v>7</v>
      </c>
      <c r="K18" s="13">
        <v>1061.57</v>
      </c>
      <c r="L18" s="13">
        <v>0.1</v>
      </c>
      <c r="M18" s="13">
        <v>6687.89</v>
      </c>
      <c r="N18" s="13">
        <v>5636.29</v>
      </c>
      <c r="O18" s="13">
        <v>1051.6</v>
      </c>
      <c r="P18" s="13">
        <v>3.3</v>
      </c>
      <c r="Q18" s="13" t="s">
        <v>56</v>
      </c>
      <c r="R18" s="13">
        <v>2025</v>
      </c>
      <c r="S18" s="15" t="str">
        <f t="shared" si="0"/>
        <v>High Profit</v>
      </c>
      <c r="T18" s="15" t="str">
        <f t="shared" si="1"/>
        <v>High Sales</v>
      </c>
      <c r="U18" s="15" t="str">
        <f t="shared" si="2"/>
        <v>Needs Improvement</v>
      </c>
      <c r="V18" s="15" t="str">
        <f t="shared" si="3"/>
        <v>Normal Discount</v>
      </c>
      <c r="W18" s="15">
        <f>VLOOKUP(D18,Lookup_Table!$A:$C,2,FALSE)</f>
        <v>0.18</v>
      </c>
      <c r="X18" s="15">
        <f t="shared" si="4"/>
        <v>0.15723942828007</v>
      </c>
      <c r="Y18" s="15" t="str">
        <f>VLOOKUP(D18,Lookup_Table!A:C,3,0)</f>
        <v>Amit</v>
      </c>
      <c r="Z18" s="15" t="str">
        <f t="shared" si="5"/>
        <v>Not Achieved</v>
      </c>
    </row>
    <row r="19" spans="1:26">
      <c r="A19" s="13" t="s">
        <v>92</v>
      </c>
      <c r="B19" s="14">
        <v>45744</v>
      </c>
      <c r="C19" s="13" t="s">
        <v>27</v>
      </c>
      <c r="D19" s="13" t="s">
        <v>37</v>
      </c>
      <c r="E19" s="13" t="s">
        <v>93</v>
      </c>
      <c r="F19" s="13" t="s">
        <v>30</v>
      </c>
      <c r="G19" s="13" t="s">
        <v>31</v>
      </c>
      <c r="H19" s="13" t="s">
        <v>32</v>
      </c>
      <c r="I19" s="13" t="s">
        <v>33</v>
      </c>
      <c r="J19" s="13">
        <v>1</v>
      </c>
      <c r="K19" s="13">
        <v>230.6</v>
      </c>
      <c r="L19" s="13">
        <v>0.05</v>
      </c>
      <c r="M19" s="13">
        <v>219.07</v>
      </c>
      <c r="N19" s="13">
        <v>184.44</v>
      </c>
      <c r="O19" s="13">
        <v>34.63</v>
      </c>
      <c r="P19" s="13">
        <v>4.2</v>
      </c>
      <c r="Q19" s="13" t="s">
        <v>94</v>
      </c>
      <c r="R19" s="13">
        <v>2025</v>
      </c>
      <c r="S19" s="15" t="str">
        <f t="shared" si="0"/>
        <v>Low Profit</v>
      </c>
      <c r="T19" s="15" t="str">
        <f t="shared" si="1"/>
        <v>Low Sales</v>
      </c>
      <c r="U19" s="15" t="str">
        <f t="shared" si="2"/>
        <v>Good</v>
      </c>
      <c r="V19" s="15" t="str">
        <f t="shared" si="3"/>
        <v>Normal Discount</v>
      </c>
      <c r="W19" s="15">
        <f>VLOOKUP(D19,Lookup_Table!$A:$C,2,FALSE)</f>
        <v>0.16</v>
      </c>
      <c r="X19" s="15">
        <f t="shared" si="4"/>
        <v>0.158077326881819</v>
      </c>
      <c r="Y19" s="15" t="str">
        <f>VLOOKUP(D19,Lookup_Table!A:C,3,0)</f>
        <v>Vikram</v>
      </c>
      <c r="Z19" s="15" t="str">
        <f t="shared" si="5"/>
        <v>Not Achieved</v>
      </c>
    </row>
    <row r="20" spans="1:26">
      <c r="A20" s="13" t="s">
        <v>95</v>
      </c>
      <c r="B20" s="14">
        <v>45676</v>
      </c>
      <c r="C20" s="13" t="s">
        <v>27</v>
      </c>
      <c r="D20" s="13" t="s">
        <v>37</v>
      </c>
      <c r="E20" s="13" t="s">
        <v>86</v>
      </c>
      <c r="F20" s="13" t="s">
        <v>39</v>
      </c>
      <c r="G20" s="13" t="s">
        <v>40</v>
      </c>
      <c r="H20" s="13" t="s">
        <v>41</v>
      </c>
      <c r="I20" s="13" t="s">
        <v>96</v>
      </c>
      <c r="J20" s="13">
        <v>4</v>
      </c>
      <c r="K20" s="13">
        <v>419.04</v>
      </c>
      <c r="L20" s="13">
        <v>0.1</v>
      </c>
      <c r="M20" s="13">
        <v>1508.54</v>
      </c>
      <c r="N20" s="13">
        <v>1269.61</v>
      </c>
      <c r="O20" s="13">
        <v>238.93</v>
      </c>
      <c r="P20" s="13">
        <v>3.9</v>
      </c>
      <c r="Q20" s="13" t="s">
        <v>64</v>
      </c>
      <c r="R20" s="13">
        <v>2025</v>
      </c>
      <c r="S20" s="15" t="str">
        <f t="shared" si="0"/>
        <v>Low Profit</v>
      </c>
      <c r="T20" s="15" t="str">
        <f t="shared" si="1"/>
        <v>High Sales</v>
      </c>
      <c r="U20" s="15" t="str">
        <f t="shared" si="2"/>
        <v>Needs Improvement</v>
      </c>
      <c r="V20" s="15" t="str">
        <f t="shared" si="3"/>
        <v>Normal Discount</v>
      </c>
      <c r="W20" s="15">
        <f>VLOOKUP(D20,Lookup_Table!$A:$C,2,FALSE)</f>
        <v>0.16</v>
      </c>
      <c r="X20" s="15">
        <f t="shared" si="4"/>
        <v>0.158384928473889</v>
      </c>
      <c r="Y20" s="15" t="str">
        <f>VLOOKUP(D20,Lookup_Table!A:C,3,0)</f>
        <v>Vikram</v>
      </c>
      <c r="Z20" s="15" t="str">
        <f t="shared" si="5"/>
        <v>Not Achieved</v>
      </c>
    </row>
    <row r="21" spans="1:26">
      <c r="A21" s="13" t="s">
        <v>97</v>
      </c>
      <c r="B21" s="14">
        <v>45994</v>
      </c>
      <c r="C21" s="13" t="s">
        <v>36</v>
      </c>
      <c r="D21" s="13" t="s">
        <v>28</v>
      </c>
      <c r="E21" s="13" t="s">
        <v>49</v>
      </c>
      <c r="F21" s="13" t="s">
        <v>98</v>
      </c>
      <c r="G21" s="13" t="s">
        <v>99</v>
      </c>
      <c r="H21" s="13" t="s">
        <v>77</v>
      </c>
      <c r="I21" s="13" t="s">
        <v>52</v>
      </c>
      <c r="J21" s="13">
        <v>7</v>
      </c>
      <c r="K21" s="13">
        <v>60.66</v>
      </c>
      <c r="L21" s="13">
        <v>0.1</v>
      </c>
      <c r="M21" s="13">
        <v>382.16</v>
      </c>
      <c r="N21" s="13">
        <v>321.54</v>
      </c>
      <c r="O21" s="13">
        <v>60.62</v>
      </c>
      <c r="P21" s="13">
        <v>2.5</v>
      </c>
      <c r="Q21" s="13" t="s">
        <v>34</v>
      </c>
      <c r="R21" s="13">
        <v>2025</v>
      </c>
      <c r="S21" s="15" t="str">
        <f t="shared" si="0"/>
        <v>Low Profit</v>
      </c>
      <c r="T21" s="15" t="str">
        <f t="shared" si="1"/>
        <v>Low Sales</v>
      </c>
      <c r="U21" s="15" t="str">
        <f t="shared" si="2"/>
        <v>Needs Improvement</v>
      </c>
      <c r="V21" s="15" t="str">
        <f t="shared" si="3"/>
        <v>Normal Discount</v>
      </c>
      <c r="W21" s="15">
        <f>VLOOKUP(D21,Lookup_Table!$A:$C,2,FALSE)</f>
        <v>0.2</v>
      </c>
      <c r="X21" s="15">
        <f t="shared" si="4"/>
        <v>0.158624659828344</v>
      </c>
      <c r="Y21" s="15" t="str">
        <f>VLOOKUP(D21,Lookup_Table!A:C,3,0)</f>
        <v>Sneha</v>
      </c>
      <c r="Z21" s="15" t="str">
        <f t="shared" si="5"/>
        <v>Not Achieved</v>
      </c>
    </row>
    <row r="22" spans="1:26">
      <c r="A22" s="13" t="s">
        <v>100</v>
      </c>
      <c r="B22" s="14">
        <v>45758</v>
      </c>
      <c r="C22" s="13" t="s">
        <v>27</v>
      </c>
      <c r="D22" s="13" t="s">
        <v>80</v>
      </c>
      <c r="E22" s="13" t="s">
        <v>101</v>
      </c>
      <c r="F22" s="13" t="s">
        <v>50</v>
      </c>
      <c r="G22" s="13" t="s">
        <v>51</v>
      </c>
      <c r="H22" s="13" t="s">
        <v>32</v>
      </c>
      <c r="I22" s="13" t="s">
        <v>46</v>
      </c>
      <c r="J22" s="13">
        <v>6</v>
      </c>
      <c r="K22" s="13">
        <v>76.08</v>
      </c>
      <c r="L22" s="13">
        <v>0.05</v>
      </c>
      <c r="M22" s="13">
        <v>433.66</v>
      </c>
      <c r="N22" s="13">
        <v>364.79</v>
      </c>
      <c r="O22" s="13">
        <v>68.87</v>
      </c>
      <c r="P22" s="13">
        <v>3.1</v>
      </c>
      <c r="Q22" s="13" t="s">
        <v>84</v>
      </c>
      <c r="R22" s="13">
        <v>2025</v>
      </c>
      <c r="S22" s="15" t="str">
        <f t="shared" si="0"/>
        <v>Low Profit</v>
      </c>
      <c r="T22" s="15" t="str">
        <f t="shared" si="1"/>
        <v>Low Sales</v>
      </c>
      <c r="U22" s="15" t="str">
        <f t="shared" si="2"/>
        <v>Needs Improvement</v>
      </c>
      <c r="V22" s="15" t="str">
        <f t="shared" si="3"/>
        <v>Normal Discount</v>
      </c>
      <c r="W22" s="15">
        <f>VLOOKUP(D22,Lookup_Table!$A:$C,2,FALSE)</f>
        <v>0.12</v>
      </c>
      <c r="X22" s="15">
        <f t="shared" si="4"/>
        <v>0.158811050131439</v>
      </c>
      <c r="Y22" s="15" t="str">
        <f>VLOOKUP(D22,Lookup_Table!A:C,3,0)</f>
        <v>Rahul</v>
      </c>
      <c r="Z22" s="15" t="str">
        <f t="shared" si="5"/>
        <v>Achived</v>
      </c>
    </row>
    <row r="23" spans="1:26">
      <c r="A23" s="13" t="s">
        <v>102</v>
      </c>
      <c r="B23" s="14">
        <v>45850</v>
      </c>
      <c r="C23" s="13" t="s">
        <v>55</v>
      </c>
      <c r="D23" s="13" t="s">
        <v>37</v>
      </c>
      <c r="E23" s="13" t="s">
        <v>38</v>
      </c>
      <c r="F23" s="13" t="s">
        <v>67</v>
      </c>
      <c r="G23" s="13" t="s">
        <v>68</v>
      </c>
      <c r="H23" s="13" t="s">
        <v>69</v>
      </c>
      <c r="I23" s="13" t="s">
        <v>52</v>
      </c>
      <c r="J23" s="13">
        <v>2</v>
      </c>
      <c r="K23" s="13">
        <v>406.14</v>
      </c>
      <c r="L23" s="13">
        <v>0.05</v>
      </c>
      <c r="M23" s="13">
        <v>771.67</v>
      </c>
      <c r="N23" s="13">
        <v>648.25</v>
      </c>
      <c r="O23" s="13">
        <v>123.42</v>
      </c>
      <c r="P23" s="13">
        <v>3.7</v>
      </c>
      <c r="Q23" s="13" t="s">
        <v>56</v>
      </c>
      <c r="R23" s="13">
        <v>2025</v>
      </c>
      <c r="S23" s="15" t="str">
        <f t="shared" si="0"/>
        <v>Low Profit</v>
      </c>
      <c r="T23" s="15" t="str">
        <f t="shared" si="1"/>
        <v>Low Sales</v>
      </c>
      <c r="U23" s="15" t="str">
        <f t="shared" si="2"/>
        <v>Needs Improvement</v>
      </c>
      <c r="V23" s="15" t="str">
        <f t="shared" si="3"/>
        <v>Normal Discount</v>
      </c>
      <c r="W23" s="15">
        <f>VLOOKUP(D23,Lookup_Table!$A:$C,2,FALSE)</f>
        <v>0.16</v>
      </c>
      <c r="X23" s="15">
        <f t="shared" si="4"/>
        <v>0.159938833957521</v>
      </c>
      <c r="Y23" s="15" t="str">
        <f>VLOOKUP(D23,Lookup_Table!A:C,3,0)</f>
        <v>Vikram</v>
      </c>
      <c r="Z23" s="15" t="str">
        <f t="shared" si="5"/>
        <v>Not Achieved</v>
      </c>
    </row>
    <row r="24" spans="1:26">
      <c r="A24" s="13" t="s">
        <v>103</v>
      </c>
      <c r="B24" s="14">
        <v>45715</v>
      </c>
      <c r="C24" s="13" t="s">
        <v>55</v>
      </c>
      <c r="D24" s="13" t="s">
        <v>44</v>
      </c>
      <c r="E24" s="13" t="s">
        <v>104</v>
      </c>
      <c r="F24" s="13" t="s">
        <v>62</v>
      </c>
      <c r="G24" s="13" t="s">
        <v>63</v>
      </c>
      <c r="H24" s="13" t="s">
        <v>32</v>
      </c>
      <c r="I24" s="13" t="s">
        <v>33</v>
      </c>
      <c r="J24" s="13">
        <v>7</v>
      </c>
      <c r="K24" s="13">
        <v>727.02</v>
      </c>
      <c r="L24" s="13">
        <v>0.05</v>
      </c>
      <c r="M24" s="13">
        <v>4834.68</v>
      </c>
      <c r="N24" s="13">
        <v>4058.26</v>
      </c>
      <c r="O24" s="13">
        <v>776.42</v>
      </c>
      <c r="P24" s="13">
        <v>4.3</v>
      </c>
      <c r="Q24" s="13" t="s">
        <v>105</v>
      </c>
      <c r="R24" s="13">
        <v>2025</v>
      </c>
      <c r="S24" s="15" t="str">
        <f t="shared" si="0"/>
        <v>High Profit</v>
      </c>
      <c r="T24" s="15" t="str">
        <f t="shared" si="1"/>
        <v>High Sales</v>
      </c>
      <c r="U24" s="15" t="str">
        <f t="shared" si="2"/>
        <v>Good</v>
      </c>
      <c r="V24" s="15" t="str">
        <f t="shared" si="3"/>
        <v>Normal Discount</v>
      </c>
      <c r="W24" s="15">
        <f>VLOOKUP(D24,Lookup_Table!$A:$C,2,FALSE)</f>
        <v>0.18</v>
      </c>
      <c r="X24" s="15">
        <f t="shared" si="4"/>
        <v>0.160593875913194</v>
      </c>
      <c r="Y24" s="15" t="str">
        <f>VLOOKUP(D24,Lookup_Table!A:C,3,0)</f>
        <v>Amit</v>
      </c>
      <c r="Z24" s="15" t="str">
        <f t="shared" si="5"/>
        <v>Not Achieved</v>
      </c>
    </row>
    <row r="25" spans="1:26">
      <c r="A25" s="13" t="s">
        <v>106</v>
      </c>
      <c r="B25" s="14">
        <v>45760</v>
      </c>
      <c r="C25" s="13" t="s">
        <v>55</v>
      </c>
      <c r="D25" s="13" t="s">
        <v>37</v>
      </c>
      <c r="E25" s="13" t="s">
        <v>86</v>
      </c>
      <c r="F25" s="13" t="s">
        <v>62</v>
      </c>
      <c r="G25" s="13" t="s">
        <v>63</v>
      </c>
      <c r="H25" s="13" t="s">
        <v>32</v>
      </c>
      <c r="I25" s="13" t="s">
        <v>46</v>
      </c>
      <c r="J25" s="13">
        <v>5</v>
      </c>
      <c r="K25" s="13">
        <v>224.01</v>
      </c>
      <c r="L25" s="13">
        <v>0.15</v>
      </c>
      <c r="M25" s="13">
        <v>952.04</v>
      </c>
      <c r="N25" s="13">
        <v>798.93</v>
      </c>
      <c r="O25" s="13">
        <v>153.11</v>
      </c>
      <c r="P25" s="13">
        <v>2.8</v>
      </c>
      <c r="Q25" s="13" t="s">
        <v>84</v>
      </c>
      <c r="R25" s="13">
        <v>2025</v>
      </c>
      <c r="S25" s="15" t="str">
        <f t="shared" si="0"/>
        <v>Low Profit</v>
      </c>
      <c r="T25" s="15" t="str">
        <f t="shared" si="1"/>
        <v>Low Sales</v>
      </c>
      <c r="U25" s="15" t="str">
        <f t="shared" si="2"/>
        <v>Needs Improvement</v>
      </c>
      <c r="V25" s="15" t="str">
        <f t="shared" si="3"/>
        <v>High Discount</v>
      </c>
      <c r="W25" s="15">
        <f>VLOOKUP(D25,Lookup_Table!$A:$C,2,FALSE)</f>
        <v>0.16</v>
      </c>
      <c r="X25" s="15">
        <f t="shared" si="4"/>
        <v>0.160823074660729</v>
      </c>
      <c r="Y25" s="15" t="str">
        <f>VLOOKUP(D25,Lookup_Table!A:C,3,0)</f>
        <v>Vikram</v>
      </c>
      <c r="Z25" s="15" t="str">
        <f t="shared" si="5"/>
        <v>Achived</v>
      </c>
    </row>
    <row r="26" spans="1:26">
      <c r="A26" s="13" t="s">
        <v>107</v>
      </c>
      <c r="B26" s="14">
        <v>45924</v>
      </c>
      <c r="C26" s="13" t="s">
        <v>27</v>
      </c>
      <c r="D26" s="13" t="s">
        <v>60</v>
      </c>
      <c r="E26" s="13" t="s">
        <v>66</v>
      </c>
      <c r="F26" s="13" t="s">
        <v>98</v>
      </c>
      <c r="G26" s="13" t="s">
        <v>99</v>
      </c>
      <c r="H26" s="13" t="s">
        <v>77</v>
      </c>
      <c r="I26" s="13" t="s">
        <v>52</v>
      </c>
      <c r="J26" s="13">
        <v>2</v>
      </c>
      <c r="K26" s="13">
        <v>225.8</v>
      </c>
      <c r="L26" s="13">
        <v>0</v>
      </c>
      <c r="M26" s="13">
        <v>451.6</v>
      </c>
      <c r="N26" s="13">
        <v>378.76</v>
      </c>
      <c r="O26" s="13">
        <v>72.84</v>
      </c>
      <c r="P26" s="13">
        <v>2.8</v>
      </c>
      <c r="Q26" s="13" t="s">
        <v>53</v>
      </c>
      <c r="R26" s="13">
        <v>2025</v>
      </c>
      <c r="S26" s="15" t="str">
        <f t="shared" si="0"/>
        <v>Low Profit</v>
      </c>
      <c r="T26" s="15" t="str">
        <f t="shared" si="1"/>
        <v>Low Sales</v>
      </c>
      <c r="U26" s="15" t="str">
        <f t="shared" si="2"/>
        <v>Needs Improvement</v>
      </c>
      <c r="V26" s="15" t="str">
        <f t="shared" si="3"/>
        <v>Normal Discount</v>
      </c>
      <c r="W26" s="15">
        <f>VLOOKUP(D26,Lookup_Table!$A:$C,2,FALSE)</f>
        <v>0.15</v>
      </c>
      <c r="X26" s="15">
        <f t="shared" si="4"/>
        <v>0.161293179805137</v>
      </c>
      <c r="Y26" s="15" t="str">
        <f>VLOOKUP(D26,Lookup_Table!A:C,3,0)</f>
        <v>Priya</v>
      </c>
      <c r="Z26" s="15" t="str">
        <f t="shared" si="5"/>
        <v>Achived</v>
      </c>
    </row>
    <row r="27" spans="1:26">
      <c r="A27" s="13" t="s">
        <v>108</v>
      </c>
      <c r="B27" s="14">
        <v>45930</v>
      </c>
      <c r="C27" s="13" t="s">
        <v>55</v>
      </c>
      <c r="D27" s="13" t="s">
        <v>37</v>
      </c>
      <c r="E27" s="13" t="s">
        <v>109</v>
      </c>
      <c r="F27" s="13" t="s">
        <v>82</v>
      </c>
      <c r="G27" s="13" t="s">
        <v>83</v>
      </c>
      <c r="H27" s="13" t="s">
        <v>77</v>
      </c>
      <c r="I27" s="13" t="s">
        <v>46</v>
      </c>
      <c r="J27" s="13">
        <v>2</v>
      </c>
      <c r="K27" s="13">
        <v>245.89</v>
      </c>
      <c r="L27" s="13">
        <v>0.05</v>
      </c>
      <c r="M27" s="13">
        <v>467.19</v>
      </c>
      <c r="N27" s="13">
        <v>391.7</v>
      </c>
      <c r="O27" s="13">
        <v>75.49</v>
      </c>
      <c r="P27" s="13">
        <v>3.8</v>
      </c>
      <c r="Q27" s="13" t="s">
        <v>53</v>
      </c>
      <c r="R27" s="13">
        <v>2025</v>
      </c>
      <c r="S27" s="15" t="str">
        <f t="shared" si="0"/>
        <v>Low Profit</v>
      </c>
      <c r="T27" s="15" t="str">
        <f t="shared" si="1"/>
        <v>Low Sales</v>
      </c>
      <c r="U27" s="15" t="str">
        <f t="shared" si="2"/>
        <v>Needs Improvement</v>
      </c>
      <c r="V27" s="15" t="str">
        <f t="shared" si="3"/>
        <v>Normal Discount</v>
      </c>
      <c r="W27" s="15">
        <f>VLOOKUP(D27,Lookup_Table!$A:$C,2,FALSE)</f>
        <v>0.16</v>
      </c>
      <c r="X27" s="15">
        <f t="shared" si="4"/>
        <v>0.161583081829662</v>
      </c>
      <c r="Y27" s="15" t="str">
        <f>VLOOKUP(D27,Lookup_Table!A:C,3,0)</f>
        <v>Vikram</v>
      </c>
      <c r="Z27" s="15" t="str">
        <f t="shared" si="5"/>
        <v>Achived</v>
      </c>
    </row>
    <row r="28" spans="1:26">
      <c r="A28" s="13" t="s">
        <v>110</v>
      </c>
      <c r="B28" s="14">
        <v>45663</v>
      </c>
      <c r="C28" s="13" t="s">
        <v>55</v>
      </c>
      <c r="D28" s="13" t="s">
        <v>80</v>
      </c>
      <c r="E28" s="13" t="s">
        <v>101</v>
      </c>
      <c r="F28" s="13" t="s">
        <v>111</v>
      </c>
      <c r="G28" s="13" t="s">
        <v>76</v>
      </c>
      <c r="H28" s="13" t="s">
        <v>77</v>
      </c>
      <c r="I28" s="13" t="s">
        <v>96</v>
      </c>
      <c r="J28" s="13">
        <v>5</v>
      </c>
      <c r="K28" s="13">
        <v>43.97</v>
      </c>
      <c r="L28" s="13">
        <v>0.15</v>
      </c>
      <c r="M28" s="13">
        <v>186.87</v>
      </c>
      <c r="N28" s="13">
        <v>156.57</v>
      </c>
      <c r="O28" s="13">
        <v>30.3</v>
      </c>
      <c r="P28" s="13">
        <v>4.5</v>
      </c>
      <c r="Q28" s="13" t="s">
        <v>64</v>
      </c>
      <c r="R28" s="13">
        <v>2025</v>
      </c>
      <c r="S28" s="15" t="str">
        <f t="shared" si="0"/>
        <v>Low Profit</v>
      </c>
      <c r="T28" s="15" t="str">
        <f t="shared" si="1"/>
        <v>Low Sales</v>
      </c>
      <c r="U28" s="15" t="str">
        <f t="shared" si="2"/>
        <v>Good</v>
      </c>
      <c r="V28" s="15" t="str">
        <f t="shared" si="3"/>
        <v>High Discount</v>
      </c>
      <c r="W28" s="15">
        <f>VLOOKUP(D28,Lookup_Table!$A:$C,2,FALSE)</f>
        <v>0.12</v>
      </c>
      <c r="X28" s="15">
        <f t="shared" si="4"/>
        <v>0.162144806550008</v>
      </c>
      <c r="Y28" s="15" t="str">
        <f>VLOOKUP(D28,Lookup_Table!A:C,3,0)</f>
        <v>Rahul</v>
      </c>
      <c r="Z28" s="15" t="str">
        <f t="shared" si="5"/>
        <v>Achived</v>
      </c>
    </row>
    <row r="29" spans="1:26">
      <c r="A29" s="13" t="s">
        <v>112</v>
      </c>
      <c r="B29" s="14">
        <v>45773</v>
      </c>
      <c r="C29" s="13" t="s">
        <v>27</v>
      </c>
      <c r="D29" s="13" t="s">
        <v>80</v>
      </c>
      <c r="E29" s="13" t="s">
        <v>101</v>
      </c>
      <c r="F29" s="13" t="s">
        <v>39</v>
      </c>
      <c r="G29" s="13" t="s">
        <v>40</v>
      </c>
      <c r="H29" s="13" t="s">
        <v>41</v>
      </c>
      <c r="I29" s="13" t="s">
        <v>33</v>
      </c>
      <c r="J29" s="13">
        <v>4</v>
      </c>
      <c r="K29" s="13">
        <v>43.86</v>
      </c>
      <c r="L29" s="13">
        <v>0.05</v>
      </c>
      <c r="M29" s="13">
        <v>166.67</v>
      </c>
      <c r="N29" s="13">
        <v>139.62</v>
      </c>
      <c r="O29" s="13">
        <v>27.05</v>
      </c>
      <c r="P29" s="13">
        <v>3.5</v>
      </c>
      <c r="Q29" s="13" t="s">
        <v>84</v>
      </c>
      <c r="R29" s="13">
        <v>2025</v>
      </c>
      <c r="S29" s="15" t="str">
        <f t="shared" si="0"/>
        <v>Low Profit</v>
      </c>
      <c r="T29" s="15" t="str">
        <f t="shared" si="1"/>
        <v>Low Sales</v>
      </c>
      <c r="U29" s="15" t="str">
        <f t="shared" si="2"/>
        <v>Needs Improvement</v>
      </c>
      <c r="V29" s="15" t="str">
        <f t="shared" si="3"/>
        <v>Normal Discount</v>
      </c>
      <c r="W29" s="15">
        <f>VLOOKUP(D29,Lookup_Table!$A:$C,2,FALSE)</f>
        <v>0.12</v>
      </c>
      <c r="X29" s="15">
        <f t="shared" si="4"/>
        <v>0.162296754064919</v>
      </c>
      <c r="Y29" s="15" t="str">
        <f>VLOOKUP(D29,Lookup_Table!A:C,3,0)</f>
        <v>Rahul</v>
      </c>
      <c r="Z29" s="15" t="str">
        <f t="shared" si="5"/>
        <v>Achived</v>
      </c>
    </row>
    <row r="30" spans="1:26">
      <c r="A30" s="13" t="s">
        <v>113</v>
      </c>
      <c r="B30" s="14">
        <v>45806</v>
      </c>
      <c r="C30" s="13" t="s">
        <v>27</v>
      </c>
      <c r="D30" s="13" t="s">
        <v>60</v>
      </c>
      <c r="E30" s="13" t="s">
        <v>61</v>
      </c>
      <c r="F30" s="13" t="s">
        <v>111</v>
      </c>
      <c r="G30" s="13" t="s">
        <v>76</v>
      </c>
      <c r="H30" s="13" t="s">
        <v>77</v>
      </c>
      <c r="I30" s="13" t="s">
        <v>96</v>
      </c>
      <c r="J30" s="13">
        <v>6</v>
      </c>
      <c r="K30" s="13">
        <v>194.4</v>
      </c>
      <c r="L30" s="13">
        <v>0.15</v>
      </c>
      <c r="M30" s="13">
        <v>991.44</v>
      </c>
      <c r="N30" s="13">
        <v>829.63</v>
      </c>
      <c r="O30" s="13">
        <v>161.81</v>
      </c>
      <c r="P30" s="13">
        <v>2.6</v>
      </c>
      <c r="Q30" s="13" t="s">
        <v>42</v>
      </c>
      <c r="R30" s="13">
        <v>2025</v>
      </c>
      <c r="S30" s="15" t="str">
        <f t="shared" si="0"/>
        <v>Low Profit</v>
      </c>
      <c r="T30" s="15" t="str">
        <f t="shared" si="1"/>
        <v>Low Sales</v>
      </c>
      <c r="U30" s="15" t="str">
        <f t="shared" si="2"/>
        <v>Needs Improvement</v>
      </c>
      <c r="V30" s="15" t="str">
        <f t="shared" si="3"/>
        <v>High Discount</v>
      </c>
      <c r="W30" s="15">
        <f>VLOOKUP(D30,Lookup_Table!$A:$C,2,FALSE)</f>
        <v>0.15</v>
      </c>
      <c r="X30" s="15">
        <f t="shared" si="4"/>
        <v>0.163207052368272</v>
      </c>
      <c r="Y30" s="15" t="str">
        <f>VLOOKUP(D30,Lookup_Table!A:C,3,0)</f>
        <v>Priya</v>
      </c>
      <c r="Z30" s="15" t="str">
        <f t="shared" si="5"/>
        <v>Achived</v>
      </c>
    </row>
    <row r="31" spans="1:26">
      <c r="A31" s="13" t="s">
        <v>114</v>
      </c>
      <c r="B31" s="14">
        <v>45955</v>
      </c>
      <c r="C31" s="13" t="s">
        <v>36</v>
      </c>
      <c r="D31" s="13" t="s">
        <v>80</v>
      </c>
      <c r="E31" s="13" t="s">
        <v>115</v>
      </c>
      <c r="F31" s="13" t="s">
        <v>116</v>
      </c>
      <c r="G31" s="13" t="s">
        <v>117</v>
      </c>
      <c r="H31" s="13" t="s">
        <v>32</v>
      </c>
      <c r="I31" s="13" t="s">
        <v>33</v>
      </c>
      <c r="J31" s="13">
        <v>5</v>
      </c>
      <c r="K31" s="13">
        <v>55.73</v>
      </c>
      <c r="L31" s="13">
        <v>0.05</v>
      </c>
      <c r="M31" s="13">
        <v>264.72</v>
      </c>
      <c r="N31" s="13">
        <v>221.37</v>
      </c>
      <c r="O31" s="13">
        <v>43.35</v>
      </c>
      <c r="P31" s="13">
        <v>4.6</v>
      </c>
      <c r="Q31" s="13" t="s">
        <v>87</v>
      </c>
      <c r="R31" s="13">
        <v>2025</v>
      </c>
      <c r="S31" s="15" t="str">
        <f t="shared" si="0"/>
        <v>Low Profit</v>
      </c>
      <c r="T31" s="15" t="str">
        <f t="shared" si="1"/>
        <v>Low Sales</v>
      </c>
      <c r="U31" s="15" t="str">
        <f t="shared" si="2"/>
        <v>Good</v>
      </c>
      <c r="V31" s="15" t="str">
        <f t="shared" si="3"/>
        <v>Normal Discount</v>
      </c>
      <c r="W31" s="15">
        <f>VLOOKUP(D31,Lookup_Table!$A:$C,2,FALSE)</f>
        <v>0.12</v>
      </c>
      <c r="X31" s="15">
        <f t="shared" si="4"/>
        <v>0.163757932910245</v>
      </c>
      <c r="Y31" s="15" t="str">
        <f>VLOOKUP(D31,Lookup_Table!A:C,3,0)</f>
        <v>Rahul</v>
      </c>
      <c r="Z31" s="15" t="str">
        <f t="shared" si="5"/>
        <v>Achived</v>
      </c>
    </row>
    <row r="32" spans="1:26">
      <c r="A32" s="13" t="s">
        <v>118</v>
      </c>
      <c r="B32" s="14">
        <v>45994</v>
      </c>
      <c r="C32" s="13" t="s">
        <v>27</v>
      </c>
      <c r="D32" s="13" t="s">
        <v>44</v>
      </c>
      <c r="E32" s="13" t="s">
        <v>104</v>
      </c>
      <c r="F32" s="13" t="s">
        <v>111</v>
      </c>
      <c r="G32" s="13" t="s">
        <v>76</v>
      </c>
      <c r="H32" s="13" t="s">
        <v>77</v>
      </c>
      <c r="I32" s="13" t="s">
        <v>33</v>
      </c>
      <c r="J32" s="13">
        <v>7</v>
      </c>
      <c r="K32" s="13">
        <v>816.36</v>
      </c>
      <c r="L32" s="13">
        <v>0.05</v>
      </c>
      <c r="M32" s="13">
        <v>5428.79</v>
      </c>
      <c r="N32" s="13">
        <v>4539.07</v>
      </c>
      <c r="O32" s="13">
        <v>889.72</v>
      </c>
      <c r="P32" s="13">
        <v>2.8</v>
      </c>
      <c r="Q32" s="13" t="s">
        <v>34</v>
      </c>
      <c r="R32" s="13">
        <v>2025</v>
      </c>
      <c r="S32" s="15" t="str">
        <f t="shared" si="0"/>
        <v>High Profit</v>
      </c>
      <c r="T32" s="15" t="str">
        <f t="shared" si="1"/>
        <v>High Sales</v>
      </c>
      <c r="U32" s="15" t="str">
        <f t="shared" si="2"/>
        <v>Needs Improvement</v>
      </c>
      <c r="V32" s="15" t="str">
        <f t="shared" si="3"/>
        <v>Normal Discount</v>
      </c>
      <c r="W32" s="15">
        <f>VLOOKUP(D32,Lookup_Table!$A:$C,2,FALSE)</f>
        <v>0.18</v>
      </c>
      <c r="X32" s="15">
        <f t="shared" si="4"/>
        <v>0.163889190777319</v>
      </c>
      <c r="Y32" s="15" t="str">
        <f>VLOOKUP(D32,Lookup_Table!A:C,3,0)</f>
        <v>Amit</v>
      </c>
      <c r="Z32" s="15" t="str">
        <f t="shared" si="5"/>
        <v>Not Achieved</v>
      </c>
    </row>
    <row r="33" spans="1:26">
      <c r="A33" s="13" t="s">
        <v>119</v>
      </c>
      <c r="B33" s="14">
        <v>45927</v>
      </c>
      <c r="C33" s="13" t="s">
        <v>55</v>
      </c>
      <c r="D33" s="13" t="s">
        <v>37</v>
      </c>
      <c r="E33" s="13" t="s">
        <v>93</v>
      </c>
      <c r="F33" s="13" t="s">
        <v>116</v>
      </c>
      <c r="G33" s="13" t="s">
        <v>117</v>
      </c>
      <c r="H33" s="13" t="s">
        <v>32</v>
      </c>
      <c r="I33" s="13" t="s">
        <v>46</v>
      </c>
      <c r="J33" s="13">
        <v>2</v>
      </c>
      <c r="K33" s="13">
        <v>243.85</v>
      </c>
      <c r="L33" s="13">
        <v>0</v>
      </c>
      <c r="M33" s="13">
        <v>487.7</v>
      </c>
      <c r="N33" s="13">
        <v>407.07</v>
      </c>
      <c r="O33" s="13">
        <v>80.63</v>
      </c>
      <c r="P33" s="13">
        <v>3.7</v>
      </c>
      <c r="Q33" s="13" t="s">
        <v>53</v>
      </c>
      <c r="R33" s="13">
        <v>2025</v>
      </c>
      <c r="S33" s="15" t="str">
        <f t="shared" si="0"/>
        <v>Low Profit</v>
      </c>
      <c r="T33" s="15" t="str">
        <f t="shared" si="1"/>
        <v>Low Sales</v>
      </c>
      <c r="U33" s="15" t="str">
        <f t="shared" si="2"/>
        <v>Needs Improvement</v>
      </c>
      <c r="V33" s="15" t="str">
        <f t="shared" si="3"/>
        <v>Normal Discount</v>
      </c>
      <c r="W33" s="15">
        <f>VLOOKUP(D33,Lookup_Table!$A:$C,2,FALSE)</f>
        <v>0.16</v>
      </c>
      <c r="X33" s="15">
        <f t="shared" si="4"/>
        <v>0.165327045314743</v>
      </c>
      <c r="Y33" s="15" t="str">
        <f>VLOOKUP(D33,Lookup_Table!A:C,3,0)</f>
        <v>Vikram</v>
      </c>
      <c r="Z33" s="15" t="str">
        <f t="shared" si="5"/>
        <v>Achived</v>
      </c>
    </row>
    <row r="34" spans="1:26">
      <c r="A34" s="13" t="s">
        <v>120</v>
      </c>
      <c r="B34" s="14">
        <v>45750</v>
      </c>
      <c r="C34" s="13" t="s">
        <v>55</v>
      </c>
      <c r="D34" s="13" t="s">
        <v>37</v>
      </c>
      <c r="E34" s="13" t="s">
        <v>38</v>
      </c>
      <c r="F34" s="13" t="s">
        <v>116</v>
      </c>
      <c r="G34" s="13" t="s">
        <v>117</v>
      </c>
      <c r="H34" s="13" t="s">
        <v>32</v>
      </c>
      <c r="I34" s="13" t="s">
        <v>33</v>
      </c>
      <c r="J34" s="13">
        <v>4</v>
      </c>
      <c r="K34" s="13">
        <v>425.84</v>
      </c>
      <c r="L34" s="13">
        <v>0.2</v>
      </c>
      <c r="M34" s="13">
        <v>1362.69</v>
      </c>
      <c r="N34" s="13">
        <v>1137.2</v>
      </c>
      <c r="O34" s="13">
        <v>225.49</v>
      </c>
      <c r="P34" s="13">
        <v>2.7</v>
      </c>
      <c r="Q34" s="13" t="s">
        <v>84</v>
      </c>
      <c r="R34" s="13">
        <v>2025</v>
      </c>
      <c r="S34" s="15" t="str">
        <f t="shared" si="0"/>
        <v>Low Profit</v>
      </c>
      <c r="T34" s="15" t="str">
        <f t="shared" si="1"/>
        <v>High Sales</v>
      </c>
      <c r="U34" s="15" t="str">
        <f t="shared" si="2"/>
        <v>Needs Improvement</v>
      </c>
      <c r="V34" s="15" t="str">
        <f t="shared" si="3"/>
        <v>High Discount</v>
      </c>
      <c r="W34" s="15">
        <f>VLOOKUP(D34,Lookup_Table!$A:$C,2,FALSE)</f>
        <v>0.16</v>
      </c>
      <c r="X34" s="15">
        <f t="shared" si="4"/>
        <v>0.165474172408985</v>
      </c>
      <c r="Y34" s="15" t="str">
        <f>VLOOKUP(D34,Lookup_Table!A:C,3,0)</f>
        <v>Vikram</v>
      </c>
      <c r="Z34" s="15" t="str">
        <f t="shared" si="5"/>
        <v>Achived</v>
      </c>
    </row>
    <row r="35" spans="1:26">
      <c r="A35" s="13" t="s">
        <v>121</v>
      </c>
      <c r="B35" s="14">
        <v>45831</v>
      </c>
      <c r="C35" s="13" t="s">
        <v>55</v>
      </c>
      <c r="D35" s="13" t="s">
        <v>28</v>
      </c>
      <c r="E35" s="13" t="s">
        <v>73</v>
      </c>
      <c r="F35" s="13" t="s">
        <v>30</v>
      </c>
      <c r="G35" s="13" t="s">
        <v>31</v>
      </c>
      <c r="H35" s="13" t="s">
        <v>32</v>
      </c>
      <c r="I35" s="13" t="s">
        <v>52</v>
      </c>
      <c r="J35" s="13">
        <v>7</v>
      </c>
      <c r="K35" s="13">
        <v>80.64</v>
      </c>
      <c r="L35" s="13">
        <v>0.05</v>
      </c>
      <c r="M35" s="13">
        <v>536.26</v>
      </c>
      <c r="N35" s="13">
        <v>447.39</v>
      </c>
      <c r="O35" s="13">
        <v>88.87</v>
      </c>
      <c r="P35" s="13">
        <v>3.2</v>
      </c>
      <c r="Q35" s="13" t="s">
        <v>58</v>
      </c>
      <c r="R35" s="13">
        <v>2025</v>
      </c>
      <c r="S35" s="15" t="str">
        <f t="shared" si="0"/>
        <v>Low Profit</v>
      </c>
      <c r="T35" s="15" t="str">
        <f t="shared" si="1"/>
        <v>Low Sales</v>
      </c>
      <c r="U35" s="15" t="str">
        <f t="shared" si="2"/>
        <v>Needs Improvement</v>
      </c>
      <c r="V35" s="15" t="str">
        <f t="shared" si="3"/>
        <v>Normal Discount</v>
      </c>
      <c r="W35" s="15">
        <f>VLOOKUP(D35,Lookup_Table!$A:$C,2,FALSE)</f>
        <v>0.2</v>
      </c>
      <c r="X35" s="15">
        <f t="shared" si="4"/>
        <v>0.165721851340768</v>
      </c>
      <c r="Y35" s="15" t="str">
        <f>VLOOKUP(D35,Lookup_Table!A:C,3,0)</f>
        <v>Sneha</v>
      </c>
      <c r="Z35" s="15" t="str">
        <f t="shared" si="5"/>
        <v>Not Achieved</v>
      </c>
    </row>
    <row r="36" spans="1:26">
      <c r="A36" s="13" t="s">
        <v>122</v>
      </c>
      <c r="B36" s="14">
        <v>45994</v>
      </c>
      <c r="C36" s="13" t="s">
        <v>27</v>
      </c>
      <c r="D36" s="13" t="s">
        <v>44</v>
      </c>
      <c r="E36" s="13" t="s">
        <v>104</v>
      </c>
      <c r="F36" s="13" t="s">
        <v>30</v>
      </c>
      <c r="G36" s="13" t="s">
        <v>31</v>
      </c>
      <c r="H36" s="13" t="s">
        <v>32</v>
      </c>
      <c r="I36" s="13" t="s">
        <v>96</v>
      </c>
      <c r="J36" s="13">
        <v>4</v>
      </c>
      <c r="K36" s="13">
        <v>1271.17</v>
      </c>
      <c r="L36" s="13">
        <v>0.15</v>
      </c>
      <c r="M36" s="13">
        <v>4321.98</v>
      </c>
      <c r="N36" s="13">
        <v>3605.52</v>
      </c>
      <c r="O36" s="13">
        <v>716.46</v>
      </c>
      <c r="P36" s="13">
        <v>4</v>
      </c>
      <c r="Q36" s="13" t="s">
        <v>34</v>
      </c>
      <c r="R36" s="13">
        <v>2025</v>
      </c>
      <c r="S36" s="15" t="str">
        <f t="shared" si="0"/>
        <v>High Profit</v>
      </c>
      <c r="T36" s="15" t="str">
        <f t="shared" si="1"/>
        <v>High Sales</v>
      </c>
      <c r="U36" s="15" t="str">
        <f t="shared" si="2"/>
        <v>Good</v>
      </c>
      <c r="V36" s="15" t="str">
        <f t="shared" si="3"/>
        <v>High Discount</v>
      </c>
      <c r="W36" s="15">
        <f>VLOOKUP(D36,Lookup_Table!$A:$C,2,FALSE)</f>
        <v>0.18</v>
      </c>
      <c r="X36" s="15">
        <f t="shared" si="4"/>
        <v>0.16577124373551</v>
      </c>
      <c r="Y36" s="15" t="str">
        <f>VLOOKUP(D36,Lookup_Table!A:C,3,0)</f>
        <v>Amit</v>
      </c>
      <c r="Z36" s="15" t="str">
        <f t="shared" si="5"/>
        <v>Not Achieved</v>
      </c>
    </row>
    <row r="37" spans="1:26">
      <c r="A37" s="13" t="s">
        <v>123</v>
      </c>
      <c r="B37" s="14">
        <v>45800</v>
      </c>
      <c r="C37" s="13" t="s">
        <v>55</v>
      </c>
      <c r="D37" s="13" t="s">
        <v>28</v>
      </c>
      <c r="E37" s="13" t="s">
        <v>90</v>
      </c>
      <c r="F37" s="13" t="s">
        <v>82</v>
      </c>
      <c r="G37" s="13" t="s">
        <v>83</v>
      </c>
      <c r="H37" s="13" t="s">
        <v>77</v>
      </c>
      <c r="I37" s="13" t="s">
        <v>33</v>
      </c>
      <c r="J37" s="13">
        <v>7</v>
      </c>
      <c r="K37" s="13">
        <v>139.05</v>
      </c>
      <c r="L37" s="13">
        <v>0</v>
      </c>
      <c r="M37" s="13">
        <v>973.35</v>
      </c>
      <c r="N37" s="13">
        <v>811.96</v>
      </c>
      <c r="O37" s="13">
        <v>161.39</v>
      </c>
      <c r="P37" s="13">
        <v>2.7</v>
      </c>
      <c r="Q37" s="13" t="s">
        <v>42</v>
      </c>
      <c r="R37" s="13">
        <v>2025</v>
      </c>
      <c r="S37" s="15" t="str">
        <f t="shared" si="0"/>
        <v>Low Profit</v>
      </c>
      <c r="T37" s="15" t="str">
        <f t="shared" si="1"/>
        <v>Low Sales</v>
      </c>
      <c r="U37" s="15" t="str">
        <f t="shared" si="2"/>
        <v>Needs Improvement</v>
      </c>
      <c r="V37" s="15" t="str">
        <f t="shared" si="3"/>
        <v>Normal Discount</v>
      </c>
      <c r="W37" s="15">
        <f>VLOOKUP(D37,Lookup_Table!$A:$C,2,FALSE)</f>
        <v>0.2</v>
      </c>
      <c r="X37" s="15">
        <f t="shared" si="4"/>
        <v>0.165808804643756</v>
      </c>
      <c r="Y37" s="15" t="str">
        <f>VLOOKUP(D37,Lookup_Table!A:C,3,0)</f>
        <v>Sneha</v>
      </c>
      <c r="Z37" s="15" t="str">
        <f t="shared" si="5"/>
        <v>Not Achieved</v>
      </c>
    </row>
    <row r="38" spans="1:26">
      <c r="A38" s="13" t="s">
        <v>124</v>
      </c>
      <c r="B38" s="14">
        <v>45978</v>
      </c>
      <c r="C38" s="13" t="s">
        <v>55</v>
      </c>
      <c r="D38" s="13" t="s">
        <v>60</v>
      </c>
      <c r="E38" s="13" t="s">
        <v>66</v>
      </c>
      <c r="F38" s="13" t="s">
        <v>30</v>
      </c>
      <c r="G38" s="13" t="s">
        <v>31</v>
      </c>
      <c r="H38" s="13" t="s">
        <v>32</v>
      </c>
      <c r="I38" s="13" t="s">
        <v>33</v>
      </c>
      <c r="J38" s="13">
        <v>4</v>
      </c>
      <c r="K38" s="13">
        <v>727.89</v>
      </c>
      <c r="L38" s="13">
        <v>0</v>
      </c>
      <c r="M38" s="13">
        <v>2911.56</v>
      </c>
      <c r="N38" s="13">
        <v>2428.45</v>
      </c>
      <c r="O38" s="13">
        <v>483.11</v>
      </c>
      <c r="P38" s="13">
        <v>4.1</v>
      </c>
      <c r="Q38" s="13" t="s">
        <v>71</v>
      </c>
      <c r="R38" s="13">
        <v>2025</v>
      </c>
      <c r="S38" s="15" t="str">
        <f t="shared" si="0"/>
        <v>Low Profit</v>
      </c>
      <c r="T38" s="15" t="str">
        <f t="shared" si="1"/>
        <v>High Sales</v>
      </c>
      <c r="U38" s="15" t="str">
        <f t="shared" si="2"/>
        <v>Good</v>
      </c>
      <c r="V38" s="15" t="str">
        <f t="shared" si="3"/>
        <v>Normal Discount</v>
      </c>
      <c r="W38" s="15">
        <f>VLOOKUP(D38,Lookup_Table!$A:$C,2,FALSE)</f>
        <v>0.15</v>
      </c>
      <c r="X38" s="15">
        <f t="shared" si="4"/>
        <v>0.165928230914012</v>
      </c>
      <c r="Y38" s="15" t="str">
        <f>VLOOKUP(D38,Lookup_Table!A:C,3,0)</f>
        <v>Priya</v>
      </c>
      <c r="Z38" s="15" t="str">
        <f t="shared" si="5"/>
        <v>Achived</v>
      </c>
    </row>
    <row r="39" spans="1:26">
      <c r="A39" s="13" t="s">
        <v>125</v>
      </c>
      <c r="B39" s="14">
        <v>45704</v>
      </c>
      <c r="C39" s="13" t="s">
        <v>55</v>
      </c>
      <c r="D39" s="13" t="s">
        <v>80</v>
      </c>
      <c r="E39" s="13" t="s">
        <v>81</v>
      </c>
      <c r="F39" s="13" t="s">
        <v>30</v>
      </c>
      <c r="G39" s="13" t="s">
        <v>31</v>
      </c>
      <c r="H39" s="13" t="s">
        <v>32</v>
      </c>
      <c r="I39" s="13" t="s">
        <v>52</v>
      </c>
      <c r="J39" s="13">
        <v>4</v>
      </c>
      <c r="K39" s="13">
        <v>64.55</v>
      </c>
      <c r="L39" s="13">
        <v>0.15</v>
      </c>
      <c r="M39" s="13">
        <v>219.47</v>
      </c>
      <c r="N39" s="13">
        <v>183.02</v>
      </c>
      <c r="O39" s="13">
        <v>36.45</v>
      </c>
      <c r="P39" s="13">
        <v>4.3</v>
      </c>
      <c r="Q39" s="13" t="s">
        <v>105</v>
      </c>
      <c r="R39" s="13">
        <v>2025</v>
      </c>
      <c r="S39" s="15" t="str">
        <f t="shared" si="0"/>
        <v>Low Profit</v>
      </c>
      <c r="T39" s="15" t="str">
        <f t="shared" si="1"/>
        <v>Low Sales</v>
      </c>
      <c r="U39" s="15" t="str">
        <f t="shared" si="2"/>
        <v>Good</v>
      </c>
      <c r="V39" s="15" t="str">
        <f t="shared" si="3"/>
        <v>High Discount</v>
      </c>
      <c r="W39" s="15">
        <f>VLOOKUP(D39,Lookup_Table!$A:$C,2,FALSE)</f>
        <v>0.12</v>
      </c>
      <c r="X39" s="15">
        <f t="shared" si="4"/>
        <v>0.166081924636625</v>
      </c>
      <c r="Y39" s="15" t="str">
        <f>VLOOKUP(D39,Lookup_Table!A:C,3,0)</f>
        <v>Rahul</v>
      </c>
      <c r="Z39" s="15" t="str">
        <f t="shared" si="5"/>
        <v>Achived</v>
      </c>
    </row>
    <row r="40" spans="1:26">
      <c r="A40" s="13" t="s">
        <v>126</v>
      </c>
      <c r="B40" s="14">
        <v>45930</v>
      </c>
      <c r="C40" s="13" t="s">
        <v>55</v>
      </c>
      <c r="D40" s="13" t="s">
        <v>60</v>
      </c>
      <c r="E40" s="13" t="s">
        <v>127</v>
      </c>
      <c r="F40" s="13" t="s">
        <v>62</v>
      </c>
      <c r="G40" s="13" t="s">
        <v>63</v>
      </c>
      <c r="H40" s="13" t="s">
        <v>32</v>
      </c>
      <c r="I40" s="13" t="s">
        <v>52</v>
      </c>
      <c r="J40" s="13">
        <v>6</v>
      </c>
      <c r="K40" s="13">
        <v>662.33</v>
      </c>
      <c r="L40" s="13">
        <v>0.15</v>
      </c>
      <c r="M40" s="13">
        <v>3377.88</v>
      </c>
      <c r="N40" s="13">
        <v>2816.55</v>
      </c>
      <c r="O40" s="13">
        <v>561.33</v>
      </c>
      <c r="P40" s="13">
        <v>4.7</v>
      </c>
      <c r="Q40" s="13" t="s">
        <v>53</v>
      </c>
      <c r="R40" s="13">
        <v>2025</v>
      </c>
      <c r="S40" s="15" t="str">
        <f t="shared" si="0"/>
        <v>High Profit</v>
      </c>
      <c r="T40" s="15" t="str">
        <f t="shared" si="1"/>
        <v>High Sales</v>
      </c>
      <c r="U40" s="15" t="str">
        <f t="shared" si="2"/>
        <v>Good</v>
      </c>
      <c r="V40" s="15" t="str">
        <f t="shared" si="3"/>
        <v>High Discount</v>
      </c>
      <c r="W40" s="15">
        <f>VLOOKUP(D40,Lookup_Table!$A:$C,2,FALSE)</f>
        <v>0.15</v>
      </c>
      <c r="X40" s="15">
        <f t="shared" si="4"/>
        <v>0.166178194607268</v>
      </c>
      <c r="Y40" s="15" t="str">
        <f>VLOOKUP(D40,Lookup_Table!A:C,3,0)</f>
        <v>Priya</v>
      </c>
      <c r="Z40" s="15" t="str">
        <f t="shared" si="5"/>
        <v>Achived</v>
      </c>
    </row>
    <row r="41" spans="1:26">
      <c r="A41" s="13" t="s">
        <v>128</v>
      </c>
      <c r="B41" s="14">
        <v>45894</v>
      </c>
      <c r="C41" s="13" t="s">
        <v>36</v>
      </c>
      <c r="D41" s="13" t="s">
        <v>28</v>
      </c>
      <c r="E41" s="13" t="s">
        <v>90</v>
      </c>
      <c r="F41" s="13" t="s">
        <v>116</v>
      </c>
      <c r="G41" s="13" t="s">
        <v>117</v>
      </c>
      <c r="H41" s="13" t="s">
        <v>32</v>
      </c>
      <c r="I41" s="13" t="s">
        <v>96</v>
      </c>
      <c r="J41" s="13">
        <v>3</v>
      </c>
      <c r="K41" s="13">
        <v>121.52</v>
      </c>
      <c r="L41" s="13">
        <v>0.1</v>
      </c>
      <c r="M41" s="13">
        <v>328.1</v>
      </c>
      <c r="N41" s="13">
        <v>273.55</v>
      </c>
      <c r="O41" s="13">
        <v>54.55</v>
      </c>
      <c r="P41" s="13">
        <v>2.8</v>
      </c>
      <c r="Q41" s="13" t="s">
        <v>47</v>
      </c>
      <c r="R41" s="13">
        <v>2025</v>
      </c>
      <c r="S41" s="15" t="str">
        <f t="shared" si="0"/>
        <v>Low Profit</v>
      </c>
      <c r="T41" s="15" t="str">
        <f t="shared" si="1"/>
        <v>Low Sales</v>
      </c>
      <c r="U41" s="15" t="str">
        <f t="shared" si="2"/>
        <v>Needs Improvement</v>
      </c>
      <c r="V41" s="15" t="str">
        <f t="shared" si="3"/>
        <v>Normal Discount</v>
      </c>
      <c r="W41" s="15">
        <f>VLOOKUP(D41,Lookup_Table!$A:$C,2,FALSE)</f>
        <v>0.2</v>
      </c>
      <c r="X41" s="15">
        <f t="shared" si="4"/>
        <v>0.166260286498019</v>
      </c>
      <c r="Y41" s="15" t="str">
        <f>VLOOKUP(D41,Lookup_Table!A:C,3,0)</f>
        <v>Sneha</v>
      </c>
      <c r="Z41" s="15" t="str">
        <f t="shared" si="5"/>
        <v>Not Achieved</v>
      </c>
    </row>
    <row r="42" spans="1:26">
      <c r="A42" s="13" t="s">
        <v>129</v>
      </c>
      <c r="B42" s="14">
        <v>45866</v>
      </c>
      <c r="C42" s="13" t="s">
        <v>36</v>
      </c>
      <c r="D42" s="13" t="s">
        <v>60</v>
      </c>
      <c r="E42" s="13" t="s">
        <v>127</v>
      </c>
      <c r="F42" s="13" t="s">
        <v>67</v>
      </c>
      <c r="G42" s="13" t="s">
        <v>68</v>
      </c>
      <c r="H42" s="13" t="s">
        <v>69</v>
      </c>
      <c r="I42" s="13" t="s">
        <v>33</v>
      </c>
      <c r="J42" s="13">
        <v>4</v>
      </c>
      <c r="K42" s="13">
        <v>189.64</v>
      </c>
      <c r="L42" s="13">
        <v>0.1</v>
      </c>
      <c r="M42" s="13">
        <v>682.7</v>
      </c>
      <c r="N42" s="13">
        <v>569.19</v>
      </c>
      <c r="O42" s="13">
        <v>113.51</v>
      </c>
      <c r="P42" s="13">
        <v>3.8</v>
      </c>
      <c r="Q42" s="13" t="s">
        <v>56</v>
      </c>
      <c r="R42" s="13">
        <v>2025</v>
      </c>
      <c r="S42" s="15" t="str">
        <f t="shared" si="0"/>
        <v>Low Profit</v>
      </c>
      <c r="T42" s="15" t="str">
        <f t="shared" si="1"/>
        <v>Low Sales</v>
      </c>
      <c r="U42" s="15" t="str">
        <f t="shared" si="2"/>
        <v>Needs Improvement</v>
      </c>
      <c r="V42" s="15" t="str">
        <f t="shared" si="3"/>
        <v>Normal Discount</v>
      </c>
      <c r="W42" s="15">
        <f>VLOOKUP(D42,Lookup_Table!$A:$C,2,FALSE)</f>
        <v>0.15</v>
      </c>
      <c r="X42" s="15">
        <f t="shared" si="4"/>
        <v>0.166266295591036</v>
      </c>
      <c r="Y42" s="15" t="str">
        <f>VLOOKUP(D42,Lookup_Table!A:C,3,0)</f>
        <v>Priya</v>
      </c>
      <c r="Z42" s="15" t="str">
        <f t="shared" si="5"/>
        <v>Achived</v>
      </c>
    </row>
    <row r="43" spans="1:26">
      <c r="A43" s="13" t="s">
        <v>130</v>
      </c>
      <c r="B43" s="14">
        <v>45993</v>
      </c>
      <c r="C43" s="13" t="s">
        <v>36</v>
      </c>
      <c r="D43" s="13" t="s">
        <v>44</v>
      </c>
      <c r="E43" s="13" t="s">
        <v>45</v>
      </c>
      <c r="F43" s="13" t="s">
        <v>75</v>
      </c>
      <c r="G43" s="13" t="s">
        <v>76</v>
      </c>
      <c r="H43" s="13" t="s">
        <v>77</v>
      </c>
      <c r="I43" s="13" t="s">
        <v>46</v>
      </c>
      <c r="J43" s="13">
        <v>2</v>
      </c>
      <c r="K43" s="13">
        <v>1173.04</v>
      </c>
      <c r="L43" s="13">
        <v>0.05</v>
      </c>
      <c r="M43" s="13">
        <v>2228.78</v>
      </c>
      <c r="N43" s="13">
        <v>1858.14</v>
      </c>
      <c r="O43" s="13">
        <v>370.64</v>
      </c>
      <c r="P43" s="13">
        <v>4.8</v>
      </c>
      <c r="Q43" s="13" t="s">
        <v>34</v>
      </c>
      <c r="R43" s="13">
        <v>2025</v>
      </c>
      <c r="S43" s="15" t="str">
        <f t="shared" si="0"/>
        <v>Low Profit</v>
      </c>
      <c r="T43" s="15" t="str">
        <f t="shared" si="1"/>
        <v>High Sales</v>
      </c>
      <c r="U43" s="15" t="str">
        <f t="shared" si="2"/>
        <v>Good</v>
      </c>
      <c r="V43" s="15" t="str">
        <f t="shared" si="3"/>
        <v>Normal Discount</v>
      </c>
      <c r="W43" s="15">
        <f>VLOOKUP(D43,Lookup_Table!$A:$C,2,FALSE)</f>
        <v>0.18</v>
      </c>
      <c r="X43" s="15">
        <f t="shared" si="4"/>
        <v>0.166297256795197</v>
      </c>
      <c r="Y43" s="15" t="str">
        <f>VLOOKUP(D43,Lookup_Table!A:C,3,0)</f>
        <v>Amit</v>
      </c>
      <c r="Z43" s="15" t="str">
        <f t="shared" si="5"/>
        <v>Not Achieved</v>
      </c>
    </row>
    <row r="44" spans="1:26">
      <c r="A44" s="13" t="s">
        <v>131</v>
      </c>
      <c r="B44" s="14">
        <v>45837</v>
      </c>
      <c r="C44" s="13" t="s">
        <v>55</v>
      </c>
      <c r="D44" s="13" t="s">
        <v>28</v>
      </c>
      <c r="E44" s="13" t="s">
        <v>73</v>
      </c>
      <c r="F44" s="13" t="s">
        <v>111</v>
      </c>
      <c r="G44" s="13" t="s">
        <v>76</v>
      </c>
      <c r="H44" s="13" t="s">
        <v>77</v>
      </c>
      <c r="I44" s="13" t="s">
        <v>33</v>
      </c>
      <c r="J44" s="13">
        <v>5</v>
      </c>
      <c r="K44" s="13">
        <v>37.79</v>
      </c>
      <c r="L44" s="13">
        <v>0.05</v>
      </c>
      <c r="M44" s="13">
        <v>179.5</v>
      </c>
      <c r="N44" s="13">
        <v>149.62</v>
      </c>
      <c r="O44" s="13">
        <v>29.88</v>
      </c>
      <c r="P44" s="13">
        <v>3.1</v>
      </c>
      <c r="Q44" s="13" t="s">
        <v>58</v>
      </c>
      <c r="R44" s="13">
        <v>2025</v>
      </c>
      <c r="S44" s="15" t="str">
        <f t="shared" si="0"/>
        <v>Low Profit</v>
      </c>
      <c r="T44" s="15" t="str">
        <f t="shared" si="1"/>
        <v>Low Sales</v>
      </c>
      <c r="U44" s="15" t="str">
        <f t="shared" si="2"/>
        <v>Needs Improvement</v>
      </c>
      <c r="V44" s="15" t="str">
        <f t="shared" si="3"/>
        <v>Normal Discount</v>
      </c>
      <c r="W44" s="15">
        <f>VLOOKUP(D44,Lookup_Table!$A:$C,2,FALSE)</f>
        <v>0.2</v>
      </c>
      <c r="X44" s="15">
        <f t="shared" si="4"/>
        <v>0.166462395543175</v>
      </c>
      <c r="Y44" s="15" t="str">
        <f>VLOOKUP(D44,Lookup_Table!A:C,3,0)</f>
        <v>Sneha</v>
      </c>
      <c r="Z44" s="15" t="str">
        <f t="shared" si="5"/>
        <v>Not Achieved</v>
      </c>
    </row>
    <row r="45" spans="1:26">
      <c r="A45" s="13" t="s">
        <v>132</v>
      </c>
      <c r="B45" s="14">
        <v>46005</v>
      </c>
      <c r="C45" s="13" t="s">
        <v>27</v>
      </c>
      <c r="D45" s="13" t="s">
        <v>60</v>
      </c>
      <c r="E45" s="13" t="s">
        <v>127</v>
      </c>
      <c r="F45" s="13" t="s">
        <v>30</v>
      </c>
      <c r="G45" s="13" t="s">
        <v>31</v>
      </c>
      <c r="H45" s="13" t="s">
        <v>32</v>
      </c>
      <c r="I45" s="13" t="s">
        <v>46</v>
      </c>
      <c r="J45" s="13">
        <v>3</v>
      </c>
      <c r="K45" s="13">
        <v>351.58</v>
      </c>
      <c r="L45" s="13">
        <v>0.1</v>
      </c>
      <c r="M45" s="13">
        <v>949.27</v>
      </c>
      <c r="N45" s="13">
        <v>791.15</v>
      </c>
      <c r="O45" s="13">
        <v>158.12</v>
      </c>
      <c r="P45" s="13">
        <v>3.9</v>
      </c>
      <c r="Q45" s="13" t="s">
        <v>34</v>
      </c>
      <c r="R45" s="13">
        <v>2025</v>
      </c>
      <c r="S45" s="15" t="str">
        <f t="shared" si="0"/>
        <v>Low Profit</v>
      </c>
      <c r="T45" s="15" t="str">
        <f t="shared" si="1"/>
        <v>Low Sales</v>
      </c>
      <c r="U45" s="15" t="str">
        <f t="shared" si="2"/>
        <v>Needs Improvement</v>
      </c>
      <c r="V45" s="15" t="str">
        <f t="shared" si="3"/>
        <v>Normal Discount</v>
      </c>
      <c r="W45" s="15">
        <f>VLOOKUP(D45,Lookup_Table!$A:$C,2,FALSE)</f>
        <v>0.15</v>
      </c>
      <c r="X45" s="15">
        <f t="shared" si="4"/>
        <v>0.166570101235686</v>
      </c>
      <c r="Y45" s="15" t="str">
        <f>VLOOKUP(D45,Lookup_Table!A:C,3,0)</f>
        <v>Priya</v>
      </c>
      <c r="Z45" s="15" t="str">
        <f t="shared" si="5"/>
        <v>Achived</v>
      </c>
    </row>
    <row r="46" spans="1:26">
      <c r="A46" s="13" t="s">
        <v>133</v>
      </c>
      <c r="B46" s="14">
        <v>45665</v>
      </c>
      <c r="C46" s="13" t="s">
        <v>27</v>
      </c>
      <c r="D46" s="13" t="s">
        <v>37</v>
      </c>
      <c r="E46" s="13" t="s">
        <v>86</v>
      </c>
      <c r="F46" s="13" t="s">
        <v>62</v>
      </c>
      <c r="G46" s="13" t="s">
        <v>63</v>
      </c>
      <c r="H46" s="13" t="s">
        <v>32</v>
      </c>
      <c r="I46" s="13" t="s">
        <v>33</v>
      </c>
      <c r="J46" s="13">
        <v>3</v>
      </c>
      <c r="K46" s="13">
        <v>268.49</v>
      </c>
      <c r="L46" s="13">
        <v>0</v>
      </c>
      <c r="M46" s="13">
        <v>805.47</v>
      </c>
      <c r="N46" s="13">
        <v>671.14</v>
      </c>
      <c r="O46" s="13">
        <v>134.33</v>
      </c>
      <c r="P46" s="13">
        <v>4.1</v>
      </c>
      <c r="Q46" s="13" t="s">
        <v>64</v>
      </c>
      <c r="R46" s="13">
        <v>2025</v>
      </c>
      <c r="S46" s="15" t="str">
        <f t="shared" si="0"/>
        <v>Low Profit</v>
      </c>
      <c r="T46" s="15" t="str">
        <f t="shared" si="1"/>
        <v>Low Sales</v>
      </c>
      <c r="U46" s="15" t="str">
        <f t="shared" si="2"/>
        <v>Good</v>
      </c>
      <c r="V46" s="15" t="str">
        <f t="shared" si="3"/>
        <v>Normal Discount</v>
      </c>
      <c r="W46" s="15">
        <f>VLOOKUP(D46,Lookup_Table!$A:$C,2,FALSE)</f>
        <v>0.16</v>
      </c>
      <c r="X46" s="15">
        <f t="shared" si="4"/>
        <v>0.166772195115895</v>
      </c>
      <c r="Y46" s="15" t="str">
        <f>VLOOKUP(D46,Lookup_Table!A:C,3,0)</f>
        <v>Vikram</v>
      </c>
      <c r="Z46" s="15" t="str">
        <f t="shared" si="5"/>
        <v>Achived</v>
      </c>
    </row>
    <row r="47" spans="1:26">
      <c r="A47" s="13" t="s">
        <v>134</v>
      </c>
      <c r="B47" s="14">
        <v>45731</v>
      </c>
      <c r="C47" s="13" t="s">
        <v>55</v>
      </c>
      <c r="D47" s="13" t="s">
        <v>44</v>
      </c>
      <c r="E47" s="13" t="s">
        <v>45</v>
      </c>
      <c r="F47" s="13" t="s">
        <v>50</v>
      </c>
      <c r="G47" s="13" t="s">
        <v>51</v>
      </c>
      <c r="H47" s="13" t="s">
        <v>32</v>
      </c>
      <c r="I47" s="13" t="s">
        <v>96</v>
      </c>
      <c r="J47" s="13">
        <v>3</v>
      </c>
      <c r="K47" s="13">
        <v>411.67</v>
      </c>
      <c r="L47" s="13">
        <v>0</v>
      </c>
      <c r="M47" s="13">
        <v>1235.01</v>
      </c>
      <c r="N47" s="13">
        <v>1029.03</v>
      </c>
      <c r="O47" s="13">
        <v>205.98</v>
      </c>
      <c r="P47" s="13">
        <v>4.6</v>
      </c>
      <c r="Q47" s="13" t="s">
        <v>94</v>
      </c>
      <c r="R47" s="13">
        <v>2025</v>
      </c>
      <c r="S47" s="15" t="str">
        <f t="shared" si="0"/>
        <v>Low Profit</v>
      </c>
      <c r="T47" s="15" t="str">
        <f t="shared" si="1"/>
        <v>High Sales</v>
      </c>
      <c r="U47" s="15" t="str">
        <f t="shared" si="2"/>
        <v>Good</v>
      </c>
      <c r="V47" s="15" t="str">
        <f t="shared" si="3"/>
        <v>Normal Discount</v>
      </c>
      <c r="W47" s="15">
        <f>VLOOKUP(D47,Lookup_Table!$A:$C,2,FALSE)</f>
        <v>0.18</v>
      </c>
      <c r="X47" s="15">
        <f t="shared" si="4"/>
        <v>0.166784074622878</v>
      </c>
      <c r="Y47" s="15" t="str">
        <f>VLOOKUP(D47,Lookup_Table!A:C,3,0)</f>
        <v>Amit</v>
      </c>
      <c r="Z47" s="15" t="str">
        <f t="shared" si="5"/>
        <v>Not Achieved</v>
      </c>
    </row>
    <row r="48" spans="1:26">
      <c r="A48" s="13" t="s">
        <v>135</v>
      </c>
      <c r="B48" s="14">
        <v>45733</v>
      </c>
      <c r="C48" s="13" t="s">
        <v>36</v>
      </c>
      <c r="D48" s="13" t="s">
        <v>44</v>
      </c>
      <c r="E48" s="13" t="s">
        <v>104</v>
      </c>
      <c r="F48" s="13" t="s">
        <v>62</v>
      </c>
      <c r="G48" s="13" t="s">
        <v>63</v>
      </c>
      <c r="H48" s="13" t="s">
        <v>32</v>
      </c>
      <c r="I48" s="13" t="s">
        <v>33</v>
      </c>
      <c r="J48" s="13">
        <v>2</v>
      </c>
      <c r="K48" s="13">
        <v>675.12</v>
      </c>
      <c r="L48" s="13">
        <v>0.05</v>
      </c>
      <c r="M48" s="13">
        <v>1282.73</v>
      </c>
      <c r="N48" s="13">
        <v>1068.51</v>
      </c>
      <c r="O48" s="13">
        <v>214.22</v>
      </c>
      <c r="P48" s="13">
        <v>4.1</v>
      </c>
      <c r="Q48" s="13" t="s">
        <v>94</v>
      </c>
      <c r="R48" s="13">
        <v>2025</v>
      </c>
      <c r="S48" s="15" t="str">
        <f t="shared" si="0"/>
        <v>Low Profit</v>
      </c>
      <c r="T48" s="15" t="str">
        <f t="shared" si="1"/>
        <v>High Sales</v>
      </c>
      <c r="U48" s="15" t="str">
        <f t="shared" si="2"/>
        <v>Good</v>
      </c>
      <c r="V48" s="15" t="str">
        <f t="shared" si="3"/>
        <v>Normal Discount</v>
      </c>
      <c r="W48" s="15">
        <f>VLOOKUP(D48,Lookup_Table!$A:$C,2,FALSE)</f>
        <v>0.18</v>
      </c>
      <c r="X48" s="15">
        <f t="shared" si="4"/>
        <v>0.167003188512002</v>
      </c>
      <c r="Y48" s="15" t="str">
        <f>VLOOKUP(D48,Lookup_Table!A:C,3,0)</f>
        <v>Amit</v>
      </c>
      <c r="Z48" s="15" t="str">
        <f t="shared" si="5"/>
        <v>Not Achieved</v>
      </c>
    </row>
    <row r="49" spans="1:26">
      <c r="A49" s="13" t="s">
        <v>136</v>
      </c>
      <c r="B49" s="14">
        <v>45704</v>
      </c>
      <c r="C49" s="13" t="s">
        <v>55</v>
      </c>
      <c r="D49" s="13" t="s">
        <v>44</v>
      </c>
      <c r="E49" s="13" t="s">
        <v>137</v>
      </c>
      <c r="F49" s="13" t="s">
        <v>30</v>
      </c>
      <c r="G49" s="13" t="s">
        <v>31</v>
      </c>
      <c r="H49" s="13" t="s">
        <v>32</v>
      </c>
      <c r="I49" s="13" t="s">
        <v>46</v>
      </c>
      <c r="J49" s="13">
        <v>7</v>
      </c>
      <c r="K49" s="13">
        <v>652.94</v>
      </c>
      <c r="L49" s="13">
        <v>0.1</v>
      </c>
      <c r="M49" s="13">
        <v>4113.52</v>
      </c>
      <c r="N49" s="13">
        <v>3425.15</v>
      </c>
      <c r="O49" s="13">
        <v>688.37</v>
      </c>
      <c r="P49" s="13">
        <v>4.5</v>
      </c>
      <c r="Q49" s="13" t="s">
        <v>105</v>
      </c>
      <c r="R49" s="13">
        <v>2025</v>
      </c>
      <c r="S49" s="15" t="str">
        <f t="shared" si="0"/>
        <v>High Profit</v>
      </c>
      <c r="T49" s="15" t="str">
        <f t="shared" si="1"/>
        <v>High Sales</v>
      </c>
      <c r="U49" s="15" t="str">
        <f t="shared" si="2"/>
        <v>Good</v>
      </c>
      <c r="V49" s="15" t="str">
        <f t="shared" si="3"/>
        <v>Normal Discount</v>
      </c>
      <c r="W49" s="15">
        <f>VLOOKUP(D49,Lookup_Table!$A:$C,2,FALSE)</f>
        <v>0.18</v>
      </c>
      <c r="X49" s="15">
        <f t="shared" si="4"/>
        <v>0.167343297224761</v>
      </c>
      <c r="Y49" s="15" t="str">
        <f>VLOOKUP(D49,Lookup_Table!A:C,3,0)</f>
        <v>Amit</v>
      </c>
      <c r="Z49" s="15" t="str">
        <f t="shared" si="5"/>
        <v>Not Achieved</v>
      </c>
    </row>
    <row r="50" spans="1:26">
      <c r="A50" s="13" t="s">
        <v>138</v>
      </c>
      <c r="B50" s="14">
        <v>45705</v>
      </c>
      <c r="C50" s="13" t="s">
        <v>55</v>
      </c>
      <c r="D50" s="13" t="s">
        <v>80</v>
      </c>
      <c r="E50" s="13" t="s">
        <v>81</v>
      </c>
      <c r="F50" s="13" t="s">
        <v>39</v>
      </c>
      <c r="G50" s="13" t="s">
        <v>40</v>
      </c>
      <c r="H50" s="13" t="s">
        <v>41</v>
      </c>
      <c r="I50" s="13" t="s">
        <v>52</v>
      </c>
      <c r="J50" s="13">
        <v>2</v>
      </c>
      <c r="K50" s="13">
        <v>41.97</v>
      </c>
      <c r="L50" s="13">
        <v>0.1</v>
      </c>
      <c r="M50" s="13">
        <v>75.55</v>
      </c>
      <c r="N50" s="13">
        <v>62.87</v>
      </c>
      <c r="O50" s="13">
        <v>12.68</v>
      </c>
      <c r="P50" s="13">
        <v>4.1</v>
      </c>
      <c r="Q50" s="13" t="s">
        <v>105</v>
      </c>
      <c r="R50" s="13">
        <v>2025</v>
      </c>
      <c r="S50" s="15" t="str">
        <f t="shared" si="0"/>
        <v>Low Profit</v>
      </c>
      <c r="T50" s="15" t="str">
        <f t="shared" si="1"/>
        <v>Low Sales</v>
      </c>
      <c r="U50" s="15" t="str">
        <f t="shared" si="2"/>
        <v>Good</v>
      </c>
      <c r="V50" s="15" t="str">
        <f t="shared" si="3"/>
        <v>Normal Discount</v>
      </c>
      <c r="W50" s="15">
        <f>VLOOKUP(D50,Lookup_Table!$A:$C,2,FALSE)</f>
        <v>0.12</v>
      </c>
      <c r="X50" s="15">
        <f t="shared" si="4"/>
        <v>0.16783587028458</v>
      </c>
      <c r="Y50" s="15" t="str">
        <f>VLOOKUP(D50,Lookup_Table!A:C,3,0)</f>
        <v>Rahul</v>
      </c>
      <c r="Z50" s="15" t="str">
        <f t="shared" si="5"/>
        <v>Achived</v>
      </c>
    </row>
    <row r="51" spans="1:26">
      <c r="A51" s="13" t="s">
        <v>139</v>
      </c>
      <c r="B51" s="14">
        <v>45661</v>
      </c>
      <c r="C51" s="13" t="s">
        <v>27</v>
      </c>
      <c r="D51" s="13" t="s">
        <v>80</v>
      </c>
      <c r="E51" s="13" t="s">
        <v>115</v>
      </c>
      <c r="F51" s="13" t="s">
        <v>111</v>
      </c>
      <c r="G51" s="13" t="s">
        <v>76</v>
      </c>
      <c r="H51" s="13" t="s">
        <v>77</v>
      </c>
      <c r="I51" s="13" t="s">
        <v>96</v>
      </c>
      <c r="J51" s="13">
        <v>4</v>
      </c>
      <c r="K51" s="13">
        <v>10.16</v>
      </c>
      <c r="L51" s="13">
        <v>0.15</v>
      </c>
      <c r="M51" s="13">
        <v>34.54</v>
      </c>
      <c r="N51" s="13">
        <v>28.74</v>
      </c>
      <c r="O51" s="13">
        <v>5.8</v>
      </c>
      <c r="P51" s="13">
        <v>3.4</v>
      </c>
      <c r="Q51" s="13" t="s">
        <v>64</v>
      </c>
      <c r="R51" s="13">
        <v>2025</v>
      </c>
      <c r="S51" s="15" t="str">
        <f t="shared" si="0"/>
        <v>Low Profit</v>
      </c>
      <c r="T51" s="15" t="str">
        <f t="shared" si="1"/>
        <v>Low Sales</v>
      </c>
      <c r="U51" s="15" t="str">
        <f t="shared" si="2"/>
        <v>Needs Improvement</v>
      </c>
      <c r="V51" s="15" t="str">
        <f t="shared" si="3"/>
        <v>High Discount</v>
      </c>
      <c r="W51" s="15">
        <f>VLOOKUP(D51,Lookup_Table!$A:$C,2,FALSE)</f>
        <v>0.12</v>
      </c>
      <c r="X51" s="15">
        <f t="shared" si="4"/>
        <v>0.167921250723798</v>
      </c>
      <c r="Y51" s="15" t="str">
        <f>VLOOKUP(D51,Lookup_Table!A:C,3,0)</f>
        <v>Rahul</v>
      </c>
      <c r="Z51" s="15" t="str">
        <f t="shared" si="5"/>
        <v>Achived</v>
      </c>
    </row>
    <row r="52" spans="1:26">
      <c r="A52" s="13" t="s">
        <v>140</v>
      </c>
      <c r="B52" s="14">
        <v>45743</v>
      </c>
      <c r="C52" s="13" t="s">
        <v>27</v>
      </c>
      <c r="D52" s="13" t="s">
        <v>80</v>
      </c>
      <c r="E52" s="13" t="s">
        <v>81</v>
      </c>
      <c r="F52" s="13" t="s">
        <v>39</v>
      </c>
      <c r="G52" s="13" t="s">
        <v>40</v>
      </c>
      <c r="H52" s="13" t="s">
        <v>41</v>
      </c>
      <c r="I52" s="13" t="s">
        <v>96</v>
      </c>
      <c r="J52" s="13">
        <v>5</v>
      </c>
      <c r="K52" s="13">
        <v>51.13</v>
      </c>
      <c r="L52" s="13">
        <v>0.1</v>
      </c>
      <c r="M52" s="13">
        <v>230.08</v>
      </c>
      <c r="N52" s="13">
        <v>191.44</v>
      </c>
      <c r="O52" s="13">
        <v>38.64</v>
      </c>
      <c r="P52" s="13">
        <v>4.2</v>
      </c>
      <c r="Q52" s="13" t="s">
        <v>94</v>
      </c>
      <c r="R52" s="13">
        <v>2025</v>
      </c>
      <c r="S52" s="15" t="str">
        <f t="shared" si="0"/>
        <v>Low Profit</v>
      </c>
      <c r="T52" s="15" t="str">
        <f t="shared" si="1"/>
        <v>Low Sales</v>
      </c>
      <c r="U52" s="15" t="str">
        <f t="shared" si="2"/>
        <v>Good</v>
      </c>
      <c r="V52" s="15" t="str">
        <f t="shared" si="3"/>
        <v>Normal Discount</v>
      </c>
      <c r="W52" s="15">
        <f>VLOOKUP(D52,Lookup_Table!$A:$C,2,FALSE)</f>
        <v>0.12</v>
      </c>
      <c r="X52" s="15">
        <f t="shared" si="4"/>
        <v>0.167941585535466</v>
      </c>
      <c r="Y52" s="15" t="str">
        <f>VLOOKUP(D52,Lookup_Table!A:C,3,0)</f>
        <v>Rahul</v>
      </c>
      <c r="Z52" s="15" t="str">
        <f t="shared" si="5"/>
        <v>Achived</v>
      </c>
    </row>
    <row r="53" spans="1:26">
      <c r="A53" s="13" t="s">
        <v>141</v>
      </c>
      <c r="B53" s="14">
        <v>45899</v>
      </c>
      <c r="C53" s="13" t="s">
        <v>27</v>
      </c>
      <c r="D53" s="13" t="s">
        <v>80</v>
      </c>
      <c r="E53" s="13" t="s">
        <v>101</v>
      </c>
      <c r="F53" s="13" t="s">
        <v>62</v>
      </c>
      <c r="G53" s="13" t="s">
        <v>63</v>
      </c>
      <c r="H53" s="13" t="s">
        <v>32</v>
      </c>
      <c r="I53" s="13" t="s">
        <v>33</v>
      </c>
      <c r="J53" s="13">
        <v>7</v>
      </c>
      <c r="K53" s="13">
        <v>46.17</v>
      </c>
      <c r="L53" s="13">
        <v>0.05</v>
      </c>
      <c r="M53" s="13">
        <v>307.03</v>
      </c>
      <c r="N53" s="13">
        <v>255.24</v>
      </c>
      <c r="O53" s="13">
        <v>51.79</v>
      </c>
      <c r="P53" s="13">
        <v>3.2</v>
      </c>
      <c r="Q53" s="13" t="s">
        <v>47</v>
      </c>
      <c r="R53" s="13">
        <v>2025</v>
      </c>
      <c r="S53" s="15" t="str">
        <f t="shared" si="0"/>
        <v>Low Profit</v>
      </c>
      <c r="T53" s="15" t="str">
        <f t="shared" si="1"/>
        <v>Low Sales</v>
      </c>
      <c r="U53" s="15" t="str">
        <f t="shared" si="2"/>
        <v>Needs Improvement</v>
      </c>
      <c r="V53" s="15" t="str">
        <f t="shared" si="3"/>
        <v>Normal Discount</v>
      </c>
      <c r="W53" s="15">
        <f>VLOOKUP(D53,Lookup_Table!$A:$C,2,FALSE)</f>
        <v>0.12</v>
      </c>
      <c r="X53" s="15">
        <f t="shared" si="4"/>
        <v>0.168680584959125</v>
      </c>
      <c r="Y53" s="15" t="str">
        <f>VLOOKUP(D53,Lookup_Table!A:C,3,0)</f>
        <v>Rahul</v>
      </c>
      <c r="Z53" s="15" t="str">
        <f t="shared" si="5"/>
        <v>Achived</v>
      </c>
    </row>
    <row r="54" spans="1:26">
      <c r="A54" s="13" t="s">
        <v>142</v>
      </c>
      <c r="B54" s="14">
        <v>45994</v>
      </c>
      <c r="C54" s="13" t="s">
        <v>27</v>
      </c>
      <c r="D54" s="13" t="s">
        <v>44</v>
      </c>
      <c r="E54" s="13" t="s">
        <v>143</v>
      </c>
      <c r="F54" s="13" t="s">
        <v>30</v>
      </c>
      <c r="G54" s="13" t="s">
        <v>31</v>
      </c>
      <c r="H54" s="13" t="s">
        <v>32</v>
      </c>
      <c r="I54" s="13" t="s">
        <v>52</v>
      </c>
      <c r="J54" s="13">
        <v>5</v>
      </c>
      <c r="K54" s="13">
        <v>480.32</v>
      </c>
      <c r="L54" s="13">
        <v>0.1</v>
      </c>
      <c r="M54" s="13">
        <v>2161.44</v>
      </c>
      <c r="N54" s="13">
        <v>1796.73</v>
      </c>
      <c r="O54" s="13">
        <v>364.71</v>
      </c>
      <c r="P54" s="13">
        <v>2.5</v>
      </c>
      <c r="Q54" s="13" t="s">
        <v>34</v>
      </c>
      <c r="R54" s="13">
        <v>2025</v>
      </c>
      <c r="S54" s="15" t="str">
        <f t="shared" si="0"/>
        <v>Low Profit</v>
      </c>
      <c r="T54" s="15" t="str">
        <f t="shared" si="1"/>
        <v>High Sales</v>
      </c>
      <c r="U54" s="15" t="str">
        <f t="shared" si="2"/>
        <v>Needs Improvement</v>
      </c>
      <c r="V54" s="15" t="str">
        <f t="shared" si="3"/>
        <v>Normal Discount</v>
      </c>
      <c r="W54" s="15">
        <f>VLOOKUP(D54,Lookup_Table!$A:$C,2,FALSE)</f>
        <v>0.18</v>
      </c>
      <c r="X54" s="15">
        <f t="shared" si="4"/>
        <v>0.168734732400622</v>
      </c>
      <c r="Y54" s="15" t="str">
        <f>VLOOKUP(D54,Lookup_Table!A:C,3,0)</f>
        <v>Amit</v>
      </c>
      <c r="Z54" s="15" t="str">
        <f t="shared" si="5"/>
        <v>Not Achieved</v>
      </c>
    </row>
    <row r="55" spans="1:26">
      <c r="A55" s="13" t="s">
        <v>144</v>
      </c>
      <c r="B55" s="14">
        <v>45838</v>
      </c>
      <c r="C55" s="13" t="s">
        <v>36</v>
      </c>
      <c r="D55" s="13" t="s">
        <v>28</v>
      </c>
      <c r="E55" s="13" t="s">
        <v>29</v>
      </c>
      <c r="F55" s="13" t="s">
        <v>62</v>
      </c>
      <c r="G55" s="13" t="s">
        <v>63</v>
      </c>
      <c r="H55" s="13" t="s">
        <v>32</v>
      </c>
      <c r="I55" s="13" t="s">
        <v>52</v>
      </c>
      <c r="J55" s="13">
        <v>1</v>
      </c>
      <c r="K55" s="13">
        <v>16.21</v>
      </c>
      <c r="L55" s="13">
        <v>0.2</v>
      </c>
      <c r="M55" s="13">
        <v>12.97</v>
      </c>
      <c r="N55" s="13">
        <v>10.78</v>
      </c>
      <c r="O55" s="13">
        <v>2.19</v>
      </c>
      <c r="P55" s="13">
        <v>2.8</v>
      </c>
      <c r="Q55" s="13" t="s">
        <v>58</v>
      </c>
      <c r="R55" s="13">
        <v>2025</v>
      </c>
      <c r="S55" s="15" t="str">
        <f t="shared" si="0"/>
        <v>Low Profit</v>
      </c>
      <c r="T55" s="15" t="str">
        <f t="shared" si="1"/>
        <v>Low Sales</v>
      </c>
      <c r="U55" s="15" t="str">
        <f t="shared" si="2"/>
        <v>Needs Improvement</v>
      </c>
      <c r="V55" s="15" t="str">
        <f t="shared" si="3"/>
        <v>High Discount</v>
      </c>
      <c r="W55" s="15">
        <f>VLOOKUP(D55,Lookup_Table!$A:$C,2,FALSE)</f>
        <v>0.2</v>
      </c>
      <c r="X55" s="15">
        <f t="shared" si="4"/>
        <v>0.168851195065536</v>
      </c>
      <c r="Y55" s="15" t="str">
        <f>VLOOKUP(D55,Lookup_Table!A:C,3,0)</f>
        <v>Sneha</v>
      </c>
      <c r="Z55" s="15" t="str">
        <f t="shared" si="5"/>
        <v>Not Achieved</v>
      </c>
    </row>
    <row r="56" spans="1:26">
      <c r="A56" s="13" t="s">
        <v>145</v>
      </c>
      <c r="B56" s="14">
        <v>45869</v>
      </c>
      <c r="C56" s="13" t="s">
        <v>27</v>
      </c>
      <c r="D56" s="13" t="s">
        <v>28</v>
      </c>
      <c r="E56" s="13" t="s">
        <v>73</v>
      </c>
      <c r="F56" s="13" t="s">
        <v>62</v>
      </c>
      <c r="G56" s="13" t="s">
        <v>63</v>
      </c>
      <c r="H56" s="13" t="s">
        <v>32</v>
      </c>
      <c r="I56" s="13" t="s">
        <v>46</v>
      </c>
      <c r="J56" s="13">
        <v>2</v>
      </c>
      <c r="K56" s="13">
        <v>17.64</v>
      </c>
      <c r="L56" s="13">
        <v>0.1</v>
      </c>
      <c r="M56" s="13">
        <v>31.75</v>
      </c>
      <c r="N56" s="13">
        <v>26.38</v>
      </c>
      <c r="O56" s="13">
        <v>5.37</v>
      </c>
      <c r="P56" s="13">
        <v>3.8</v>
      </c>
      <c r="Q56" s="13" t="s">
        <v>56</v>
      </c>
      <c r="R56" s="13">
        <v>2025</v>
      </c>
      <c r="S56" s="15" t="str">
        <f t="shared" si="0"/>
        <v>Low Profit</v>
      </c>
      <c r="T56" s="15" t="str">
        <f t="shared" si="1"/>
        <v>Low Sales</v>
      </c>
      <c r="U56" s="15" t="str">
        <f t="shared" si="2"/>
        <v>Needs Improvement</v>
      </c>
      <c r="V56" s="15" t="str">
        <f t="shared" si="3"/>
        <v>Normal Discount</v>
      </c>
      <c r="W56" s="15">
        <f>VLOOKUP(D56,Lookup_Table!$A:$C,2,FALSE)</f>
        <v>0.2</v>
      </c>
      <c r="X56" s="15">
        <f t="shared" si="4"/>
        <v>0.169133858267717</v>
      </c>
      <c r="Y56" s="15" t="str">
        <f>VLOOKUP(D56,Lookup_Table!A:C,3,0)</f>
        <v>Sneha</v>
      </c>
      <c r="Z56" s="15" t="str">
        <f t="shared" si="5"/>
        <v>Not Achieved</v>
      </c>
    </row>
    <row r="57" spans="1:26">
      <c r="A57" s="13" t="s">
        <v>146</v>
      </c>
      <c r="B57" s="14">
        <v>45945</v>
      </c>
      <c r="C57" s="13" t="s">
        <v>27</v>
      </c>
      <c r="D57" s="13" t="s">
        <v>80</v>
      </c>
      <c r="E57" s="13" t="s">
        <v>81</v>
      </c>
      <c r="F57" s="13" t="s">
        <v>111</v>
      </c>
      <c r="G57" s="13" t="s">
        <v>76</v>
      </c>
      <c r="H57" s="13" t="s">
        <v>77</v>
      </c>
      <c r="I57" s="13" t="s">
        <v>52</v>
      </c>
      <c r="J57" s="13">
        <v>5</v>
      </c>
      <c r="K57" s="13">
        <v>76.75</v>
      </c>
      <c r="L57" s="13">
        <v>0.2</v>
      </c>
      <c r="M57" s="13">
        <v>307</v>
      </c>
      <c r="N57" s="13">
        <v>254.95</v>
      </c>
      <c r="O57" s="13">
        <v>52.05</v>
      </c>
      <c r="P57" s="13">
        <v>4.2</v>
      </c>
      <c r="Q57" s="13" t="s">
        <v>87</v>
      </c>
      <c r="R57" s="13">
        <v>2025</v>
      </c>
      <c r="S57" s="15" t="str">
        <f t="shared" si="0"/>
        <v>Low Profit</v>
      </c>
      <c r="T57" s="15" t="str">
        <f t="shared" si="1"/>
        <v>Low Sales</v>
      </c>
      <c r="U57" s="15" t="str">
        <f t="shared" si="2"/>
        <v>Good</v>
      </c>
      <c r="V57" s="15" t="str">
        <f t="shared" si="3"/>
        <v>High Discount</v>
      </c>
      <c r="W57" s="15">
        <f>VLOOKUP(D57,Lookup_Table!$A:$C,2,FALSE)</f>
        <v>0.12</v>
      </c>
      <c r="X57" s="15">
        <f t="shared" si="4"/>
        <v>0.169543973941368</v>
      </c>
      <c r="Y57" s="15" t="str">
        <f>VLOOKUP(D57,Lookup_Table!A:C,3,0)</f>
        <v>Rahul</v>
      </c>
      <c r="Z57" s="15" t="str">
        <f t="shared" si="5"/>
        <v>Achived</v>
      </c>
    </row>
    <row r="58" spans="1:26">
      <c r="A58" s="13" t="s">
        <v>147</v>
      </c>
      <c r="B58" s="14">
        <v>45741</v>
      </c>
      <c r="C58" s="13" t="s">
        <v>36</v>
      </c>
      <c r="D58" s="13" t="s">
        <v>28</v>
      </c>
      <c r="E58" s="13" t="s">
        <v>73</v>
      </c>
      <c r="F58" s="13" t="s">
        <v>98</v>
      </c>
      <c r="G58" s="13" t="s">
        <v>99</v>
      </c>
      <c r="H58" s="13" t="s">
        <v>77</v>
      </c>
      <c r="I58" s="13" t="s">
        <v>33</v>
      </c>
      <c r="J58" s="13">
        <v>3</v>
      </c>
      <c r="K58" s="13">
        <v>45.5</v>
      </c>
      <c r="L58" s="13">
        <v>0</v>
      </c>
      <c r="M58" s="13">
        <v>136.5</v>
      </c>
      <c r="N58" s="13">
        <v>113.34</v>
      </c>
      <c r="O58" s="13">
        <v>23.16</v>
      </c>
      <c r="P58" s="13">
        <v>4.1</v>
      </c>
      <c r="Q58" s="13" t="s">
        <v>94</v>
      </c>
      <c r="R58" s="13">
        <v>2025</v>
      </c>
      <c r="S58" s="15" t="str">
        <f t="shared" si="0"/>
        <v>Low Profit</v>
      </c>
      <c r="T58" s="15" t="str">
        <f t="shared" si="1"/>
        <v>Low Sales</v>
      </c>
      <c r="U58" s="15" t="str">
        <f t="shared" si="2"/>
        <v>Good</v>
      </c>
      <c r="V58" s="15" t="str">
        <f t="shared" si="3"/>
        <v>Normal Discount</v>
      </c>
      <c r="W58" s="15">
        <f>VLOOKUP(D58,Lookup_Table!$A:$C,2,FALSE)</f>
        <v>0.2</v>
      </c>
      <c r="X58" s="15">
        <f t="shared" si="4"/>
        <v>0.16967032967033</v>
      </c>
      <c r="Y58" s="15" t="str">
        <f>VLOOKUP(D58,Lookup_Table!A:C,3,0)</f>
        <v>Sneha</v>
      </c>
      <c r="Z58" s="15" t="str">
        <f t="shared" si="5"/>
        <v>Not Achieved</v>
      </c>
    </row>
    <row r="59" spans="1:26">
      <c r="A59" s="13" t="s">
        <v>148</v>
      </c>
      <c r="B59" s="14">
        <v>45902</v>
      </c>
      <c r="C59" s="13" t="s">
        <v>55</v>
      </c>
      <c r="D59" s="13" t="s">
        <v>60</v>
      </c>
      <c r="E59" s="13" t="s">
        <v>127</v>
      </c>
      <c r="F59" s="13" t="s">
        <v>50</v>
      </c>
      <c r="G59" s="13" t="s">
        <v>51</v>
      </c>
      <c r="H59" s="13" t="s">
        <v>32</v>
      </c>
      <c r="I59" s="13" t="s">
        <v>33</v>
      </c>
      <c r="J59" s="13">
        <v>7</v>
      </c>
      <c r="K59" s="13">
        <v>161.93</v>
      </c>
      <c r="L59" s="13">
        <v>0</v>
      </c>
      <c r="M59" s="13">
        <v>1133.51</v>
      </c>
      <c r="N59" s="13">
        <v>941.04</v>
      </c>
      <c r="O59" s="13">
        <v>192.47</v>
      </c>
      <c r="P59" s="13">
        <v>4.2</v>
      </c>
      <c r="Q59" s="13" t="s">
        <v>53</v>
      </c>
      <c r="R59" s="13">
        <v>2025</v>
      </c>
      <c r="S59" s="15" t="str">
        <f t="shared" si="0"/>
        <v>Low Profit</v>
      </c>
      <c r="T59" s="15" t="str">
        <f t="shared" si="1"/>
        <v>High Sales</v>
      </c>
      <c r="U59" s="15" t="str">
        <f t="shared" si="2"/>
        <v>Good</v>
      </c>
      <c r="V59" s="15" t="str">
        <f t="shared" si="3"/>
        <v>Normal Discount</v>
      </c>
      <c r="W59" s="15">
        <f>VLOOKUP(D59,Lookup_Table!$A:$C,2,FALSE)</f>
        <v>0.15</v>
      </c>
      <c r="X59" s="15">
        <f t="shared" si="4"/>
        <v>0.169800001764431</v>
      </c>
      <c r="Y59" s="15" t="str">
        <f>VLOOKUP(D59,Lookup_Table!A:C,3,0)</f>
        <v>Priya</v>
      </c>
      <c r="Z59" s="15" t="str">
        <f t="shared" si="5"/>
        <v>Achived</v>
      </c>
    </row>
    <row r="60" spans="1:26">
      <c r="A60" s="13" t="s">
        <v>149</v>
      </c>
      <c r="B60" s="14">
        <v>45864</v>
      </c>
      <c r="C60" s="13" t="s">
        <v>27</v>
      </c>
      <c r="D60" s="13" t="s">
        <v>60</v>
      </c>
      <c r="E60" s="13" t="s">
        <v>150</v>
      </c>
      <c r="F60" s="13" t="s">
        <v>67</v>
      </c>
      <c r="G60" s="13" t="s">
        <v>68</v>
      </c>
      <c r="H60" s="13" t="s">
        <v>69</v>
      </c>
      <c r="I60" s="13" t="s">
        <v>46</v>
      </c>
      <c r="J60" s="13">
        <v>3</v>
      </c>
      <c r="K60" s="13">
        <v>160.8</v>
      </c>
      <c r="L60" s="13">
        <v>0.2</v>
      </c>
      <c r="M60" s="13">
        <v>385.92</v>
      </c>
      <c r="N60" s="13">
        <v>320.35</v>
      </c>
      <c r="O60" s="13">
        <v>65.57</v>
      </c>
      <c r="P60" s="13">
        <v>3.4</v>
      </c>
      <c r="Q60" s="13" t="s">
        <v>56</v>
      </c>
      <c r="R60" s="13">
        <v>2025</v>
      </c>
      <c r="S60" s="15" t="str">
        <f t="shared" si="0"/>
        <v>Low Profit</v>
      </c>
      <c r="T60" s="15" t="str">
        <f t="shared" si="1"/>
        <v>Low Sales</v>
      </c>
      <c r="U60" s="15" t="str">
        <f t="shared" si="2"/>
        <v>Needs Improvement</v>
      </c>
      <c r="V60" s="15" t="str">
        <f t="shared" si="3"/>
        <v>High Discount</v>
      </c>
      <c r="W60" s="15">
        <f>VLOOKUP(D60,Lookup_Table!$A:$C,2,FALSE)</f>
        <v>0.15</v>
      </c>
      <c r="X60" s="15">
        <f t="shared" si="4"/>
        <v>0.169905679933665</v>
      </c>
      <c r="Y60" s="15" t="str">
        <f>VLOOKUP(D60,Lookup_Table!A:C,3,0)</f>
        <v>Priya</v>
      </c>
      <c r="Z60" s="15" t="str">
        <f t="shared" si="5"/>
        <v>Achived</v>
      </c>
    </row>
    <row r="61" spans="1:26">
      <c r="A61" s="13" t="s">
        <v>151</v>
      </c>
      <c r="B61" s="14">
        <v>45730</v>
      </c>
      <c r="C61" s="13" t="s">
        <v>55</v>
      </c>
      <c r="D61" s="13" t="s">
        <v>28</v>
      </c>
      <c r="E61" s="13" t="s">
        <v>90</v>
      </c>
      <c r="F61" s="13" t="s">
        <v>30</v>
      </c>
      <c r="G61" s="13" t="s">
        <v>31</v>
      </c>
      <c r="H61" s="13" t="s">
        <v>32</v>
      </c>
      <c r="I61" s="13" t="s">
        <v>33</v>
      </c>
      <c r="J61" s="13">
        <v>1</v>
      </c>
      <c r="K61" s="13">
        <v>141.37</v>
      </c>
      <c r="L61" s="13">
        <v>0.15</v>
      </c>
      <c r="M61" s="13">
        <v>120.16</v>
      </c>
      <c r="N61" s="13">
        <v>99.74</v>
      </c>
      <c r="O61" s="13">
        <v>20.42</v>
      </c>
      <c r="P61" s="13">
        <v>4.9</v>
      </c>
      <c r="Q61" s="13" t="s">
        <v>94</v>
      </c>
      <c r="R61" s="13">
        <v>2025</v>
      </c>
      <c r="S61" s="15" t="str">
        <f t="shared" si="0"/>
        <v>Low Profit</v>
      </c>
      <c r="T61" s="15" t="str">
        <f t="shared" si="1"/>
        <v>Low Sales</v>
      </c>
      <c r="U61" s="15" t="str">
        <f t="shared" si="2"/>
        <v>Good</v>
      </c>
      <c r="V61" s="15" t="str">
        <f t="shared" si="3"/>
        <v>High Discount</v>
      </c>
      <c r="W61" s="15">
        <f>VLOOKUP(D61,Lookup_Table!$A:$C,2,FALSE)</f>
        <v>0.2</v>
      </c>
      <c r="X61" s="15">
        <f t="shared" si="4"/>
        <v>0.169940079893475</v>
      </c>
      <c r="Y61" s="15" t="str">
        <f>VLOOKUP(D61,Lookup_Table!A:C,3,0)</f>
        <v>Sneha</v>
      </c>
      <c r="Z61" s="15" t="str">
        <f t="shared" si="5"/>
        <v>Not Achieved</v>
      </c>
    </row>
    <row r="62" spans="1:26">
      <c r="A62" s="13" t="s">
        <v>152</v>
      </c>
      <c r="B62" s="14">
        <v>45845</v>
      </c>
      <c r="C62" s="13" t="s">
        <v>36</v>
      </c>
      <c r="D62" s="13" t="s">
        <v>44</v>
      </c>
      <c r="E62" s="13" t="s">
        <v>143</v>
      </c>
      <c r="F62" s="13" t="s">
        <v>82</v>
      </c>
      <c r="G62" s="13" t="s">
        <v>83</v>
      </c>
      <c r="H62" s="13" t="s">
        <v>77</v>
      </c>
      <c r="I62" s="13" t="s">
        <v>96</v>
      </c>
      <c r="J62" s="13">
        <v>1</v>
      </c>
      <c r="K62" s="13">
        <v>889.81</v>
      </c>
      <c r="L62" s="13">
        <v>0.1</v>
      </c>
      <c r="M62" s="13">
        <v>800.83</v>
      </c>
      <c r="N62" s="13">
        <v>664.52</v>
      </c>
      <c r="O62" s="13">
        <v>136.31</v>
      </c>
      <c r="P62" s="13">
        <v>3.6</v>
      </c>
      <c r="Q62" s="13" t="s">
        <v>56</v>
      </c>
      <c r="R62" s="13">
        <v>2025</v>
      </c>
      <c r="S62" s="15" t="str">
        <f t="shared" si="0"/>
        <v>Low Profit</v>
      </c>
      <c r="T62" s="15" t="str">
        <f t="shared" si="1"/>
        <v>Low Sales</v>
      </c>
      <c r="U62" s="15" t="str">
        <f t="shared" si="2"/>
        <v>Needs Improvement</v>
      </c>
      <c r="V62" s="15" t="str">
        <f t="shared" si="3"/>
        <v>Normal Discount</v>
      </c>
      <c r="W62" s="15">
        <f>VLOOKUP(D62,Lookup_Table!$A:$C,2,FALSE)</f>
        <v>0.18</v>
      </c>
      <c r="X62" s="15">
        <f t="shared" si="4"/>
        <v>0.170210906184833</v>
      </c>
      <c r="Y62" s="15" t="str">
        <f>VLOOKUP(D62,Lookup_Table!A:C,3,0)</f>
        <v>Amit</v>
      </c>
      <c r="Z62" s="15" t="str">
        <f t="shared" si="5"/>
        <v>Not Achieved</v>
      </c>
    </row>
    <row r="63" spans="1:26">
      <c r="A63" s="13" t="s">
        <v>153</v>
      </c>
      <c r="B63" s="14">
        <v>45729</v>
      </c>
      <c r="C63" s="13" t="s">
        <v>55</v>
      </c>
      <c r="D63" s="13" t="s">
        <v>44</v>
      </c>
      <c r="E63" s="13" t="s">
        <v>104</v>
      </c>
      <c r="F63" s="13" t="s">
        <v>75</v>
      </c>
      <c r="G63" s="13" t="s">
        <v>76</v>
      </c>
      <c r="H63" s="13" t="s">
        <v>77</v>
      </c>
      <c r="I63" s="13" t="s">
        <v>96</v>
      </c>
      <c r="J63" s="13">
        <v>5</v>
      </c>
      <c r="K63" s="13">
        <v>1020.49</v>
      </c>
      <c r="L63" s="13">
        <v>0</v>
      </c>
      <c r="M63" s="13">
        <v>5102.45</v>
      </c>
      <c r="N63" s="13">
        <v>4233.67</v>
      </c>
      <c r="O63" s="13">
        <v>868.78</v>
      </c>
      <c r="P63" s="13">
        <v>3.9</v>
      </c>
      <c r="Q63" s="13" t="s">
        <v>94</v>
      </c>
      <c r="R63" s="13">
        <v>2025</v>
      </c>
      <c r="S63" s="15" t="str">
        <f t="shared" si="0"/>
        <v>High Profit</v>
      </c>
      <c r="T63" s="15" t="str">
        <f t="shared" si="1"/>
        <v>High Sales</v>
      </c>
      <c r="U63" s="15" t="str">
        <f t="shared" si="2"/>
        <v>Needs Improvement</v>
      </c>
      <c r="V63" s="15" t="str">
        <f t="shared" si="3"/>
        <v>Normal Discount</v>
      </c>
      <c r="W63" s="15">
        <f>VLOOKUP(D63,Lookup_Table!$A:$C,2,FALSE)</f>
        <v>0.18</v>
      </c>
      <c r="X63" s="15">
        <f t="shared" si="4"/>
        <v>0.17026722456859</v>
      </c>
      <c r="Y63" s="15" t="str">
        <f>VLOOKUP(D63,Lookup_Table!A:C,3,0)</f>
        <v>Amit</v>
      </c>
      <c r="Z63" s="15" t="str">
        <f t="shared" si="5"/>
        <v>Not Achieved</v>
      </c>
    </row>
    <row r="64" spans="1:26">
      <c r="A64" s="13" t="s">
        <v>154</v>
      </c>
      <c r="B64" s="14">
        <v>45734</v>
      </c>
      <c r="C64" s="13" t="s">
        <v>27</v>
      </c>
      <c r="D64" s="13" t="s">
        <v>44</v>
      </c>
      <c r="E64" s="13" t="s">
        <v>137</v>
      </c>
      <c r="F64" s="13" t="s">
        <v>39</v>
      </c>
      <c r="G64" s="13" t="s">
        <v>40</v>
      </c>
      <c r="H64" s="13" t="s">
        <v>41</v>
      </c>
      <c r="I64" s="13" t="s">
        <v>33</v>
      </c>
      <c r="J64" s="13">
        <v>5</v>
      </c>
      <c r="K64" s="13">
        <v>955.6</v>
      </c>
      <c r="L64" s="13">
        <v>0</v>
      </c>
      <c r="M64" s="13">
        <v>4778</v>
      </c>
      <c r="N64" s="13">
        <v>3962.16</v>
      </c>
      <c r="O64" s="13">
        <v>815.84</v>
      </c>
      <c r="P64" s="13">
        <v>4.4</v>
      </c>
      <c r="Q64" s="13" t="s">
        <v>94</v>
      </c>
      <c r="R64" s="13">
        <v>2025</v>
      </c>
      <c r="S64" s="15" t="str">
        <f t="shared" si="0"/>
        <v>High Profit</v>
      </c>
      <c r="T64" s="15" t="str">
        <f t="shared" si="1"/>
        <v>High Sales</v>
      </c>
      <c r="U64" s="15" t="str">
        <f t="shared" si="2"/>
        <v>Good</v>
      </c>
      <c r="V64" s="15" t="str">
        <f t="shared" si="3"/>
        <v>Normal Discount</v>
      </c>
      <c r="W64" s="15">
        <f>VLOOKUP(D64,Lookup_Table!$A:$C,2,FALSE)</f>
        <v>0.18</v>
      </c>
      <c r="X64" s="15">
        <f t="shared" si="4"/>
        <v>0.170749267475931</v>
      </c>
      <c r="Y64" s="15" t="str">
        <f>VLOOKUP(D64,Lookup_Table!A:C,3,0)</f>
        <v>Amit</v>
      </c>
      <c r="Z64" s="15" t="str">
        <f t="shared" si="5"/>
        <v>Not Achieved</v>
      </c>
    </row>
    <row r="65" spans="1:26">
      <c r="A65" s="13" t="s">
        <v>155</v>
      </c>
      <c r="B65" s="14">
        <v>45763</v>
      </c>
      <c r="C65" s="13" t="s">
        <v>55</v>
      </c>
      <c r="D65" s="13" t="s">
        <v>60</v>
      </c>
      <c r="E65" s="13" t="s">
        <v>150</v>
      </c>
      <c r="F65" s="13" t="s">
        <v>75</v>
      </c>
      <c r="G65" s="13" t="s">
        <v>76</v>
      </c>
      <c r="H65" s="13" t="s">
        <v>77</v>
      </c>
      <c r="I65" s="13" t="s">
        <v>52</v>
      </c>
      <c r="J65" s="13">
        <v>7</v>
      </c>
      <c r="K65" s="13">
        <v>734.33</v>
      </c>
      <c r="L65" s="13">
        <v>0.1</v>
      </c>
      <c r="M65" s="13">
        <v>4626.28</v>
      </c>
      <c r="N65" s="13">
        <v>3835.81</v>
      </c>
      <c r="O65" s="13">
        <v>790.47</v>
      </c>
      <c r="P65" s="13">
        <v>3.2</v>
      </c>
      <c r="Q65" s="13" t="s">
        <v>84</v>
      </c>
      <c r="R65" s="13">
        <v>2025</v>
      </c>
      <c r="S65" s="15" t="str">
        <f t="shared" si="0"/>
        <v>High Profit</v>
      </c>
      <c r="T65" s="15" t="str">
        <f t="shared" si="1"/>
        <v>High Sales</v>
      </c>
      <c r="U65" s="15" t="str">
        <f t="shared" si="2"/>
        <v>Needs Improvement</v>
      </c>
      <c r="V65" s="15" t="str">
        <f t="shared" si="3"/>
        <v>Normal Discount</v>
      </c>
      <c r="W65" s="15">
        <f>VLOOKUP(D65,Lookup_Table!$A:$C,2,FALSE)</f>
        <v>0.15</v>
      </c>
      <c r="X65" s="15">
        <f t="shared" si="4"/>
        <v>0.17086514434924</v>
      </c>
      <c r="Y65" s="15" t="str">
        <f>VLOOKUP(D65,Lookup_Table!A:C,3,0)</f>
        <v>Priya</v>
      </c>
      <c r="Z65" s="15" t="str">
        <f t="shared" si="5"/>
        <v>Achived</v>
      </c>
    </row>
    <row r="66" spans="1:26">
      <c r="A66" s="13" t="s">
        <v>156</v>
      </c>
      <c r="B66" s="14">
        <v>45865</v>
      </c>
      <c r="C66" s="13" t="s">
        <v>55</v>
      </c>
      <c r="D66" s="13" t="s">
        <v>28</v>
      </c>
      <c r="E66" s="13" t="s">
        <v>29</v>
      </c>
      <c r="F66" s="13" t="s">
        <v>82</v>
      </c>
      <c r="G66" s="13" t="s">
        <v>83</v>
      </c>
      <c r="H66" s="13" t="s">
        <v>77</v>
      </c>
      <c r="I66" s="13" t="s">
        <v>96</v>
      </c>
      <c r="J66" s="13">
        <v>4</v>
      </c>
      <c r="K66" s="13">
        <v>36.81</v>
      </c>
      <c r="L66" s="13">
        <v>0.1</v>
      </c>
      <c r="M66" s="13">
        <v>132.52</v>
      </c>
      <c r="N66" s="13">
        <v>109.86</v>
      </c>
      <c r="O66" s="13">
        <v>22.66</v>
      </c>
      <c r="P66" s="13">
        <v>4.5</v>
      </c>
      <c r="Q66" s="13" t="s">
        <v>56</v>
      </c>
      <c r="R66" s="13">
        <v>2025</v>
      </c>
      <c r="S66" s="15" t="str">
        <f t="shared" ref="S66:S129" si="6">IF(O66&gt;500,"High Profit","Low Profit")</f>
        <v>Low Profit</v>
      </c>
      <c r="T66" s="15" t="str">
        <f t="shared" ref="T66:T129" si="7">IF(M66&gt;1000,"High Sales","Low Sales")</f>
        <v>Low Sales</v>
      </c>
      <c r="U66" s="15" t="str">
        <f t="shared" ref="U66:U129" si="8">IF(P66&gt;=4,"Good","Needs Improvement")</f>
        <v>Good</v>
      </c>
      <c r="V66" s="15" t="str">
        <f t="shared" ref="V66:V129" si="9">IF(L66&gt;=15%,"High Discount","Normal Discount")</f>
        <v>Normal Discount</v>
      </c>
      <c r="W66" s="15">
        <f>VLOOKUP(D66,Lookup_Table!$A:$C,2,FALSE)</f>
        <v>0.2</v>
      </c>
      <c r="X66" s="15">
        <f t="shared" ref="X66:X129" si="10">O66/M66</f>
        <v>0.170993057651675</v>
      </c>
      <c r="Y66" s="15" t="str">
        <f>VLOOKUP(D66,Lookup_Table!A:C,3,0)</f>
        <v>Sneha</v>
      </c>
      <c r="Z66" s="15" t="str">
        <f t="shared" ref="Z66:Z129" si="11">IF(X66&gt;=W66,"Achived","Not Achieved")</f>
        <v>Not Achieved</v>
      </c>
    </row>
    <row r="67" spans="1:26">
      <c r="A67" s="13" t="s">
        <v>157</v>
      </c>
      <c r="B67" s="14">
        <v>45941</v>
      </c>
      <c r="C67" s="13" t="s">
        <v>27</v>
      </c>
      <c r="D67" s="13" t="s">
        <v>80</v>
      </c>
      <c r="E67" s="13" t="s">
        <v>115</v>
      </c>
      <c r="F67" s="13" t="s">
        <v>75</v>
      </c>
      <c r="G67" s="13" t="s">
        <v>76</v>
      </c>
      <c r="H67" s="13" t="s">
        <v>77</v>
      </c>
      <c r="I67" s="13" t="s">
        <v>52</v>
      </c>
      <c r="J67" s="13">
        <v>4</v>
      </c>
      <c r="K67" s="13">
        <v>57.12</v>
      </c>
      <c r="L67" s="13">
        <v>0.1</v>
      </c>
      <c r="M67" s="13">
        <v>205.63</v>
      </c>
      <c r="N67" s="13">
        <v>170.46</v>
      </c>
      <c r="O67" s="13">
        <v>35.17</v>
      </c>
      <c r="P67" s="13">
        <v>4.9</v>
      </c>
      <c r="Q67" s="13" t="s">
        <v>87</v>
      </c>
      <c r="R67" s="13">
        <v>2025</v>
      </c>
      <c r="S67" s="15" t="str">
        <f t="shared" si="6"/>
        <v>Low Profit</v>
      </c>
      <c r="T67" s="15" t="str">
        <f t="shared" si="7"/>
        <v>Low Sales</v>
      </c>
      <c r="U67" s="15" t="str">
        <f t="shared" si="8"/>
        <v>Good</v>
      </c>
      <c r="V67" s="15" t="str">
        <f t="shared" si="9"/>
        <v>Normal Discount</v>
      </c>
      <c r="W67" s="15">
        <f>VLOOKUP(D67,Lookup_Table!$A:$C,2,FALSE)</f>
        <v>0.12</v>
      </c>
      <c r="X67" s="15">
        <f t="shared" si="10"/>
        <v>0.17103535476341</v>
      </c>
      <c r="Y67" s="15" t="str">
        <f>VLOOKUP(D67,Lookup_Table!A:C,3,0)</f>
        <v>Rahul</v>
      </c>
      <c r="Z67" s="15" t="str">
        <f t="shared" si="11"/>
        <v>Achived</v>
      </c>
    </row>
    <row r="68" spans="1:26">
      <c r="A68" s="13" t="s">
        <v>158</v>
      </c>
      <c r="B68" s="14">
        <v>45847</v>
      </c>
      <c r="C68" s="13" t="s">
        <v>27</v>
      </c>
      <c r="D68" s="13" t="s">
        <v>28</v>
      </c>
      <c r="E68" s="13" t="s">
        <v>73</v>
      </c>
      <c r="F68" s="13" t="s">
        <v>98</v>
      </c>
      <c r="G68" s="13" t="s">
        <v>99</v>
      </c>
      <c r="H68" s="13" t="s">
        <v>77</v>
      </c>
      <c r="I68" s="13" t="s">
        <v>96</v>
      </c>
      <c r="J68" s="13">
        <v>3</v>
      </c>
      <c r="K68" s="13">
        <v>167.2</v>
      </c>
      <c r="L68" s="13">
        <v>0</v>
      </c>
      <c r="M68" s="13">
        <v>501.6</v>
      </c>
      <c r="N68" s="13">
        <v>415.6</v>
      </c>
      <c r="O68" s="13">
        <v>86</v>
      </c>
      <c r="P68" s="13">
        <v>2.8</v>
      </c>
      <c r="Q68" s="13" t="s">
        <v>56</v>
      </c>
      <c r="R68" s="13">
        <v>2025</v>
      </c>
      <c r="S68" s="15" t="str">
        <f t="shared" si="6"/>
        <v>Low Profit</v>
      </c>
      <c r="T68" s="15" t="str">
        <f t="shared" si="7"/>
        <v>Low Sales</v>
      </c>
      <c r="U68" s="15" t="str">
        <f t="shared" si="8"/>
        <v>Needs Improvement</v>
      </c>
      <c r="V68" s="15" t="str">
        <f t="shared" si="9"/>
        <v>Normal Discount</v>
      </c>
      <c r="W68" s="15">
        <f>VLOOKUP(D68,Lookup_Table!$A:$C,2,FALSE)</f>
        <v>0.2</v>
      </c>
      <c r="X68" s="15">
        <f t="shared" si="10"/>
        <v>0.171451355661882</v>
      </c>
      <c r="Y68" s="15" t="str">
        <f>VLOOKUP(D68,Lookup_Table!A:C,3,0)</f>
        <v>Sneha</v>
      </c>
      <c r="Z68" s="15" t="str">
        <f t="shared" si="11"/>
        <v>Not Achieved</v>
      </c>
    </row>
    <row r="69" spans="1:26">
      <c r="A69" s="13" t="s">
        <v>159</v>
      </c>
      <c r="B69" s="14">
        <v>45895</v>
      </c>
      <c r="C69" s="13" t="s">
        <v>36</v>
      </c>
      <c r="D69" s="13" t="s">
        <v>37</v>
      </c>
      <c r="E69" s="13" t="s">
        <v>109</v>
      </c>
      <c r="F69" s="13" t="s">
        <v>82</v>
      </c>
      <c r="G69" s="13" t="s">
        <v>83</v>
      </c>
      <c r="H69" s="13" t="s">
        <v>77</v>
      </c>
      <c r="I69" s="13" t="s">
        <v>52</v>
      </c>
      <c r="J69" s="13">
        <v>6</v>
      </c>
      <c r="K69" s="13">
        <v>302.07</v>
      </c>
      <c r="L69" s="13">
        <v>0.15</v>
      </c>
      <c r="M69" s="13">
        <v>1540.56</v>
      </c>
      <c r="N69" s="13">
        <v>1274.45</v>
      </c>
      <c r="O69" s="13">
        <v>266.11</v>
      </c>
      <c r="P69" s="13">
        <v>4.3</v>
      </c>
      <c r="Q69" s="13" t="s">
        <v>47</v>
      </c>
      <c r="R69" s="13">
        <v>2025</v>
      </c>
      <c r="S69" s="15" t="str">
        <f t="shared" si="6"/>
        <v>Low Profit</v>
      </c>
      <c r="T69" s="15" t="str">
        <f t="shared" si="7"/>
        <v>High Sales</v>
      </c>
      <c r="U69" s="15" t="str">
        <f t="shared" si="8"/>
        <v>Good</v>
      </c>
      <c r="V69" s="15" t="str">
        <f t="shared" si="9"/>
        <v>High Discount</v>
      </c>
      <c r="W69" s="15">
        <f>VLOOKUP(D69,Lookup_Table!$A:$C,2,FALSE)</f>
        <v>0.16</v>
      </c>
      <c r="X69" s="15">
        <f t="shared" si="10"/>
        <v>0.172735888248429</v>
      </c>
      <c r="Y69" s="15" t="str">
        <f>VLOOKUP(D69,Lookup_Table!A:C,3,0)</f>
        <v>Vikram</v>
      </c>
      <c r="Z69" s="15" t="str">
        <f t="shared" si="11"/>
        <v>Achived</v>
      </c>
    </row>
    <row r="70" spans="1:26">
      <c r="A70" s="13" t="s">
        <v>160</v>
      </c>
      <c r="B70" s="14">
        <v>45789</v>
      </c>
      <c r="C70" s="13" t="s">
        <v>27</v>
      </c>
      <c r="D70" s="13" t="s">
        <v>28</v>
      </c>
      <c r="E70" s="13" t="s">
        <v>90</v>
      </c>
      <c r="F70" s="13" t="s">
        <v>39</v>
      </c>
      <c r="G70" s="13" t="s">
        <v>40</v>
      </c>
      <c r="H70" s="13" t="s">
        <v>41</v>
      </c>
      <c r="I70" s="13" t="s">
        <v>33</v>
      </c>
      <c r="J70" s="13">
        <v>2</v>
      </c>
      <c r="K70" s="13">
        <v>59.35</v>
      </c>
      <c r="L70" s="13">
        <v>0.15</v>
      </c>
      <c r="M70" s="13">
        <v>100.9</v>
      </c>
      <c r="N70" s="13">
        <v>83.44</v>
      </c>
      <c r="O70" s="13">
        <v>17.46</v>
      </c>
      <c r="P70" s="13">
        <v>3.6</v>
      </c>
      <c r="Q70" s="13" t="s">
        <v>42</v>
      </c>
      <c r="R70" s="13">
        <v>2025</v>
      </c>
      <c r="S70" s="15" t="str">
        <f t="shared" si="6"/>
        <v>Low Profit</v>
      </c>
      <c r="T70" s="15" t="str">
        <f t="shared" si="7"/>
        <v>Low Sales</v>
      </c>
      <c r="U70" s="15" t="str">
        <f t="shared" si="8"/>
        <v>Needs Improvement</v>
      </c>
      <c r="V70" s="15" t="str">
        <f t="shared" si="9"/>
        <v>High Discount</v>
      </c>
      <c r="W70" s="15">
        <f>VLOOKUP(D70,Lookup_Table!$A:$C,2,FALSE)</f>
        <v>0.2</v>
      </c>
      <c r="X70" s="15">
        <f t="shared" si="10"/>
        <v>0.173042616451933</v>
      </c>
      <c r="Y70" s="15" t="str">
        <f>VLOOKUP(D70,Lookup_Table!A:C,3,0)</f>
        <v>Sneha</v>
      </c>
      <c r="Z70" s="15" t="str">
        <f t="shared" si="11"/>
        <v>Not Achieved</v>
      </c>
    </row>
    <row r="71" spans="1:26">
      <c r="A71" s="13" t="s">
        <v>161</v>
      </c>
      <c r="B71" s="14">
        <v>45897</v>
      </c>
      <c r="C71" s="13" t="s">
        <v>27</v>
      </c>
      <c r="D71" s="13" t="s">
        <v>37</v>
      </c>
      <c r="E71" s="13" t="s">
        <v>109</v>
      </c>
      <c r="F71" s="13" t="s">
        <v>75</v>
      </c>
      <c r="G71" s="13" t="s">
        <v>76</v>
      </c>
      <c r="H71" s="13" t="s">
        <v>77</v>
      </c>
      <c r="I71" s="13" t="s">
        <v>46</v>
      </c>
      <c r="J71" s="13">
        <v>2</v>
      </c>
      <c r="K71" s="13">
        <v>112.42</v>
      </c>
      <c r="L71" s="13">
        <v>0.05</v>
      </c>
      <c r="M71" s="13">
        <v>213.6</v>
      </c>
      <c r="N71" s="13">
        <v>176.58</v>
      </c>
      <c r="O71" s="13">
        <v>37.02</v>
      </c>
      <c r="P71" s="13">
        <v>4.2</v>
      </c>
      <c r="Q71" s="13" t="s">
        <v>47</v>
      </c>
      <c r="R71" s="13">
        <v>2025</v>
      </c>
      <c r="S71" s="15" t="str">
        <f t="shared" si="6"/>
        <v>Low Profit</v>
      </c>
      <c r="T71" s="15" t="str">
        <f t="shared" si="7"/>
        <v>Low Sales</v>
      </c>
      <c r="U71" s="15" t="str">
        <f t="shared" si="8"/>
        <v>Good</v>
      </c>
      <c r="V71" s="15" t="str">
        <f t="shared" si="9"/>
        <v>Normal Discount</v>
      </c>
      <c r="W71" s="15">
        <f>VLOOKUP(D71,Lookup_Table!$A:$C,2,FALSE)</f>
        <v>0.16</v>
      </c>
      <c r="X71" s="15">
        <f t="shared" si="10"/>
        <v>0.173314606741573</v>
      </c>
      <c r="Y71" s="15" t="str">
        <f>VLOOKUP(D71,Lookup_Table!A:C,3,0)</f>
        <v>Vikram</v>
      </c>
      <c r="Z71" s="15" t="str">
        <f t="shared" si="11"/>
        <v>Achived</v>
      </c>
    </row>
    <row r="72" spans="1:26">
      <c r="A72" s="13" t="s">
        <v>162</v>
      </c>
      <c r="B72" s="14">
        <v>45832</v>
      </c>
      <c r="C72" s="13" t="s">
        <v>27</v>
      </c>
      <c r="D72" s="13" t="s">
        <v>28</v>
      </c>
      <c r="E72" s="13" t="s">
        <v>90</v>
      </c>
      <c r="F72" s="13" t="s">
        <v>75</v>
      </c>
      <c r="G72" s="13" t="s">
        <v>76</v>
      </c>
      <c r="H72" s="13" t="s">
        <v>77</v>
      </c>
      <c r="I72" s="13" t="s">
        <v>52</v>
      </c>
      <c r="J72" s="13">
        <v>5</v>
      </c>
      <c r="K72" s="13">
        <v>170.93</v>
      </c>
      <c r="L72" s="13">
        <v>0.15</v>
      </c>
      <c r="M72" s="13">
        <v>726.45</v>
      </c>
      <c r="N72" s="13">
        <v>600.53</v>
      </c>
      <c r="O72" s="13">
        <v>125.92</v>
      </c>
      <c r="P72" s="13">
        <v>2.9</v>
      </c>
      <c r="Q72" s="13" t="s">
        <v>58</v>
      </c>
      <c r="R72" s="13">
        <v>2025</v>
      </c>
      <c r="S72" s="15" t="str">
        <f t="shared" si="6"/>
        <v>Low Profit</v>
      </c>
      <c r="T72" s="15" t="str">
        <f t="shared" si="7"/>
        <v>Low Sales</v>
      </c>
      <c r="U72" s="15" t="str">
        <f t="shared" si="8"/>
        <v>Needs Improvement</v>
      </c>
      <c r="V72" s="15" t="str">
        <f t="shared" si="9"/>
        <v>High Discount</v>
      </c>
      <c r="W72" s="15">
        <f>VLOOKUP(D72,Lookup_Table!$A:$C,2,FALSE)</f>
        <v>0.2</v>
      </c>
      <c r="X72" s="15">
        <f t="shared" si="10"/>
        <v>0.173336086447794</v>
      </c>
      <c r="Y72" s="15" t="str">
        <f>VLOOKUP(D72,Lookup_Table!A:C,3,0)</f>
        <v>Sneha</v>
      </c>
      <c r="Z72" s="15" t="str">
        <f t="shared" si="11"/>
        <v>Not Achieved</v>
      </c>
    </row>
    <row r="73" spans="1:26">
      <c r="A73" s="13" t="s">
        <v>163</v>
      </c>
      <c r="B73" s="14">
        <v>45717</v>
      </c>
      <c r="C73" s="13" t="s">
        <v>55</v>
      </c>
      <c r="D73" s="13" t="s">
        <v>44</v>
      </c>
      <c r="E73" s="13" t="s">
        <v>104</v>
      </c>
      <c r="F73" s="13" t="s">
        <v>98</v>
      </c>
      <c r="G73" s="13" t="s">
        <v>99</v>
      </c>
      <c r="H73" s="13" t="s">
        <v>77</v>
      </c>
      <c r="I73" s="13" t="s">
        <v>33</v>
      </c>
      <c r="J73" s="13">
        <v>7</v>
      </c>
      <c r="K73" s="13">
        <v>205.15</v>
      </c>
      <c r="L73" s="13">
        <v>0.1</v>
      </c>
      <c r="M73" s="13">
        <v>1292.44</v>
      </c>
      <c r="N73" s="13">
        <v>1067.51</v>
      </c>
      <c r="O73" s="13">
        <v>224.93</v>
      </c>
      <c r="P73" s="13">
        <v>4.8</v>
      </c>
      <c r="Q73" s="13" t="s">
        <v>94</v>
      </c>
      <c r="R73" s="13">
        <v>2025</v>
      </c>
      <c r="S73" s="15" t="str">
        <f t="shared" si="6"/>
        <v>Low Profit</v>
      </c>
      <c r="T73" s="15" t="str">
        <f t="shared" si="7"/>
        <v>High Sales</v>
      </c>
      <c r="U73" s="15" t="str">
        <f t="shared" si="8"/>
        <v>Good</v>
      </c>
      <c r="V73" s="15" t="str">
        <f t="shared" si="9"/>
        <v>Normal Discount</v>
      </c>
      <c r="W73" s="15">
        <f>VLOOKUP(D73,Lookup_Table!$A:$C,2,FALSE)</f>
        <v>0.18</v>
      </c>
      <c r="X73" s="15">
        <f t="shared" si="10"/>
        <v>0.174035158305221</v>
      </c>
      <c r="Y73" s="15" t="str">
        <f>VLOOKUP(D73,Lookup_Table!A:C,3,0)</f>
        <v>Amit</v>
      </c>
      <c r="Z73" s="15" t="str">
        <f t="shared" si="11"/>
        <v>Not Achieved</v>
      </c>
    </row>
    <row r="74" spans="1:26">
      <c r="A74" s="13" t="s">
        <v>164</v>
      </c>
      <c r="B74" s="14">
        <v>45727</v>
      </c>
      <c r="C74" s="13" t="s">
        <v>55</v>
      </c>
      <c r="D74" s="13" t="s">
        <v>44</v>
      </c>
      <c r="E74" s="13" t="s">
        <v>45</v>
      </c>
      <c r="F74" s="13" t="s">
        <v>75</v>
      </c>
      <c r="G74" s="13" t="s">
        <v>76</v>
      </c>
      <c r="H74" s="13" t="s">
        <v>77</v>
      </c>
      <c r="I74" s="13" t="s">
        <v>46</v>
      </c>
      <c r="J74" s="13">
        <v>1</v>
      </c>
      <c r="K74" s="13">
        <v>1404.51</v>
      </c>
      <c r="L74" s="13">
        <v>0.05</v>
      </c>
      <c r="M74" s="13">
        <v>1334.28</v>
      </c>
      <c r="N74" s="13">
        <v>1101.43</v>
      </c>
      <c r="O74" s="13">
        <v>232.85</v>
      </c>
      <c r="P74" s="13">
        <v>3.3</v>
      </c>
      <c r="Q74" s="13" t="s">
        <v>94</v>
      </c>
      <c r="R74" s="13">
        <v>2025</v>
      </c>
      <c r="S74" s="15" t="str">
        <f t="shared" si="6"/>
        <v>Low Profit</v>
      </c>
      <c r="T74" s="15" t="str">
        <f t="shared" si="7"/>
        <v>High Sales</v>
      </c>
      <c r="U74" s="15" t="str">
        <f t="shared" si="8"/>
        <v>Needs Improvement</v>
      </c>
      <c r="V74" s="15" t="str">
        <f t="shared" si="9"/>
        <v>Normal Discount</v>
      </c>
      <c r="W74" s="15">
        <f>VLOOKUP(D74,Lookup_Table!$A:$C,2,FALSE)</f>
        <v>0.18</v>
      </c>
      <c r="X74" s="15">
        <f t="shared" si="10"/>
        <v>0.174513595347303</v>
      </c>
      <c r="Y74" s="15" t="str">
        <f>VLOOKUP(D74,Lookup_Table!A:C,3,0)</f>
        <v>Amit</v>
      </c>
      <c r="Z74" s="15" t="str">
        <f t="shared" si="11"/>
        <v>Not Achieved</v>
      </c>
    </row>
    <row r="75" spans="1:26">
      <c r="A75" s="13" t="s">
        <v>165</v>
      </c>
      <c r="B75" s="14">
        <v>45758</v>
      </c>
      <c r="C75" s="13" t="s">
        <v>27</v>
      </c>
      <c r="D75" s="13" t="s">
        <v>37</v>
      </c>
      <c r="E75" s="13" t="s">
        <v>86</v>
      </c>
      <c r="F75" s="13" t="s">
        <v>98</v>
      </c>
      <c r="G75" s="13" t="s">
        <v>99</v>
      </c>
      <c r="H75" s="13" t="s">
        <v>77</v>
      </c>
      <c r="I75" s="13" t="s">
        <v>33</v>
      </c>
      <c r="J75" s="13">
        <v>6</v>
      </c>
      <c r="K75" s="13">
        <v>177.98</v>
      </c>
      <c r="L75" s="13">
        <v>0.05</v>
      </c>
      <c r="M75" s="13">
        <v>1014.49</v>
      </c>
      <c r="N75" s="13">
        <v>836.95</v>
      </c>
      <c r="O75" s="13">
        <v>177.54</v>
      </c>
      <c r="P75" s="13">
        <v>3.4</v>
      </c>
      <c r="Q75" s="13" t="s">
        <v>84</v>
      </c>
      <c r="R75" s="13">
        <v>2025</v>
      </c>
      <c r="S75" s="15" t="str">
        <f t="shared" si="6"/>
        <v>Low Profit</v>
      </c>
      <c r="T75" s="15" t="str">
        <f t="shared" si="7"/>
        <v>High Sales</v>
      </c>
      <c r="U75" s="15" t="str">
        <f t="shared" si="8"/>
        <v>Needs Improvement</v>
      </c>
      <c r="V75" s="15" t="str">
        <f t="shared" si="9"/>
        <v>Normal Discount</v>
      </c>
      <c r="W75" s="15">
        <f>VLOOKUP(D75,Lookup_Table!$A:$C,2,FALSE)</f>
        <v>0.16</v>
      </c>
      <c r="X75" s="15">
        <f t="shared" si="10"/>
        <v>0.175004189297085</v>
      </c>
      <c r="Y75" s="15" t="str">
        <f>VLOOKUP(D75,Lookup_Table!A:C,3,0)</f>
        <v>Vikram</v>
      </c>
      <c r="Z75" s="15" t="str">
        <f t="shared" si="11"/>
        <v>Achived</v>
      </c>
    </row>
    <row r="76" spans="1:26">
      <c r="A76" s="13" t="s">
        <v>166</v>
      </c>
      <c r="B76" s="14">
        <v>45887</v>
      </c>
      <c r="C76" s="13" t="s">
        <v>36</v>
      </c>
      <c r="D76" s="13" t="s">
        <v>37</v>
      </c>
      <c r="E76" s="13" t="s">
        <v>109</v>
      </c>
      <c r="F76" s="13" t="s">
        <v>75</v>
      </c>
      <c r="G76" s="13" t="s">
        <v>76</v>
      </c>
      <c r="H76" s="13" t="s">
        <v>77</v>
      </c>
      <c r="I76" s="13" t="s">
        <v>33</v>
      </c>
      <c r="J76" s="13">
        <v>5</v>
      </c>
      <c r="K76" s="13">
        <v>412.91</v>
      </c>
      <c r="L76" s="13">
        <v>0.15</v>
      </c>
      <c r="M76" s="13">
        <v>1754.87</v>
      </c>
      <c r="N76" s="13">
        <v>1446.69</v>
      </c>
      <c r="O76" s="13">
        <v>308.18</v>
      </c>
      <c r="P76" s="13">
        <v>3.5</v>
      </c>
      <c r="Q76" s="13" t="s">
        <v>47</v>
      </c>
      <c r="R76" s="13">
        <v>2025</v>
      </c>
      <c r="S76" s="15" t="str">
        <f t="shared" si="6"/>
        <v>Low Profit</v>
      </c>
      <c r="T76" s="15" t="str">
        <f t="shared" si="7"/>
        <v>High Sales</v>
      </c>
      <c r="U76" s="15" t="str">
        <f t="shared" si="8"/>
        <v>Needs Improvement</v>
      </c>
      <c r="V76" s="15" t="str">
        <f t="shared" si="9"/>
        <v>High Discount</v>
      </c>
      <c r="W76" s="15">
        <f>VLOOKUP(D76,Lookup_Table!$A:$C,2,FALSE)</f>
        <v>0.16</v>
      </c>
      <c r="X76" s="15">
        <f t="shared" si="10"/>
        <v>0.175614148056551</v>
      </c>
      <c r="Y76" s="15" t="str">
        <f>VLOOKUP(D76,Lookup_Table!A:C,3,0)</f>
        <v>Vikram</v>
      </c>
      <c r="Z76" s="15" t="str">
        <f t="shared" si="11"/>
        <v>Achived</v>
      </c>
    </row>
    <row r="77" spans="1:26">
      <c r="A77" s="13" t="s">
        <v>167</v>
      </c>
      <c r="B77" s="14">
        <v>45877</v>
      </c>
      <c r="C77" s="13" t="s">
        <v>36</v>
      </c>
      <c r="D77" s="13" t="s">
        <v>37</v>
      </c>
      <c r="E77" s="13" t="s">
        <v>38</v>
      </c>
      <c r="F77" s="13" t="s">
        <v>67</v>
      </c>
      <c r="G77" s="13" t="s">
        <v>68</v>
      </c>
      <c r="H77" s="13" t="s">
        <v>69</v>
      </c>
      <c r="I77" s="13" t="s">
        <v>96</v>
      </c>
      <c r="J77" s="13">
        <v>3</v>
      </c>
      <c r="K77" s="13">
        <v>200.34</v>
      </c>
      <c r="L77" s="13">
        <v>0</v>
      </c>
      <c r="M77" s="13">
        <v>601.02</v>
      </c>
      <c r="N77" s="13">
        <v>495.42</v>
      </c>
      <c r="O77" s="13">
        <v>105.6</v>
      </c>
      <c r="P77" s="13">
        <v>4.9</v>
      </c>
      <c r="Q77" s="13" t="s">
        <v>47</v>
      </c>
      <c r="R77" s="13">
        <v>2025</v>
      </c>
      <c r="S77" s="15" t="str">
        <f t="shared" si="6"/>
        <v>Low Profit</v>
      </c>
      <c r="T77" s="15" t="str">
        <f t="shared" si="7"/>
        <v>Low Sales</v>
      </c>
      <c r="U77" s="15" t="str">
        <f t="shared" si="8"/>
        <v>Good</v>
      </c>
      <c r="V77" s="15" t="str">
        <f t="shared" si="9"/>
        <v>Normal Discount</v>
      </c>
      <c r="W77" s="15">
        <f>VLOOKUP(D77,Lookup_Table!$A:$C,2,FALSE)</f>
        <v>0.16</v>
      </c>
      <c r="X77" s="15">
        <f t="shared" si="10"/>
        <v>0.175701307776779</v>
      </c>
      <c r="Y77" s="15" t="str">
        <f>VLOOKUP(D77,Lookup_Table!A:C,3,0)</f>
        <v>Vikram</v>
      </c>
      <c r="Z77" s="15" t="str">
        <f t="shared" si="11"/>
        <v>Achived</v>
      </c>
    </row>
    <row r="78" spans="1:26">
      <c r="A78" s="13" t="s">
        <v>168</v>
      </c>
      <c r="B78" s="14">
        <v>45981</v>
      </c>
      <c r="C78" s="13" t="s">
        <v>55</v>
      </c>
      <c r="D78" s="13" t="s">
        <v>60</v>
      </c>
      <c r="E78" s="13" t="s">
        <v>127</v>
      </c>
      <c r="F78" s="13" t="s">
        <v>98</v>
      </c>
      <c r="G78" s="13" t="s">
        <v>99</v>
      </c>
      <c r="H78" s="13" t="s">
        <v>77</v>
      </c>
      <c r="I78" s="13" t="s">
        <v>52</v>
      </c>
      <c r="J78" s="13">
        <v>2</v>
      </c>
      <c r="K78" s="13">
        <v>461.28</v>
      </c>
      <c r="L78" s="13">
        <v>0.15</v>
      </c>
      <c r="M78" s="13">
        <v>784.18</v>
      </c>
      <c r="N78" s="13">
        <v>646.28</v>
      </c>
      <c r="O78" s="13">
        <v>137.9</v>
      </c>
      <c r="P78" s="13">
        <v>3.2</v>
      </c>
      <c r="Q78" s="13" t="s">
        <v>71</v>
      </c>
      <c r="R78" s="13">
        <v>2025</v>
      </c>
      <c r="S78" s="15" t="str">
        <f t="shared" si="6"/>
        <v>Low Profit</v>
      </c>
      <c r="T78" s="15" t="str">
        <f t="shared" si="7"/>
        <v>Low Sales</v>
      </c>
      <c r="U78" s="15" t="str">
        <f t="shared" si="8"/>
        <v>Needs Improvement</v>
      </c>
      <c r="V78" s="15" t="str">
        <f t="shared" si="9"/>
        <v>High Discount</v>
      </c>
      <c r="W78" s="15">
        <f>VLOOKUP(D78,Lookup_Table!$A:$C,2,FALSE)</f>
        <v>0.15</v>
      </c>
      <c r="X78" s="15">
        <f t="shared" si="10"/>
        <v>0.175852482848326</v>
      </c>
      <c r="Y78" s="15" t="str">
        <f>VLOOKUP(D78,Lookup_Table!A:C,3,0)</f>
        <v>Priya</v>
      </c>
      <c r="Z78" s="15" t="str">
        <f t="shared" si="11"/>
        <v>Achived</v>
      </c>
    </row>
    <row r="79" spans="1:26">
      <c r="A79" s="13" t="s">
        <v>169</v>
      </c>
      <c r="B79" s="14">
        <v>45994</v>
      </c>
      <c r="C79" s="13" t="s">
        <v>27</v>
      </c>
      <c r="D79" s="13" t="s">
        <v>28</v>
      </c>
      <c r="E79" s="13" t="s">
        <v>49</v>
      </c>
      <c r="F79" s="13" t="s">
        <v>50</v>
      </c>
      <c r="G79" s="13" t="s">
        <v>51</v>
      </c>
      <c r="H79" s="13" t="s">
        <v>32</v>
      </c>
      <c r="I79" s="13" t="s">
        <v>33</v>
      </c>
      <c r="J79" s="13">
        <v>5</v>
      </c>
      <c r="K79" s="13">
        <v>53.4</v>
      </c>
      <c r="L79" s="13">
        <v>0.05</v>
      </c>
      <c r="M79" s="13">
        <v>253.65</v>
      </c>
      <c r="N79" s="13">
        <v>209.04</v>
      </c>
      <c r="O79" s="13">
        <v>44.61</v>
      </c>
      <c r="P79" s="13">
        <v>3</v>
      </c>
      <c r="Q79" s="13" t="s">
        <v>34</v>
      </c>
      <c r="R79" s="13">
        <v>2025</v>
      </c>
      <c r="S79" s="15" t="str">
        <f t="shared" si="6"/>
        <v>Low Profit</v>
      </c>
      <c r="T79" s="15" t="str">
        <f t="shared" si="7"/>
        <v>Low Sales</v>
      </c>
      <c r="U79" s="15" t="str">
        <f t="shared" si="8"/>
        <v>Needs Improvement</v>
      </c>
      <c r="V79" s="15" t="str">
        <f t="shared" si="9"/>
        <v>Normal Discount</v>
      </c>
      <c r="W79" s="15">
        <f>VLOOKUP(D79,Lookup_Table!$A:$C,2,FALSE)</f>
        <v>0.2</v>
      </c>
      <c r="X79" s="15">
        <f t="shared" si="10"/>
        <v>0.175872264931993</v>
      </c>
      <c r="Y79" s="15" t="str">
        <f>VLOOKUP(D79,Lookup_Table!A:C,3,0)</f>
        <v>Sneha</v>
      </c>
      <c r="Z79" s="15" t="str">
        <f t="shared" si="11"/>
        <v>Not Achieved</v>
      </c>
    </row>
    <row r="80" spans="1:26">
      <c r="A80" s="13" t="s">
        <v>170</v>
      </c>
      <c r="B80" s="14">
        <v>45803</v>
      </c>
      <c r="C80" s="13" t="s">
        <v>36</v>
      </c>
      <c r="D80" s="13" t="s">
        <v>37</v>
      </c>
      <c r="E80" s="13" t="s">
        <v>86</v>
      </c>
      <c r="F80" s="13" t="s">
        <v>116</v>
      </c>
      <c r="G80" s="13" t="s">
        <v>117</v>
      </c>
      <c r="H80" s="13" t="s">
        <v>32</v>
      </c>
      <c r="I80" s="13" t="s">
        <v>52</v>
      </c>
      <c r="J80" s="13">
        <v>3</v>
      </c>
      <c r="K80" s="13">
        <v>114.87</v>
      </c>
      <c r="L80" s="13">
        <v>0</v>
      </c>
      <c r="M80" s="13">
        <v>344.61</v>
      </c>
      <c r="N80" s="13">
        <v>283.85</v>
      </c>
      <c r="O80" s="13">
        <v>60.76</v>
      </c>
      <c r="P80" s="13">
        <v>4.3</v>
      </c>
      <c r="Q80" s="13" t="s">
        <v>42</v>
      </c>
      <c r="R80" s="13">
        <v>2025</v>
      </c>
      <c r="S80" s="15" t="str">
        <f t="shared" si="6"/>
        <v>Low Profit</v>
      </c>
      <c r="T80" s="15" t="str">
        <f t="shared" si="7"/>
        <v>Low Sales</v>
      </c>
      <c r="U80" s="15" t="str">
        <f t="shared" si="8"/>
        <v>Good</v>
      </c>
      <c r="V80" s="15" t="str">
        <f t="shared" si="9"/>
        <v>Normal Discount</v>
      </c>
      <c r="W80" s="15">
        <f>VLOOKUP(D80,Lookup_Table!$A:$C,2,FALSE)</f>
        <v>0.16</v>
      </c>
      <c r="X80" s="15">
        <f t="shared" si="10"/>
        <v>0.176315254925858</v>
      </c>
      <c r="Y80" s="15" t="str">
        <f>VLOOKUP(D80,Lookup_Table!A:C,3,0)</f>
        <v>Vikram</v>
      </c>
      <c r="Z80" s="15" t="str">
        <f t="shared" si="11"/>
        <v>Achived</v>
      </c>
    </row>
    <row r="81" spans="1:26">
      <c r="A81" s="13" t="s">
        <v>171</v>
      </c>
      <c r="B81" s="14">
        <v>45828</v>
      </c>
      <c r="C81" s="13" t="s">
        <v>55</v>
      </c>
      <c r="D81" s="13" t="s">
        <v>37</v>
      </c>
      <c r="E81" s="13" t="s">
        <v>38</v>
      </c>
      <c r="F81" s="13" t="s">
        <v>62</v>
      </c>
      <c r="G81" s="13" t="s">
        <v>63</v>
      </c>
      <c r="H81" s="13" t="s">
        <v>32</v>
      </c>
      <c r="I81" s="13" t="s">
        <v>52</v>
      </c>
      <c r="J81" s="13">
        <v>3</v>
      </c>
      <c r="K81" s="13">
        <v>191.22</v>
      </c>
      <c r="L81" s="13">
        <v>0.15</v>
      </c>
      <c r="M81" s="13">
        <v>487.61</v>
      </c>
      <c r="N81" s="13">
        <v>401.53</v>
      </c>
      <c r="O81" s="13">
        <v>86.08</v>
      </c>
      <c r="P81" s="13">
        <v>3.6</v>
      </c>
      <c r="Q81" s="13" t="s">
        <v>58</v>
      </c>
      <c r="R81" s="13">
        <v>2025</v>
      </c>
      <c r="S81" s="15" t="str">
        <f t="shared" si="6"/>
        <v>Low Profit</v>
      </c>
      <c r="T81" s="15" t="str">
        <f t="shared" si="7"/>
        <v>Low Sales</v>
      </c>
      <c r="U81" s="15" t="str">
        <f t="shared" si="8"/>
        <v>Needs Improvement</v>
      </c>
      <c r="V81" s="15" t="str">
        <f t="shared" si="9"/>
        <v>High Discount</v>
      </c>
      <c r="W81" s="15">
        <f>VLOOKUP(D81,Lookup_Table!$A:$C,2,FALSE)</f>
        <v>0.16</v>
      </c>
      <c r="X81" s="15">
        <f t="shared" si="10"/>
        <v>0.176534525542954</v>
      </c>
      <c r="Y81" s="15" t="str">
        <f>VLOOKUP(D81,Lookup_Table!A:C,3,0)</f>
        <v>Vikram</v>
      </c>
      <c r="Z81" s="15" t="str">
        <f t="shared" si="11"/>
        <v>Achived</v>
      </c>
    </row>
    <row r="82" spans="1:26">
      <c r="A82" s="13" t="s">
        <v>172</v>
      </c>
      <c r="B82" s="14">
        <v>45841</v>
      </c>
      <c r="C82" s="13" t="s">
        <v>27</v>
      </c>
      <c r="D82" s="13" t="s">
        <v>80</v>
      </c>
      <c r="E82" s="13" t="s">
        <v>101</v>
      </c>
      <c r="F82" s="13" t="s">
        <v>67</v>
      </c>
      <c r="G82" s="13" t="s">
        <v>68</v>
      </c>
      <c r="H82" s="13" t="s">
        <v>69</v>
      </c>
      <c r="I82" s="13" t="s">
        <v>46</v>
      </c>
      <c r="J82" s="13">
        <v>2</v>
      </c>
      <c r="K82" s="13">
        <v>24.6</v>
      </c>
      <c r="L82" s="13">
        <v>0.15</v>
      </c>
      <c r="M82" s="13">
        <v>41.82</v>
      </c>
      <c r="N82" s="13">
        <v>34.43</v>
      </c>
      <c r="O82" s="13">
        <v>7.39</v>
      </c>
      <c r="P82" s="13">
        <v>3.9</v>
      </c>
      <c r="Q82" s="13" t="s">
        <v>56</v>
      </c>
      <c r="R82" s="13">
        <v>2025</v>
      </c>
      <c r="S82" s="15" t="str">
        <f t="shared" si="6"/>
        <v>Low Profit</v>
      </c>
      <c r="T82" s="15" t="str">
        <f t="shared" si="7"/>
        <v>Low Sales</v>
      </c>
      <c r="U82" s="15" t="str">
        <f t="shared" si="8"/>
        <v>Needs Improvement</v>
      </c>
      <c r="V82" s="15" t="str">
        <f t="shared" si="9"/>
        <v>High Discount</v>
      </c>
      <c r="W82" s="15">
        <f>VLOOKUP(D82,Lookup_Table!$A:$C,2,FALSE)</f>
        <v>0.12</v>
      </c>
      <c r="X82" s="15">
        <f t="shared" si="10"/>
        <v>0.176709708273553</v>
      </c>
      <c r="Y82" s="15" t="str">
        <f>VLOOKUP(D82,Lookup_Table!A:C,3,0)</f>
        <v>Rahul</v>
      </c>
      <c r="Z82" s="15" t="str">
        <f t="shared" si="11"/>
        <v>Achived</v>
      </c>
    </row>
    <row r="83" spans="1:26">
      <c r="A83" s="13" t="s">
        <v>173</v>
      </c>
      <c r="B83" s="14">
        <v>45911</v>
      </c>
      <c r="C83" s="13" t="s">
        <v>55</v>
      </c>
      <c r="D83" s="13" t="s">
        <v>80</v>
      </c>
      <c r="E83" s="13" t="s">
        <v>81</v>
      </c>
      <c r="F83" s="13" t="s">
        <v>75</v>
      </c>
      <c r="G83" s="13" t="s">
        <v>76</v>
      </c>
      <c r="H83" s="13" t="s">
        <v>77</v>
      </c>
      <c r="I83" s="13" t="s">
        <v>52</v>
      </c>
      <c r="J83" s="13">
        <v>4</v>
      </c>
      <c r="K83" s="13">
        <v>21.54</v>
      </c>
      <c r="L83" s="13">
        <v>0.1</v>
      </c>
      <c r="M83" s="13">
        <v>77.54</v>
      </c>
      <c r="N83" s="13">
        <v>63.83</v>
      </c>
      <c r="O83" s="13">
        <v>13.71</v>
      </c>
      <c r="P83" s="13">
        <v>2.8</v>
      </c>
      <c r="Q83" s="13" t="s">
        <v>53</v>
      </c>
      <c r="R83" s="13">
        <v>2025</v>
      </c>
      <c r="S83" s="15" t="str">
        <f t="shared" si="6"/>
        <v>Low Profit</v>
      </c>
      <c r="T83" s="15" t="str">
        <f t="shared" si="7"/>
        <v>Low Sales</v>
      </c>
      <c r="U83" s="15" t="str">
        <f t="shared" si="8"/>
        <v>Needs Improvement</v>
      </c>
      <c r="V83" s="15" t="str">
        <f t="shared" si="9"/>
        <v>Normal Discount</v>
      </c>
      <c r="W83" s="15">
        <f>VLOOKUP(D83,Lookup_Table!$A:$C,2,FALSE)</f>
        <v>0.12</v>
      </c>
      <c r="X83" s="15">
        <f t="shared" si="10"/>
        <v>0.176811968016508</v>
      </c>
      <c r="Y83" s="15" t="str">
        <f>VLOOKUP(D83,Lookup_Table!A:C,3,0)</f>
        <v>Rahul</v>
      </c>
      <c r="Z83" s="15" t="str">
        <f t="shared" si="11"/>
        <v>Achived</v>
      </c>
    </row>
    <row r="84" spans="1:26">
      <c r="A84" s="13" t="s">
        <v>174</v>
      </c>
      <c r="B84" s="14">
        <v>46021</v>
      </c>
      <c r="C84" s="13" t="s">
        <v>36</v>
      </c>
      <c r="D84" s="13" t="s">
        <v>28</v>
      </c>
      <c r="E84" s="13" t="s">
        <v>49</v>
      </c>
      <c r="F84" s="13" t="s">
        <v>62</v>
      </c>
      <c r="G84" s="13" t="s">
        <v>63</v>
      </c>
      <c r="H84" s="13" t="s">
        <v>32</v>
      </c>
      <c r="I84" s="13" t="s">
        <v>46</v>
      </c>
      <c r="J84" s="13">
        <v>5</v>
      </c>
      <c r="K84" s="13">
        <v>90.66</v>
      </c>
      <c r="L84" s="13">
        <v>0.1</v>
      </c>
      <c r="M84" s="13">
        <v>407.97</v>
      </c>
      <c r="N84" s="13">
        <v>335.52</v>
      </c>
      <c r="O84" s="13">
        <v>72.45</v>
      </c>
      <c r="P84" s="13">
        <v>3.2</v>
      </c>
      <c r="Q84" s="13" t="s">
        <v>34</v>
      </c>
      <c r="R84" s="13">
        <v>2025</v>
      </c>
      <c r="S84" s="15" t="str">
        <f t="shared" si="6"/>
        <v>Low Profit</v>
      </c>
      <c r="T84" s="15" t="str">
        <f t="shared" si="7"/>
        <v>Low Sales</v>
      </c>
      <c r="U84" s="15" t="str">
        <f t="shared" si="8"/>
        <v>Needs Improvement</v>
      </c>
      <c r="V84" s="15" t="str">
        <f t="shared" si="9"/>
        <v>Normal Discount</v>
      </c>
      <c r="W84" s="15">
        <f>VLOOKUP(D84,Lookup_Table!$A:$C,2,FALSE)</f>
        <v>0.2</v>
      </c>
      <c r="X84" s="15">
        <f t="shared" si="10"/>
        <v>0.177586587249062</v>
      </c>
      <c r="Y84" s="15" t="str">
        <f>VLOOKUP(D84,Lookup_Table!A:C,3,0)</f>
        <v>Sneha</v>
      </c>
      <c r="Z84" s="15" t="str">
        <f t="shared" si="11"/>
        <v>Not Achieved</v>
      </c>
    </row>
    <row r="85" spans="1:26">
      <c r="A85" s="13" t="s">
        <v>175</v>
      </c>
      <c r="B85" s="14">
        <v>45884</v>
      </c>
      <c r="C85" s="13" t="s">
        <v>27</v>
      </c>
      <c r="D85" s="13" t="s">
        <v>80</v>
      </c>
      <c r="E85" s="13" t="s">
        <v>101</v>
      </c>
      <c r="F85" s="13" t="s">
        <v>39</v>
      </c>
      <c r="G85" s="13" t="s">
        <v>40</v>
      </c>
      <c r="H85" s="13" t="s">
        <v>41</v>
      </c>
      <c r="I85" s="13" t="s">
        <v>46</v>
      </c>
      <c r="J85" s="13">
        <v>3</v>
      </c>
      <c r="K85" s="13">
        <v>79.77</v>
      </c>
      <c r="L85" s="13">
        <v>0</v>
      </c>
      <c r="M85" s="13">
        <v>239.31</v>
      </c>
      <c r="N85" s="13">
        <v>196.77</v>
      </c>
      <c r="O85" s="13">
        <v>42.54</v>
      </c>
      <c r="P85" s="13">
        <v>3.2</v>
      </c>
      <c r="Q85" s="13" t="s">
        <v>47</v>
      </c>
      <c r="R85" s="13">
        <v>2025</v>
      </c>
      <c r="S85" s="15" t="str">
        <f t="shared" si="6"/>
        <v>Low Profit</v>
      </c>
      <c r="T85" s="15" t="str">
        <f t="shared" si="7"/>
        <v>Low Sales</v>
      </c>
      <c r="U85" s="15" t="str">
        <f t="shared" si="8"/>
        <v>Needs Improvement</v>
      </c>
      <c r="V85" s="15" t="str">
        <f t="shared" si="9"/>
        <v>Normal Discount</v>
      </c>
      <c r="W85" s="15">
        <f>VLOOKUP(D85,Lookup_Table!$A:$C,2,FALSE)</f>
        <v>0.12</v>
      </c>
      <c r="X85" s="15">
        <f t="shared" si="10"/>
        <v>0.177761063056287</v>
      </c>
      <c r="Y85" s="15" t="str">
        <f>VLOOKUP(D85,Lookup_Table!A:C,3,0)</f>
        <v>Rahul</v>
      </c>
      <c r="Z85" s="15" t="str">
        <f t="shared" si="11"/>
        <v>Achived</v>
      </c>
    </row>
    <row r="86" spans="1:26">
      <c r="A86" s="13" t="s">
        <v>176</v>
      </c>
      <c r="B86" s="14">
        <v>45789</v>
      </c>
      <c r="C86" s="13" t="s">
        <v>55</v>
      </c>
      <c r="D86" s="13" t="s">
        <v>60</v>
      </c>
      <c r="E86" s="13" t="s">
        <v>66</v>
      </c>
      <c r="F86" s="13" t="s">
        <v>67</v>
      </c>
      <c r="G86" s="13" t="s">
        <v>68</v>
      </c>
      <c r="H86" s="13" t="s">
        <v>69</v>
      </c>
      <c r="I86" s="13" t="s">
        <v>96</v>
      </c>
      <c r="J86" s="13">
        <v>6</v>
      </c>
      <c r="K86" s="13">
        <v>517.26</v>
      </c>
      <c r="L86" s="13">
        <v>0.15</v>
      </c>
      <c r="M86" s="13">
        <v>2638.03</v>
      </c>
      <c r="N86" s="13">
        <v>2167.89</v>
      </c>
      <c r="O86" s="13">
        <v>470.14</v>
      </c>
      <c r="P86" s="13">
        <v>3.9</v>
      </c>
      <c r="Q86" s="13" t="s">
        <v>42</v>
      </c>
      <c r="R86" s="13">
        <v>2025</v>
      </c>
      <c r="S86" s="15" t="str">
        <f t="shared" si="6"/>
        <v>Low Profit</v>
      </c>
      <c r="T86" s="15" t="str">
        <f t="shared" si="7"/>
        <v>High Sales</v>
      </c>
      <c r="U86" s="15" t="str">
        <f t="shared" si="8"/>
        <v>Needs Improvement</v>
      </c>
      <c r="V86" s="15" t="str">
        <f t="shared" si="9"/>
        <v>High Discount</v>
      </c>
      <c r="W86" s="15">
        <f>VLOOKUP(D86,Lookup_Table!$A:$C,2,FALSE)</f>
        <v>0.15</v>
      </c>
      <c r="X86" s="15">
        <f t="shared" si="10"/>
        <v>0.178216320511897</v>
      </c>
      <c r="Y86" s="15" t="str">
        <f>VLOOKUP(D86,Lookup_Table!A:C,3,0)</f>
        <v>Priya</v>
      </c>
      <c r="Z86" s="15" t="str">
        <f t="shared" si="11"/>
        <v>Achived</v>
      </c>
    </row>
    <row r="87" spans="1:26">
      <c r="A87" s="13" t="s">
        <v>177</v>
      </c>
      <c r="B87" s="14">
        <v>45945</v>
      </c>
      <c r="C87" s="13" t="s">
        <v>27</v>
      </c>
      <c r="D87" s="13" t="s">
        <v>37</v>
      </c>
      <c r="E87" s="13" t="s">
        <v>93</v>
      </c>
      <c r="F87" s="13" t="s">
        <v>75</v>
      </c>
      <c r="G87" s="13" t="s">
        <v>76</v>
      </c>
      <c r="H87" s="13" t="s">
        <v>77</v>
      </c>
      <c r="I87" s="13" t="s">
        <v>33</v>
      </c>
      <c r="J87" s="13">
        <v>6</v>
      </c>
      <c r="K87" s="13">
        <v>153.52</v>
      </c>
      <c r="L87" s="13">
        <v>0</v>
      </c>
      <c r="M87" s="13">
        <v>921.12</v>
      </c>
      <c r="N87" s="13">
        <v>756.86</v>
      </c>
      <c r="O87" s="13">
        <v>164.26</v>
      </c>
      <c r="P87" s="13">
        <v>4.2</v>
      </c>
      <c r="Q87" s="13" t="s">
        <v>87</v>
      </c>
      <c r="R87" s="13">
        <v>2025</v>
      </c>
      <c r="S87" s="15" t="str">
        <f t="shared" si="6"/>
        <v>Low Profit</v>
      </c>
      <c r="T87" s="15" t="str">
        <f t="shared" si="7"/>
        <v>Low Sales</v>
      </c>
      <c r="U87" s="15" t="str">
        <f t="shared" si="8"/>
        <v>Good</v>
      </c>
      <c r="V87" s="15" t="str">
        <f t="shared" si="9"/>
        <v>Normal Discount</v>
      </c>
      <c r="W87" s="15">
        <f>VLOOKUP(D87,Lookup_Table!$A:$C,2,FALSE)</f>
        <v>0.16</v>
      </c>
      <c r="X87" s="15">
        <f t="shared" si="10"/>
        <v>0.178326385270106</v>
      </c>
      <c r="Y87" s="15" t="str">
        <f>VLOOKUP(D87,Lookup_Table!A:C,3,0)</f>
        <v>Vikram</v>
      </c>
      <c r="Z87" s="15" t="str">
        <f t="shared" si="11"/>
        <v>Achived</v>
      </c>
    </row>
    <row r="88" spans="1:26">
      <c r="A88" s="13" t="s">
        <v>178</v>
      </c>
      <c r="B88" s="14">
        <v>45821</v>
      </c>
      <c r="C88" s="13" t="s">
        <v>27</v>
      </c>
      <c r="D88" s="13" t="s">
        <v>37</v>
      </c>
      <c r="E88" s="13" t="s">
        <v>86</v>
      </c>
      <c r="F88" s="13" t="s">
        <v>98</v>
      </c>
      <c r="G88" s="13" t="s">
        <v>99</v>
      </c>
      <c r="H88" s="13" t="s">
        <v>77</v>
      </c>
      <c r="I88" s="13" t="s">
        <v>33</v>
      </c>
      <c r="J88" s="13">
        <v>2</v>
      </c>
      <c r="K88" s="13">
        <v>116.21</v>
      </c>
      <c r="L88" s="13">
        <v>0.15</v>
      </c>
      <c r="M88" s="13">
        <v>197.56</v>
      </c>
      <c r="N88" s="13">
        <v>162.24</v>
      </c>
      <c r="O88" s="13">
        <v>35.32</v>
      </c>
      <c r="P88" s="13">
        <v>2.9</v>
      </c>
      <c r="Q88" s="13" t="s">
        <v>58</v>
      </c>
      <c r="R88" s="13">
        <v>2025</v>
      </c>
      <c r="S88" s="15" t="str">
        <f t="shared" si="6"/>
        <v>Low Profit</v>
      </c>
      <c r="T88" s="15" t="str">
        <f t="shared" si="7"/>
        <v>Low Sales</v>
      </c>
      <c r="U88" s="15" t="str">
        <f t="shared" si="8"/>
        <v>Needs Improvement</v>
      </c>
      <c r="V88" s="15" t="str">
        <f t="shared" si="9"/>
        <v>High Discount</v>
      </c>
      <c r="W88" s="15">
        <f>VLOOKUP(D88,Lookup_Table!$A:$C,2,FALSE)</f>
        <v>0.16</v>
      </c>
      <c r="X88" s="15">
        <f t="shared" si="10"/>
        <v>0.178781129783357</v>
      </c>
      <c r="Y88" s="15" t="str">
        <f>VLOOKUP(D88,Lookup_Table!A:C,3,0)</f>
        <v>Vikram</v>
      </c>
      <c r="Z88" s="15" t="str">
        <f t="shared" si="11"/>
        <v>Achived</v>
      </c>
    </row>
    <row r="89" spans="1:26">
      <c r="A89" s="13" t="s">
        <v>179</v>
      </c>
      <c r="B89" s="14">
        <v>46003</v>
      </c>
      <c r="C89" s="13" t="s">
        <v>55</v>
      </c>
      <c r="D89" s="13" t="s">
        <v>28</v>
      </c>
      <c r="E89" s="13" t="s">
        <v>29</v>
      </c>
      <c r="F89" s="13" t="s">
        <v>30</v>
      </c>
      <c r="G89" s="13" t="s">
        <v>31</v>
      </c>
      <c r="H89" s="13" t="s">
        <v>32</v>
      </c>
      <c r="I89" s="13" t="s">
        <v>96</v>
      </c>
      <c r="J89" s="13">
        <v>2</v>
      </c>
      <c r="K89" s="13">
        <v>71.78</v>
      </c>
      <c r="L89" s="13">
        <v>0</v>
      </c>
      <c r="M89" s="13">
        <v>143.56</v>
      </c>
      <c r="N89" s="13">
        <v>117.89</v>
      </c>
      <c r="O89" s="13">
        <v>25.67</v>
      </c>
      <c r="P89" s="13">
        <v>4.1</v>
      </c>
      <c r="Q89" s="13" t="s">
        <v>34</v>
      </c>
      <c r="R89" s="13">
        <v>2025</v>
      </c>
      <c r="S89" s="15" t="str">
        <f t="shared" si="6"/>
        <v>Low Profit</v>
      </c>
      <c r="T89" s="15" t="str">
        <f t="shared" si="7"/>
        <v>Low Sales</v>
      </c>
      <c r="U89" s="15" t="str">
        <f t="shared" si="8"/>
        <v>Good</v>
      </c>
      <c r="V89" s="15" t="str">
        <f t="shared" si="9"/>
        <v>Normal Discount</v>
      </c>
      <c r="W89" s="15">
        <f>VLOOKUP(D89,Lookup_Table!$A:$C,2,FALSE)</f>
        <v>0.2</v>
      </c>
      <c r="X89" s="15">
        <f t="shared" si="10"/>
        <v>0.178810253552522</v>
      </c>
      <c r="Y89" s="15" t="str">
        <f>VLOOKUP(D89,Lookup_Table!A:C,3,0)</f>
        <v>Sneha</v>
      </c>
      <c r="Z89" s="15" t="str">
        <f t="shared" si="11"/>
        <v>Not Achieved</v>
      </c>
    </row>
    <row r="90" spans="1:26">
      <c r="A90" s="13" t="s">
        <v>180</v>
      </c>
      <c r="B90" s="14">
        <v>45868</v>
      </c>
      <c r="C90" s="13" t="s">
        <v>36</v>
      </c>
      <c r="D90" s="13" t="s">
        <v>60</v>
      </c>
      <c r="E90" s="13" t="s">
        <v>127</v>
      </c>
      <c r="F90" s="13" t="s">
        <v>39</v>
      </c>
      <c r="G90" s="13" t="s">
        <v>40</v>
      </c>
      <c r="H90" s="13" t="s">
        <v>41</v>
      </c>
      <c r="I90" s="13" t="s">
        <v>46</v>
      </c>
      <c r="J90" s="13">
        <v>1</v>
      </c>
      <c r="K90" s="13">
        <v>448.27</v>
      </c>
      <c r="L90" s="13">
        <v>0.1</v>
      </c>
      <c r="M90" s="13">
        <v>403.44</v>
      </c>
      <c r="N90" s="13">
        <v>331.19</v>
      </c>
      <c r="O90" s="13">
        <v>72.25</v>
      </c>
      <c r="P90" s="13">
        <v>4.7</v>
      </c>
      <c r="Q90" s="13" t="s">
        <v>56</v>
      </c>
      <c r="R90" s="13">
        <v>2025</v>
      </c>
      <c r="S90" s="15" t="str">
        <f t="shared" si="6"/>
        <v>Low Profit</v>
      </c>
      <c r="T90" s="15" t="str">
        <f t="shared" si="7"/>
        <v>Low Sales</v>
      </c>
      <c r="U90" s="15" t="str">
        <f t="shared" si="8"/>
        <v>Good</v>
      </c>
      <c r="V90" s="15" t="str">
        <f t="shared" si="9"/>
        <v>Normal Discount</v>
      </c>
      <c r="W90" s="15">
        <f>VLOOKUP(D90,Lookup_Table!$A:$C,2,FALSE)</f>
        <v>0.15</v>
      </c>
      <c r="X90" s="15">
        <f t="shared" si="10"/>
        <v>0.179084870116994</v>
      </c>
      <c r="Y90" s="15" t="str">
        <f>VLOOKUP(D90,Lookup_Table!A:C,3,0)</f>
        <v>Priya</v>
      </c>
      <c r="Z90" s="15" t="str">
        <f t="shared" si="11"/>
        <v>Achived</v>
      </c>
    </row>
    <row r="91" spans="1:26">
      <c r="A91" s="13" t="s">
        <v>181</v>
      </c>
      <c r="B91" s="14">
        <v>45806</v>
      </c>
      <c r="C91" s="13" t="s">
        <v>55</v>
      </c>
      <c r="D91" s="13" t="s">
        <v>80</v>
      </c>
      <c r="E91" s="13" t="s">
        <v>101</v>
      </c>
      <c r="F91" s="13" t="s">
        <v>39</v>
      </c>
      <c r="G91" s="13" t="s">
        <v>40</v>
      </c>
      <c r="H91" s="13" t="s">
        <v>41</v>
      </c>
      <c r="I91" s="13" t="s">
        <v>52</v>
      </c>
      <c r="J91" s="13">
        <v>5</v>
      </c>
      <c r="K91" s="13">
        <v>65.39</v>
      </c>
      <c r="L91" s="13">
        <v>0</v>
      </c>
      <c r="M91" s="13">
        <v>326.95</v>
      </c>
      <c r="N91" s="13">
        <v>268.29</v>
      </c>
      <c r="O91" s="13">
        <v>58.66</v>
      </c>
      <c r="P91" s="13">
        <v>5</v>
      </c>
      <c r="Q91" s="13" t="s">
        <v>42</v>
      </c>
      <c r="R91" s="13">
        <v>2025</v>
      </c>
      <c r="S91" s="15" t="str">
        <f t="shared" si="6"/>
        <v>Low Profit</v>
      </c>
      <c r="T91" s="15" t="str">
        <f t="shared" si="7"/>
        <v>Low Sales</v>
      </c>
      <c r="U91" s="15" t="str">
        <f t="shared" si="8"/>
        <v>Good</v>
      </c>
      <c r="V91" s="15" t="str">
        <f t="shared" si="9"/>
        <v>Normal Discount</v>
      </c>
      <c r="W91" s="15">
        <f>VLOOKUP(D91,Lookup_Table!$A:$C,2,FALSE)</f>
        <v>0.12</v>
      </c>
      <c r="X91" s="15">
        <f t="shared" si="10"/>
        <v>0.179415812815415</v>
      </c>
      <c r="Y91" s="15" t="str">
        <f>VLOOKUP(D91,Lookup_Table!A:C,3,0)</f>
        <v>Rahul</v>
      </c>
      <c r="Z91" s="15" t="str">
        <f t="shared" si="11"/>
        <v>Achived</v>
      </c>
    </row>
    <row r="92" spans="1:26">
      <c r="A92" s="13" t="s">
        <v>182</v>
      </c>
      <c r="B92" s="14">
        <v>45967</v>
      </c>
      <c r="C92" s="13" t="s">
        <v>27</v>
      </c>
      <c r="D92" s="13" t="s">
        <v>44</v>
      </c>
      <c r="E92" s="13" t="s">
        <v>137</v>
      </c>
      <c r="F92" s="13" t="s">
        <v>62</v>
      </c>
      <c r="G92" s="13" t="s">
        <v>63</v>
      </c>
      <c r="H92" s="13" t="s">
        <v>32</v>
      </c>
      <c r="I92" s="13" t="s">
        <v>52</v>
      </c>
      <c r="J92" s="13">
        <v>6</v>
      </c>
      <c r="K92" s="13">
        <v>557.58</v>
      </c>
      <c r="L92" s="13">
        <v>0.1</v>
      </c>
      <c r="M92" s="13">
        <v>3010.93</v>
      </c>
      <c r="N92" s="13">
        <v>2470.03</v>
      </c>
      <c r="O92" s="13">
        <v>540.9</v>
      </c>
      <c r="P92" s="13">
        <v>3.2</v>
      </c>
      <c r="Q92" s="13" t="s">
        <v>71</v>
      </c>
      <c r="R92" s="13">
        <v>2025</v>
      </c>
      <c r="S92" s="15" t="str">
        <f t="shared" si="6"/>
        <v>High Profit</v>
      </c>
      <c r="T92" s="15" t="str">
        <f t="shared" si="7"/>
        <v>High Sales</v>
      </c>
      <c r="U92" s="15" t="str">
        <f t="shared" si="8"/>
        <v>Needs Improvement</v>
      </c>
      <c r="V92" s="15" t="str">
        <f t="shared" si="9"/>
        <v>Normal Discount</v>
      </c>
      <c r="W92" s="15">
        <f>VLOOKUP(D92,Lookup_Table!$A:$C,2,FALSE)</f>
        <v>0.18</v>
      </c>
      <c r="X92" s="15">
        <f t="shared" si="10"/>
        <v>0.179645491592299</v>
      </c>
      <c r="Y92" s="15" t="str">
        <f>VLOOKUP(D92,Lookup_Table!A:C,3,0)</f>
        <v>Amit</v>
      </c>
      <c r="Z92" s="15" t="str">
        <f t="shared" si="11"/>
        <v>Not Achieved</v>
      </c>
    </row>
    <row r="93" spans="1:26">
      <c r="A93" s="13" t="s">
        <v>183</v>
      </c>
      <c r="B93" s="14">
        <v>45844</v>
      </c>
      <c r="C93" s="13" t="s">
        <v>36</v>
      </c>
      <c r="D93" s="13" t="s">
        <v>44</v>
      </c>
      <c r="E93" s="13" t="s">
        <v>137</v>
      </c>
      <c r="F93" s="13" t="s">
        <v>116</v>
      </c>
      <c r="G93" s="13" t="s">
        <v>117</v>
      </c>
      <c r="H93" s="13" t="s">
        <v>32</v>
      </c>
      <c r="I93" s="13" t="s">
        <v>46</v>
      </c>
      <c r="J93" s="13">
        <v>2</v>
      </c>
      <c r="K93" s="13">
        <v>430.68</v>
      </c>
      <c r="L93" s="13">
        <v>0.15</v>
      </c>
      <c r="M93" s="13">
        <v>732.16</v>
      </c>
      <c r="N93" s="13">
        <v>600.57</v>
      </c>
      <c r="O93" s="13">
        <v>131.59</v>
      </c>
      <c r="P93" s="13">
        <v>2.8</v>
      </c>
      <c r="Q93" s="13" t="s">
        <v>56</v>
      </c>
      <c r="R93" s="13">
        <v>2025</v>
      </c>
      <c r="S93" s="15" t="str">
        <f t="shared" si="6"/>
        <v>Low Profit</v>
      </c>
      <c r="T93" s="15" t="str">
        <f t="shared" si="7"/>
        <v>Low Sales</v>
      </c>
      <c r="U93" s="15" t="str">
        <f t="shared" si="8"/>
        <v>Needs Improvement</v>
      </c>
      <c r="V93" s="15" t="str">
        <f t="shared" si="9"/>
        <v>High Discount</v>
      </c>
      <c r="W93" s="15">
        <f>VLOOKUP(D93,Lookup_Table!$A:$C,2,FALSE)</f>
        <v>0.18</v>
      </c>
      <c r="X93" s="15">
        <f t="shared" si="10"/>
        <v>0.17972847465035</v>
      </c>
      <c r="Y93" s="15" t="str">
        <f>VLOOKUP(D93,Lookup_Table!A:C,3,0)</f>
        <v>Amit</v>
      </c>
      <c r="Z93" s="15" t="str">
        <f t="shared" si="11"/>
        <v>Not Achieved</v>
      </c>
    </row>
    <row r="94" spans="1:26">
      <c r="A94" s="13" t="s">
        <v>184</v>
      </c>
      <c r="B94" s="14">
        <v>45794</v>
      </c>
      <c r="C94" s="13" t="s">
        <v>55</v>
      </c>
      <c r="D94" s="13" t="s">
        <v>28</v>
      </c>
      <c r="E94" s="13" t="s">
        <v>49</v>
      </c>
      <c r="F94" s="13" t="s">
        <v>98</v>
      </c>
      <c r="G94" s="13" t="s">
        <v>99</v>
      </c>
      <c r="H94" s="13" t="s">
        <v>77</v>
      </c>
      <c r="I94" s="13" t="s">
        <v>96</v>
      </c>
      <c r="J94" s="13">
        <v>7</v>
      </c>
      <c r="K94" s="13">
        <v>36.98</v>
      </c>
      <c r="L94" s="13">
        <v>0.15</v>
      </c>
      <c r="M94" s="13">
        <v>220.03</v>
      </c>
      <c r="N94" s="13">
        <v>180.4</v>
      </c>
      <c r="O94" s="13">
        <v>39.63</v>
      </c>
      <c r="P94" s="13">
        <v>3.7</v>
      </c>
      <c r="Q94" s="13" t="s">
        <v>42</v>
      </c>
      <c r="R94" s="13">
        <v>2025</v>
      </c>
      <c r="S94" s="15" t="str">
        <f t="shared" si="6"/>
        <v>Low Profit</v>
      </c>
      <c r="T94" s="15" t="str">
        <f t="shared" si="7"/>
        <v>Low Sales</v>
      </c>
      <c r="U94" s="15" t="str">
        <f t="shared" si="8"/>
        <v>Needs Improvement</v>
      </c>
      <c r="V94" s="15" t="str">
        <f t="shared" si="9"/>
        <v>High Discount</v>
      </c>
      <c r="W94" s="15">
        <f>VLOOKUP(D94,Lookup_Table!$A:$C,2,FALSE)</f>
        <v>0.2</v>
      </c>
      <c r="X94" s="15">
        <f t="shared" si="10"/>
        <v>0.180111802935963</v>
      </c>
      <c r="Y94" s="15" t="str">
        <f>VLOOKUP(D94,Lookup_Table!A:C,3,0)</f>
        <v>Sneha</v>
      </c>
      <c r="Z94" s="15" t="str">
        <f t="shared" si="11"/>
        <v>Not Achieved</v>
      </c>
    </row>
    <row r="95" spans="1:26">
      <c r="A95" s="13" t="s">
        <v>185</v>
      </c>
      <c r="B95" s="14">
        <v>46010</v>
      </c>
      <c r="C95" s="13" t="s">
        <v>55</v>
      </c>
      <c r="D95" s="13" t="s">
        <v>60</v>
      </c>
      <c r="E95" s="13" t="s">
        <v>66</v>
      </c>
      <c r="F95" s="13" t="s">
        <v>82</v>
      </c>
      <c r="G95" s="13" t="s">
        <v>83</v>
      </c>
      <c r="H95" s="13" t="s">
        <v>77</v>
      </c>
      <c r="I95" s="13" t="s">
        <v>46</v>
      </c>
      <c r="J95" s="13">
        <v>7</v>
      </c>
      <c r="K95" s="13">
        <v>681.01</v>
      </c>
      <c r="L95" s="13">
        <v>0.2</v>
      </c>
      <c r="M95" s="13">
        <v>3813.66</v>
      </c>
      <c r="N95" s="13">
        <v>3124.11</v>
      </c>
      <c r="O95" s="13">
        <v>689.55</v>
      </c>
      <c r="P95" s="13">
        <v>4.4</v>
      </c>
      <c r="Q95" s="13" t="s">
        <v>34</v>
      </c>
      <c r="R95" s="13">
        <v>2025</v>
      </c>
      <c r="S95" s="15" t="str">
        <f t="shared" si="6"/>
        <v>High Profit</v>
      </c>
      <c r="T95" s="15" t="str">
        <f t="shared" si="7"/>
        <v>High Sales</v>
      </c>
      <c r="U95" s="15" t="str">
        <f t="shared" si="8"/>
        <v>Good</v>
      </c>
      <c r="V95" s="15" t="str">
        <f t="shared" si="9"/>
        <v>High Discount</v>
      </c>
      <c r="W95" s="15">
        <f>VLOOKUP(D95,Lookup_Table!$A:$C,2,FALSE)</f>
        <v>0.15</v>
      </c>
      <c r="X95" s="15">
        <f t="shared" si="10"/>
        <v>0.180810559934551</v>
      </c>
      <c r="Y95" s="15" t="str">
        <f>VLOOKUP(D95,Lookup_Table!A:C,3,0)</f>
        <v>Priya</v>
      </c>
      <c r="Z95" s="15" t="str">
        <f t="shared" si="11"/>
        <v>Achived</v>
      </c>
    </row>
    <row r="96" spans="1:26">
      <c r="A96" s="13" t="s">
        <v>186</v>
      </c>
      <c r="B96" s="14">
        <v>45702</v>
      </c>
      <c r="C96" s="13" t="s">
        <v>55</v>
      </c>
      <c r="D96" s="13" t="s">
        <v>28</v>
      </c>
      <c r="E96" s="13" t="s">
        <v>73</v>
      </c>
      <c r="F96" s="13" t="s">
        <v>116</v>
      </c>
      <c r="G96" s="13" t="s">
        <v>117</v>
      </c>
      <c r="H96" s="13" t="s">
        <v>32</v>
      </c>
      <c r="I96" s="13" t="s">
        <v>33</v>
      </c>
      <c r="J96" s="13">
        <v>1</v>
      </c>
      <c r="K96" s="13">
        <v>64.48</v>
      </c>
      <c r="L96" s="13">
        <v>0.1</v>
      </c>
      <c r="M96" s="13">
        <v>58.03</v>
      </c>
      <c r="N96" s="13">
        <v>47.53</v>
      </c>
      <c r="O96" s="13">
        <v>10.5</v>
      </c>
      <c r="P96" s="13">
        <v>3.1</v>
      </c>
      <c r="Q96" s="13" t="s">
        <v>105</v>
      </c>
      <c r="R96" s="13">
        <v>2025</v>
      </c>
      <c r="S96" s="15" t="str">
        <f t="shared" si="6"/>
        <v>Low Profit</v>
      </c>
      <c r="T96" s="15" t="str">
        <f t="shared" si="7"/>
        <v>Low Sales</v>
      </c>
      <c r="U96" s="15" t="str">
        <f t="shared" si="8"/>
        <v>Needs Improvement</v>
      </c>
      <c r="V96" s="15" t="str">
        <f t="shared" si="9"/>
        <v>Normal Discount</v>
      </c>
      <c r="W96" s="15">
        <f>VLOOKUP(D96,Lookup_Table!$A:$C,2,FALSE)</f>
        <v>0.2</v>
      </c>
      <c r="X96" s="15">
        <f t="shared" si="10"/>
        <v>0.180940892641737</v>
      </c>
      <c r="Y96" s="15" t="str">
        <f>VLOOKUP(D96,Lookup_Table!A:C,3,0)</f>
        <v>Sneha</v>
      </c>
      <c r="Z96" s="15" t="str">
        <f t="shared" si="11"/>
        <v>Not Achieved</v>
      </c>
    </row>
    <row r="97" spans="1:26">
      <c r="A97" s="13" t="s">
        <v>187</v>
      </c>
      <c r="B97" s="14">
        <v>45904</v>
      </c>
      <c r="C97" s="13" t="s">
        <v>27</v>
      </c>
      <c r="D97" s="13" t="s">
        <v>37</v>
      </c>
      <c r="E97" s="13" t="s">
        <v>93</v>
      </c>
      <c r="F97" s="13" t="s">
        <v>67</v>
      </c>
      <c r="G97" s="13" t="s">
        <v>68</v>
      </c>
      <c r="H97" s="13" t="s">
        <v>69</v>
      </c>
      <c r="I97" s="13" t="s">
        <v>46</v>
      </c>
      <c r="J97" s="13">
        <v>2</v>
      </c>
      <c r="K97" s="13">
        <v>205.95</v>
      </c>
      <c r="L97" s="13">
        <v>0</v>
      </c>
      <c r="M97" s="13">
        <v>411.9</v>
      </c>
      <c r="N97" s="13">
        <v>337.29</v>
      </c>
      <c r="O97" s="13">
        <v>74.61</v>
      </c>
      <c r="P97" s="13">
        <v>4.6</v>
      </c>
      <c r="Q97" s="13" t="s">
        <v>53</v>
      </c>
      <c r="R97" s="13">
        <v>2025</v>
      </c>
      <c r="S97" s="15" t="str">
        <f t="shared" si="6"/>
        <v>Low Profit</v>
      </c>
      <c r="T97" s="15" t="str">
        <f t="shared" si="7"/>
        <v>Low Sales</v>
      </c>
      <c r="U97" s="15" t="str">
        <f t="shared" si="8"/>
        <v>Good</v>
      </c>
      <c r="V97" s="15" t="str">
        <f t="shared" si="9"/>
        <v>Normal Discount</v>
      </c>
      <c r="W97" s="15">
        <f>VLOOKUP(D97,Lookup_Table!$A:$C,2,FALSE)</f>
        <v>0.16</v>
      </c>
      <c r="X97" s="15">
        <f t="shared" si="10"/>
        <v>0.181136198106336</v>
      </c>
      <c r="Y97" s="15" t="str">
        <f>VLOOKUP(D97,Lookup_Table!A:C,3,0)</f>
        <v>Vikram</v>
      </c>
      <c r="Z97" s="15" t="str">
        <f t="shared" si="11"/>
        <v>Achived</v>
      </c>
    </row>
    <row r="98" spans="1:26">
      <c r="A98" s="13" t="s">
        <v>188</v>
      </c>
      <c r="B98" s="14">
        <v>45701</v>
      </c>
      <c r="C98" s="13" t="s">
        <v>55</v>
      </c>
      <c r="D98" s="13" t="s">
        <v>44</v>
      </c>
      <c r="E98" s="13" t="s">
        <v>143</v>
      </c>
      <c r="F98" s="13" t="s">
        <v>116</v>
      </c>
      <c r="G98" s="13" t="s">
        <v>117</v>
      </c>
      <c r="H98" s="13" t="s">
        <v>32</v>
      </c>
      <c r="I98" s="13" t="s">
        <v>46</v>
      </c>
      <c r="J98" s="13">
        <v>6</v>
      </c>
      <c r="K98" s="13">
        <v>1256.77</v>
      </c>
      <c r="L98" s="13">
        <v>0</v>
      </c>
      <c r="M98" s="13">
        <v>7540.62</v>
      </c>
      <c r="N98" s="13">
        <v>6172.19</v>
      </c>
      <c r="O98" s="13">
        <v>1368.43</v>
      </c>
      <c r="P98" s="13">
        <v>3.4</v>
      </c>
      <c r="Q98" s="13" t="s">
        <v>105</v>
      </c>
      <c r="R98" s="13">
        <v>2025</v>
      </c>
      <c r="S98" s="15" t="str">
        <f t="shared" si="6"/>
        <v>High Profit</v>
      </c>
      <c r="T98" s="15" t="str">
        <f t="shared" si="7"/>
        <v>High Sales</v>
      </c>
      <c r="U98" s="15" t="str">
        <f t="shared" si="8"/>
        <v>Needs Improvement</v>
      </c>
      <c r="V98" s="15" t="str">
        <f t="shared" si="9"/>
        <v>Normal Discount</v>
      </c>
      <c r="W98" s="15">
        <f>VLOOKUP(D98,Lookup_Table!$A:$C,2,FALSE)</f>
        <v>0.18</v>
      </c>
      <c r="X98" s="15">
        <f t="shared" si="10"/>
        <v>0.181474467616721</v>
      </c>
      <c r="Y98" s="15" t="str">
        <f>VLOOKUP(D98,Lookup_Table!A:C,3,0)</f>
        <v>Amit</v>
      </c>
      <c r="Z98" s="15" t="str">
        <f t="shared" si="11"/>
        <v>Achived</v>
      </c>
    </row>
    <row r="99" spans="1:26">
      <c r="A99" s="13" t="s">
        <v>189</v>
      </c>
      <c r="B99" s="14">
        <v>45665</v>
      </c>
      <c r="C99" s="13" t="s">
        <v>27</v>
      </c>
      <c r="D99" s="13" t="s">
        <v>44</v>
      </c>
      <c r="E99" s="13" t="s">
        <v>143</v>
      </c>
      <c r="F99" s="13" t="s">
        <v>62</v>
      </c>
      <c r="G99" s="13" t="s">
        <v>63</v>
      </c>
      <c r="H99" s="13" t="s">
        <v>32</v>
      </c>
      <c r="I99" s="13" t="s">
        <v>33</v>
      </c>
      <c r="J99" s="13">
        <v>2</v>
      </c>
      <c r="K99" s="13">
        <v>615.86</v>
      </c>
      <c r="L99" s="13">
        <v>0.05</v>
      </c>
      <c r="M99" s="13">
        <v>1170.13</v>
      </c>
      <c r="N99" s="13">
        <v>957.76</v>
      </c>
      <c r="O99" s="13">
        <v>212.37</v>
      </c>
      <c r="P99" s="13">
        <v>3.6</v>
      </c>
      <c r="Q99" s="13" t="s">
        <v>64</v>
      </c>
      <c r="R99" s="13">
        <v>2025</v>
      </c>
      <c r="S99" s="15" t="str">
        <f t="shared" si="6"/>
        <v>Low Profit</v>
      </c>
      <c r="T99" s="15" t="str">
        <f t="shared" si="7"/>
        <v>High Sales</v>
      </c>
      <c r="U99" s="15" t="str">
        <f t="shared" si="8"/>
        <v>Needs Improvement</v>
      </c>
      <c r="V99" s="15" t="str">
        <f t="shared" si="9"/>
        <v>Normal Discount</v>
      </c>
      <c r="W99" s="15">
        <f>VLOOKUP(D99,Lookup_Table!$A:$C,2,FALSE)</f>
        <v>0.18</v>
      </c>
      <c r="X99" s="15">
        <f t="shared" si="10"/>
        <v>0.181492654662302</v>
      </c>
      <c r="Y99" s="15" t="str">
        <f>VLOOKUP(D99,Lookup_Table!A:C,3,0)</f>
        <v>Amit</v>
      </c>
      <c r="Z99" s="15" t="str">
        <f t="shared" si="11"/>
        <v>Achived</v>
      </c>
    </row>
    <row r="100" spans="1:26">
      <c r="A100" s="13" t="s">
        <v>190</v>
      </c>
      <c r="B100" s="14">
        <v>45807</v>
      </c>
      <c r="C100" s="13" t="s">
        <v>55</v>
      </c>
      <c r="D100" s="13" t="s">
        <v>80</v>
      </c>
      <c r="E100" s="13" t="s">
        <v>191</v>
      </c>
      <c r="F100" s="13" t="s">
        <v>50</v>
      </c>
      <c r="G100" s="13" t="s">
        <v>51</v>
      </c>
      <c r="H100" s="13" t="s">
        <v>32</v>
      </c>
      <c r="I100" s="13" t="s">
        <v>33</v>
      </c>
      <c r="J100" s="13">
        <v>5</v>
      </c>
      <c r="K100" s="13">
        <v>47.33</v>
      </c>
      <c r="L100" s="13">
        <v>0.15</v>
      </c>
      <c r="M100" s="13">
        <v>201.15</v>
      </c>
      <c r="N100" s="13">
        <v>164.63</v>
      </c>
      <c r="O100" s="13">
        <v>36.52</v>
      </c>
      <c r="P100" s="13">
        <v>4.8</v>
      </c>
      <c r="Q100" s="13" t="s">
        <v>42</v>
      </c>
      <c r="R100" s="13">
        <v>2025</v>
      </c>
      <c r="S100" s="15" t="str">
        <f t="shared" si="6"/>
        <v>Low Profit</v>
      </c>
      <c r="T100" s="15" t="str">
        <f t="shared" si="7"/>
        <v>Low Sales</v>
      </c>
      <c r="U100" s="15" t="str">
        <f t="shared" si="8"/>
        <v>Good</v>
      </c>
      <c r="V100" s="15" t="str">
        <f t="shared" si="9"/>
        <v>High Discount</v>
      </c>
      <c r="W100" s="15">
        <f>VLOOKUP(D100,Lookup_Table!$A:$C,2,FALSE)</f>
        <v>0.12</v>
      </c>
      <c r="X100" s="15">
        <f t="shared" si="10"/>
        <v>0.181556052696992</v>
      </c>
      <c r="Y100" s="15" t="str">
        <f>VLOOKUP(D100,Lookup_Table!A:C,3,0)</f>
        <v>Rahul</v>
      </c>
      <c r="Z100" s="15" t="str">
        <f t="shared" si="11"/>
        <v>Achived</v>
      </c>
    </row>
    <row r="101" spans="1:26">
      <c r="A101" s="13" t="s">
        <v>192</v>
      </c>
      <c r="B101" s="14">
        <v>45696</v>
      </c>
      <c r="C101" s="13" t="s">
        <v>55</v>
      </c>
      <c r="D101" s="13" t="s">
        <v>28</v>
      </c>
      <c r="E101" s="13" t="s">
        <v>73</v>
      </c>
      <c r="F101" s="13" t="s">
        <v>98</v>
      </c>
      <c r="G101" s="13" t="s">
        <v>99</v>
      </c>
      <c r="H101" s="13" t="s">
        <v>77</v>
      </c>
      <c r="I101" s="13" t="s">
        <v>33</v>
      </c>
      <c r="J101" s="13">
        <v>7</v>
      </c>
      <c r="K101" s="13">
        <v>158.49</v>
      </c>
      <c r="L101" s="13">
        <v>0.05</v>
      </c>
      <c r="M101" s="13">
        <v>1053.96</v>
      </c>
      <c r="N101" s="13">
        <v>862.38</v>
      </c>
      <c r="O101" s="13">
        <v>191.58</v>
      </c>
      <c r="P101" s="13">
        <v>3.9</v>
      </c>
      <c r="Q101" s="13" t="s">
        <v>105</v>
      </c>
      <c r="R101" s="13">
        <v>2025</v>
      </c>
      <c r="S101" s="15" t="str">
        <f t="shared" si="6"/>
        <v>Low Profit</v>
      </c>
      <c r="T101" s="15" t="str">
        <f t="shared" si="7"/>
        <v>High Sales</v>
      </c>
      <c r="U101" s="15" t="str">
        <f t="shared" si="8"/>
        <v>Needs Improvement</v>
      </c>
      <c r="V101" s="15" t="str">
        <f t="shared" si="9"/>
        <v>Normal Discount</v>
      </c>
      <c r="W101" s="15">
        <f>VLOOKUP(D101,Lookup_Table!$A:$C,2,FALSE)</f>
        <v>0.2</v>
      </c>
      <c r="X101" s="15">
        <f t="shared" si="10"/>
        <v>0.181771604235455</v>
      </c>
      <c r="Y101" s="15" t="str">
        <f>VLOOKUP(D101,Lookup_Table!A:C,3,0)</f>
        <v>Sneha</v>
      </c>
      <c r="Z101" s="15" t="str">
        <f t="shared" si="11"/>
        <v>Not Achieved</v>
      </c>
    </row>
    <row r="102" spans="1:26">
      <c r="A102" s="13" t="s">
        <v>193</v>
      </c>
      <c r="B102" s="14">
        <v>45676</v>
      </c>
      <c r="C102" s="13" t="s">
        <v>27</v>
      </c>
      <c r="D102" s="13" t="s">
        <v>28</v>
      </c>
      <c r="E102" s="13" t="s">
        <v>73</v>
      </c>
      <c r="F102" s="13" t="s">
        <v>39</v>
      </c>
      <c r="G102" s="13" t="s">
        <v>40</v>
      </c>
      <c r="H102" s="13" t="s">
        <v>41</v>
      </c>
      <c r="I102" s="13" t="s">
        <v>52</v>
      </c>
      <c r="J102" s="13">
        <v>6</v>
      </c>
      <c r="K102" s="13">
        <v>167.94</v>
      </c>
      <c r="L102" s="13">
        <v>0.05</v>
      </c>
      <c r="M102" s="13">
        <v>957.26</v>
      </c>
      <c r="N102" s="13">
        <v>782.68</v>
      </c>
      <c r="O102" s="13">
        <v>174.58</v>
      </c>
      <c r="P102" s="13">
        <v>2.5</v>
      </c>
      <c r="Q102" s="13" t="s">
        <v>64</v>
      </c>
      <c r="R102" s="13">
        <v>2025</v>
      </c>
      <c r="S102" s="15" t="str">
        <f t="shared" si="6"/>
        <v>Low Profit</v>
      </c>
      <c r="T102" s="15" t="str">
        <f t="shared" si="7"/>
        <v>Low Sales</v>
      </c>
      <c r="U102" s="15" t="str">
        <f t="shared" si="8"/>
        <v>Needs Improvement</v>
      </c>
      <c r="V102" s="15" t="str">
        <f t="shared" si="9"/>
        <v>Normal Discount</v>
      </c>
      <c r="W102" s="15">
        <f>VLOOKUP(D102,Lookup_Table!$A:$C,2,FALSE)</f>
        <v>0.2</v>
      </c>
      <c r="X102" s="15">
        <f t="shared" si="10"/>
        <v>0.182374694440382</v>
      </c>
      <c r="Y102" s="15" t="str">
        <f>VLOOKUP(D102,Lookup_Table!A:C,3,0)</f>
        <v>Sneha</v>
      </c>
      <c r="Z102" s="15" t="str">
        <f t="shared" si="11"/>
        <v>Not Achieved</v>
      </c>
    </row>
    <row r="103" spans="1:26">
      <c r="A103" s="13" t="s">
        <v>194</v>
      </c>
      <c r="B103" s="14">
        <v>45746</v>
      </c>
      <c r="C103" s="13" t="s">
        <v>55</v>
      </c>
      <c r="D103" s="13" t="s">
        <v>28</v>
      </c>
      <c r="E103" s="13" t="s">
        <v>73</v>
      </c>
      <c r="F103" s="13" t="s">
        <v>111</v>
      </c>
      <c r="G103" s="13" t="s">
        <v>76</v>
      </c>
      <c r="H103" s="13" t="s">
        <v>77</v>
      </c>
      <c r="I103" s="13" t="s">
        <v>46</v>
      </c>
      <c r="J103" s="13">
        <v>4</v>
      </c>
      <c r="K103" s="13">
        <v>25.53</v>
      </c>
      <c r="L103" s="13">
        <v>0.2</v>
      </c>
      <c r="M103" s="13">
        <v>81.7</v>
      </c>
      <c r="N103" s="13">
        <v>66.79</v>
      </c>
      <c r="O103" s="13">
        <v>14.91</v>
      </c>
      <c r="P103" s="13">
        <v>3</v>
      </c>
      <c r="Q103" s="13" t="s">
        <v>94</v>
      </c>
      <c r="R103" s="13">
        <v>2025</v>
      </c>
      <c r="S103" s="15" t="str">
        <f t="shared" si="6"/>
        <v>Low Profit</v>
      </c>
      <c r="T103" s="15" t="str">
        <f t="shared" si="7"/>
        <v>Low Sales</v>
      </c>
      <c r="U103" s="15" t="str">
        <f t="shared" si="8"/>
        <v>Needs Improvement</v>
      </c>
      <c r="V103" s="15" t="str">
        <f t="shared" si="9"/>
        <v>High Discount</v>
      </c>
      <c r="W103" s="15">
        <f>VLOOKUP(D103,Lookup_Table!$A:$C,2,FALSE)</f>
        <v>0.2</v>
      </c>
      <c r="X103" s="15">
        <f t="shared" si="10"/>
        <v>0.18249694002448</v>
      </c>
      <c r="Y103" s="15" t="str">
        <f>VLOOKUP(D103,Lookup_Table!A:C,3,0)</f>
        <v>Sneha</v>
      </c>
      <c r="Z103" s="15" t="str">
        <f t="shared" si="11"/>
        <v>Not Achieved</v>
      </c>
    </row>
    <row r="104" spans="1:26">
      <c r="A104" s="13" t="s">
        <v>195</v>
      </c>
      <c r="B104" s="14">
        <v>45765</v>
      </c>
      <c r="C104" s="13" t="s">
        <v>55</v>
      </c>
      <c r="D104" s="13" t="s">
        <v>80</v>
      </c>
      <c r="E104" s="13" t="s">
        <v>81</v>
      </c>
      <c r="F104" s="13" t="s">
        <v>116</v>
      </c>
      <c r="G104" s="13" t="s">
        <v>117</v>
      </c>
      <c r="H104" s="13" t="s">
        <v>32</v>
      </c>
      <c r="I104" s="13" t="s">
        <v>52</v>
      </c>
      <c r="J104" s="13">
        <v>4</v>
      </c>
      <c r="K104" s="13">
        <v>42.83</v>
      </c>
      <c r="L104" s="13">
        <v>0</v>
      </c>
      <c r="M104" s="13">
        <v>171.32</v>
      </c>
      <c r="N104" s="13">
        <v>139.98</v>
      </c>
      <c r="O104" s="13">
        <v>31.34</v>
      </c>
      <c r="P104" s="13">
        <v>4.9</v>
      </c>
      <c r="Q104" s="13" t="s">
        <v>84</v>
      </c>
      <c r="R104" s="13">
        <v>2025</v>
      </c>
      <c r="S104" s="15" t="str">
        <f t="shared" si="6"/>
        <v>Low Profit</v>
      </c>
      <c r="T104" s="15" t="str">
        <f t="shared" si="7"/>
        <v>Low Sales</v>
      </c>
      <c r="U104" s="15" t="str">
        <f t="shared" si="8"/>
        <v>Good</v>
      </c>
      <c r="V104" s="15" t="str">
        <f t="shared" si="9"/>
        <v>Normal Discount</v>
      </c>
      <c r="W104" s="15">
        <f>VLOOKUP(D104,Lookup_Table!$A:$C,2,FALSE)</f>
        <v>0.12</v>
      </c>
      <c r="X104" s="15">
        <f t="shared" si="10"/>
        <v>0.182932523931823</v>
      </c>
      <c r="Y104" s="15" t="str">
        <f>VLOOKUP(D104,Lookup_Table!A:C,3,0)</f>
        <v>Rahul</v>
      </c>
      <c r="Z104" s="15" t="str">
        <f t="shared" si="11"/>
        <v>Achived</v>
      </c>
    </row>
    <row r="105" spans="1:26">
      <c r="A105" s="13" t="s">
        <v>196</v>
      </c>
      <c r="B105" s="14">
        <v>45815</v>
      </c>
      <c r="C105" s="13" t="s">
        <v>55</v>
      </c>
      <c r="D105" s="13" t="s">
        <v>80</v>
      </c>
      <c r="E105" s="13" t="s">
        <v>81</v>
      </c>
      <c r="F105" s="13" t="s">
        <v>50</v>
      </c>
      <c r="G105" s="13" t="s">
        <v>51</v>
      </c>
      <c r="H105" s="13" t="s">
        <v>32</v>
      </c>
      <c r="I105" s="13" t="s">
        <v>33</v>
      </c>
      <c r="J105" s="13">
        <v>3</v>
      </c>
      <c r="K105" s="13">
        <v>11.12</v>
      </c>
      <c r="L105" s="13">
        <v>0.15</v>
      </c>
      <c r="M105" s="13">
        <v>28.36</v>
      </c>
      <c r="N105" s="13">
        <v>23.17</v>
      </c>
      <c r="O105" s="13">
        <v>5.19</v>
      </c>
      <c r="P105" s="13">
        <v>4</v>
      </c>
      <c r="Q105" s="13" t="s">
        <v>58</v>
      </c>
      <c r="R105" s="13">
        <v>2025</v>
      </c>
      <c r="S105" s="15" t="str">
        <f t="shared" si="6"/>
        <v>Low Profit</v>
      </c>
      <c r="T105" s="15" t="str">
        <f t="shared" si="7"/>
        <v>Low Sales</v>
      </c>
      <c r="U105" s="15" t="str">
        <f t="shared" si="8"/>
        <v>Good</v>
      </c>
      <c r="V105" s="15" t="str">
        <f t="shared" si="9"/>
        <v>High Discount</v>
      </c>
      <c r="W105" s="15">
        <f>VLOOKUP(D105,Lookup_Table!$A:$C,2,FALSE)</f>
        <v>0.12</v>
      </c>
      <c r="X105" s="15">
        <f t="shared" si="10"/>
        <v>0.183004231311707</v>
      </c>
      <c r="Y105" s="15" t="str">
        <f>VLOOKUP(D105,Lookup_Table!A:C,3,0)</f>
        <v>Rahul</v>
      </c>
      <c r="Z105" s="15" t="str">
        <f t="shared" si="11"/>
        <v>Achived</v>
      </c>
    </row>
    <row r="106" spans="1:26">
      <c r="A106" s="13" t="s">
        <v>197</v>
      </c>
      <c r="B106" s="14">
        <v>45701</v>
      </c>
      <c r="C106" s="13" t="s">
        <v>55</v>
      </c>
      <c r="D106" s="13" t="s">
        <v>44</v>
      </c>
      <c r="E106" s="13" t="s">
        <v>143</v>
      </c>
      <c r="F106" s="13" t="s">
        <v>111</v>
      </c>
      <c r="G106" s="13" t="s">
        <v>76</v>
      </c>
      <c r="H106" s="13" t="s">
        <v>77</v>
      </c>
      <c r="I106" s="13" t="s">
        <v>52</v>
      </c>
      <c r="J106" s="13">
        <v>4</v>
      </c>
      <c r="K106" s="13">
        <v>132.13</v>
      </c>
      <c r="L106" s="13">
        <v>0.15</v>
      </c>
      <c r="M106" s="13">
        <v>449.24</v>
      </c>
      <c r="N106" s="13">
        <v>366.99</v>
      </c>
      <c r="O106" s="13">
        <v>82.25</v>
      </c>
      <c r="P106" s="13">
        <v>3.2</v>
      </c>
      <c r="Q106" s="13" t="s">
        <v>105</v>
      </c>
      <c r="R106" s="13">
        <v>2025</v>
      </c>
      <c r="S106" s="15" t="str">
        <f t="shared" si="6"/>
        <v>Low Profit</v>
      </c>
      <c r="T106" s="15" t="str">
        <f t="shared" si="7"/>
        <v>Low Sales</v>
      </c>
      <c r="U106" s="15" t="str">
        <f t="shared" si="8"/>
        <v>Needs Improvement</v>
      </c>
      <c r="V106" s="15" t="str">
        <f t="shared" si="9"/>
        <v>High Discount</v>
      </c>
      <c r="W106" s="15">
        <f>VLOOKUP(D106,Lookup_Table!$A:$C,2,FALSE)</f>
        <v>0.18</v>
      </c>
      <c r="X106" s="15">
        <f t="shared" si="10"/>
        <v>0.183086991363191</v>
      </c>
      <c r="Y106" s="15" t="str">
        <f>VLOOKUP(D106,Lookup_Table!A:C,3,0)</f>
        <v>Amit</v>
      </c>
      <c r="Z106" s="15" t="str">
        <f t="shared" si="11"/>
        <v>Achived</v>
      </c>
    </row>
    <row r="107" spans="1:26">
      <c r="A107" s="13" t="s">
        <v>198</v>
      </c>
      <c r="B107" s="14">
        <v>45956</v>
      </c>
      <c r="C107" s="13" t="s">
        <v>55</v>
      </c>
      <c r="D107" s="13" t="s">
        <v>60</v>
      </c>
      <c r="E107" s="13" t="s">
        <v>61</v>
      </c>
      <c r="F107" s="13" t="s">
        <v>98</v>
      </c>
      <c r="G107" s="13" t="s">
        <v>99</v>
      </c>
      <c r="H107" s="13" t="s">
        <v>77</v>
      </c>
      <c r="I107" s="13" t="s">
        <v>33</v>
      </c>
      <c r="J107" s="13">
        <v>6</v>
      </c>
      <c r="K107" s="13">
        <v>80.25</v>
      </c>
      <c r="L107" s="13">
        <v>0.15</v>
      </c>
      <c r="M107" s="13">
        <v>409.28</v>
      </c>
      <c r="N107" s="13">
        <v>334.11</v>
      </c>
      <c r="O107" s="13">
        <v>75.17</v>
      </c>
      <c r="P107" s="13">
        <v>3</v>
      </c>
      <c r="Q107" s="13" t="s">
        <v>87</v>
      </c>
      <c r="R107" s="13">
        <v>2025</v>
      </c>
      <c r="S107" s="15" t="str">
        <f t="shared" si="6"/>
        <v>Low Profit</v>
      </c>
      <c r="T107" s="15" t="str">
        <f t="shared" si="7"/>
        <v>Low Sales</v>
      </c>
      <c r="U107" s="15" t="str">
        <f t="shared" si="8"/>
        <v>Needs Improvement</v>
      </c>
      <c r="V107" s="15" t="str">
        <f t="shared" si="9"/>
        <v>High Discount</v>
      </c>
      <c r="W107" s="15">
        <f>VLOOKUP(D107,Lookup_Table!$A:$C,2,FALSE)</f>
        <v>0.15</v>
      </c>
      <c r="X107" s="15">
        <f t="shared" si="10"/>
        <v>0.183663995308835</v>
      </c>
      <c r="Y107" s="15" t="str">
        <f>VLOOKUP(D107,Lookup_Table!A:C,3,0)</f>
        <v>Priya</v>
      </c>
      <c r="Z107" s="15" t="str">
        <f t="shared" si="11"/>
        <v>Achived</v>
      </c>
    </row>
    <row r="108" spans="1:26">
      <c r="A108" s="13" t="s">
        <v>199</v>
      </c>
      <c r="B108" s="14">
        <v>45775</v>
      </c>
      <c r="C108" s="13" t="s">
        <v>55</v>
      </c>
      <c r="D108" s="13" t="s">
        <v>80</v>
      </c>
      <c r="E108" s="13" t="s">
        <v>115</v>
      </c>
      <c r="F108" s="13" t="s">
        <v>116</v>
      </c>
      <c r="G108" s="13" t="s">
        <v>117</v>
      </c>
      <c r="H108" s="13" t="s">
        <v>32</v>
      </c>
      <c r="I108" s="13" t="s">
        <v>96</v>
      </c>
      <c r="J108" s="13">
        <v>1</v>
      </c>
      <c r="K108" s="13">
        <v>35.37</v>
      </c>
      <c r="L108" s="13">
        <v>0.1</v>
      </c>
      <c r="M108" s="13">
        <v>31.83</v>
      </c>
      <c r="N108" s="13">
        <v>25.98</v>
      </c>
      <c r="O108" s="13">
        <v>5.85</v>
      </c>
      <c r="P108" s="13">
        <v>3.3</v>
      </c>
      <c r="Q108" s="13" t="s">
        <v>84</v>
      </c>
      <c r="R108" s="13">
        <v>2025</v>
      </c>
      <c r="S108" s="15" t="str">
        <f t="shared" si="6"/>
        <v>Low Profit</v>
      </c>
      <c r="T108" s="15" t="str">
        <f t="shared" si="7"/>
        <v>Low Sales</v>
      </c>
      <c r="U108" s="15" t="str">
        <f t="shared" si="8"/>
        <v>Needs Improvement</v>
      </c>
      <c r="V108" s="15" t="str">
        <f t="shared" si="9"/>
        <v>Normal Discount</v>
      </c>
      <c r="W108" s="15">
        <f>VLOOKUP(D108,Lookup_Table!$A:$C,2,FALSE)</f>
        <v>0.12</v>
      </c>
      <c r="X108" s="15">
        <f t="shared" si="10"/>
        <v>0.183788878416588</v>
      </c>
      <c r="Y108" s="15" t="str">
        <f>VLOOKUP(D108,Lookup_Table!A:C,3,0)</f>
        <v>Rahul</v>
      </c>
      <c r="Z108" s="15" t="str">
        <f t="shared" si="11"/>
        <v>Achived</v>
      </c>
    </row>
    <row r="109" spans="1:26">
      <c r="A109" s="13" t="s">
        <v>200</v>
      </c>
      <c r="B109" s="14">
        <v>45758</v>
      </c>
      <c r="C109" s="13" t="s">
        <v>55</v>
      </c>
      <c r="D109" s="13" t="s">
        <v>80</v>
      </c>
      <c r="E109" s="13" t="s">
        <v>81</v>
      </c>
      <c r="F109" s="13" t="s">
        <v>30</v>
      </c>
      <c r="G109" s="13" t="s">
        <v>31</v>
      </c>
      <c r="H109" s="13" t="s">
        <v>32</v>
      </c>
      <c r="I109" s="13" t="s">
        <v>52</v>
      </c>
      <c r="J109" s="13">
        <v>5</v>
      </c>
      <c r="K109" s="13">
        <v>30.44</v>
      </c>
      <c r="L109" s="13">
        <v>0.1</v>
      </c>
      <c r="M109" s="13">
        <v>136.98</v>
      </c>
      <c r="N109" s="13">
        <v>111.78</v>
      </c>
      <c r="O109" s="13">
        <v>25.2</v>
      </c>
      <c r="P109" s="13">
        <v>4.5</v>
      </c>
      <c r="Q109" s="13" t="s">
        <v>84</v>
      </c>
      <c r="R109" s="13">
        <v>2025</v>
      </c>
      <c r="S109" s="15" t="str">
        <f t="shared" si="6"/>
        <v>Low Profit</v>
      </c>
      <c r="T109" s="15" t="str">
        <f t="shared" si="7"/>
        <v>Low Sales</v>
      </c>
      <c r="U109" s="15" t="str">
        <f t="shared" si="8"/>
        <v>Good</v>
      </c>
      <c r="V109" s="15" t="str">
        <f t="shared" si="9"/>
        <v>Normal Discount</v>
      </c>
      <c r="W109" s="15">
        <f>VLOOKUP(D109,Lookup_Table!$A:$C,2,FALSE)</f>
        <v>0.12</v>
      </c>
      <c r="X109" s="15">
        <f t="shared" si="10"/>
        <v>0.183968462549277</v>
      </c>
      <c r="Y109" s="15" t="str">
        <f>VLOOKUP(D109,Lookup_Table!A:C,3,0)</f>
        <v>Rahul</v>
      </c>
      <c r="Z109" s="15" t="str">
        <f t="shared" si="11"/>
        <v>Achived</v>
      </c>
    </row>
    <row r="110" spans="1:26">
      <c r="A110" s="13" t="s">
        <v>201</v>
      </c>
      <c r="B110" s="14">
        <v>45673</v>
      </c>
      <c r="C110" s="13" t="s">
        <v>55</v>
      </c>
      <c r="D110" s="13" t="s">
        <v>60</v>
      </c>
      <c r="E110" s="13" t="s">
        <v>61</v>
      </c>
      <c r="F110" s="13" t="s">
        <v>111</v>
      </c>
      <c r="G110" s="13" t="s">
        <v>76</v>
      </c>
      <c r="H110" s="13" t="s">
        <v>77</v>
      </c>
      <c r="I110" s="13" t="s">
        <v>46</v>
      </c>
      <c r="J110" s="13">
        <v>5</v>
      </c>
      <c r="K110" s="13">
        <v>785.31</v>
      </c>
      <c r="L110" s="13">
        <v>0</v>
      </c>
      <c r="M110" s="13">
        <v>3926.55</v>
      </c>
      <c r="N110" s="13">
        <v>3199.55</v>
      </c>
      <c r="O110" s="13">
        <v>727</v>
      </c>
      <c r="P110" s="13">
        <v>3.7</v>
      </c>
      <c r="Q110" s="13" t="s">
        <v>64</v>
      </c>
      <c r="R110" s="13">
        <v>2025</v>
      </c>
      <c r="S110" s="15" t="str">
        <f t="shared" si="6"/>
        <v>High Profit</v>
      </c>
      <c r="T110" s="15" t="str">
        <f t="shared" si="7"/>
        <v>High Sales</v>
      </c>
      <c r="U110" s="15" t="str">
        <f t="shared" si="8"/>
        <v>Needs Improvement</v>
      </c>
      <c r="V110" s="15" t="str">
        <f t="shared" si="9"/>
        <v>Normal Discount</v>
      </c>
      <c r="W110" s="15">
        <f>VLOOKUP(D110,Lookup_Table!$A:$C,2,FALSE)</f>
        <v>0.15</v>
      </c>
      <c r="X110" s="15">
        <f t="shared" si="10"/>
        <v>0.185149813449466</v>
      </c>
      <c r="Y110" s="15" t="str">
        <f>VLOOKUP(D110,Lookup_Table!A:C,3,0)</f>
        <v>Priya</v>
      </c>
      <c r="Z110" s="15" t="str">
        <f t="shared" si="11"/>
        <v>Achived</v>
      </c>
    </row>
    <row r="111" spans="1:26">
      <c r="A111" s="13" t="s">
        <v>202</v>
      </c>
      <c r="B111" s="14">
        <v>45943</v>
      </c>
      <c r="C111" s="13" t="s">
        <v>55</v>
      </c>
      <c r="D111" s="13" t="s">
        <v>28</v>
      </c>
      <c r="E111" s="13" t="s">
        <v>73</v>
      </c>
      <c r="F111" s="13" t="s">
        <v>111</v>
      </c>
      <c r="G111" s="13" t="s">
        <v>76</v>
      </c>
      <c r="H111" s="13" t="s">
        <v>77</v>
      </c>
      <c r="I111" s="13" t="s">
        <v>52</v>
      </c>
      <c r="J111" s="13">
        <v>4</v>
      </c>
      <c r="K111" s="13">
        <v>23.03</v>
      </c>
      <c r="L111" s="13">
        <v>0.1</v>
      </c>
      <c r="M111" s="13">
        <v>82.91</v>
      </c>
      <c r="N111" s="13">
        <v>67.55</v>
      </c>
      <c r="O111" s="13">
        <v>15.36</v>
      </c>
      <c r="P111" s="13">
        <v>4.8</v>
      </c>
      <c r="Q111" s="13" t="s">
        <v>87</v>
      </c>
      <c r="R111" s="13">
        <v>2025</v>
      </c>
      <c r="S111" s="15" t="str">
        <f t="shared" si="6"/>
        <v>Low Profit</v>
      </c>
      <c r="T111" s="15" t="str">
        <f t="shared" si="7"/>
        <v>Low Sales</v>
      </c>
      <c r="U111" s="15" t="str">
        <f t="shared" si="8"/>
        <v>Good</v>
      </c>
      <c r="V111" s="15" t="str">
        <f t="shared" si="9"/>
        <v>Normal Discount</v>
      </c>
      <c r="W111" s="15">
        <f>VLOOKUP(D111,Lookup_Table!$A:$C,2,FALSE)</f>
        <v>0.2</v>
      </c>
      <c r="X111" s="15">
        <f t="shared" si="10"/>
        <v>0.185261126522735</v>
      </c>
      <c r="Y111" s="15" t="str">
        <f>VLOOKUP(D111,Lookup_Table!A:C,3,0)</f>
        <v>Sneha</v>
      </c>
      <c r="Z111" s="15" t="str">
        <f t="shared" si="11"/>
        <v>Not Achieved</v>
      </c>
    </row>
    <row r="112" spans="1:26">
      <c r="A112" s="13" t="s">
        <v>203</v>
      </c>
      <c r="B112" s="14">
        <v>45926</v>
      </c>
      <c r="C112" s="13" t="s">
        <v>27</v>
      </c>
      <c r="D112" s="13" t="s">
        <v>37</v>
      </c>
      <c r="E112" s="13" t="s">
        <v>38</v>
      </c>
      <c r="F112" s="13" t="s">
        <v>39</v>
      </c>
      <c r="G112" s="13" t="s">
        <v>40</v>
      </c>
      <c r="H112" s="13" t="s">
        <v>41</v>
      </c>
      <c r="I112" s="13" t="s">
        <v>96</v>
      </c>
      <c r="J112" s="13">
        <v>1</v>
      </c>
      <c r="K112" s="13">
        <v>375.81</v>
      </c>
      <c r="L112" s="13">
        <v>0.1</v>
      </c>
      <c r="M112" s="13">
        <v>338.23</v>
      </c>
      <c r="N112" s="13">
        <v>275.49</v>
      </c>
      <c r="O112" s="13">
        <v>62.74</v>
      </c>
      <c r="P112" s="13">
        <v>3.3</v>
      </c>
      <c r="Q112" s="13" t="s">
        <v>53</v>
      </c>
      <c r="R112" s="13">
        <v>2025</v>
      </c>
      <c r="S112" s="15" t="str">
        <f t="shared" si="6"/>
        <v>Low Profit</v>
      </c>
      <c r="T112" s="15" t="str">
        <f t="shared" si="7"/>
        <v>Low Sales</v>
      </c>
      <c r="U112" s="15" t="str">
        <f t="shared" si="8"/>
        <v>Needs Improvement</v>
      </c>
      <c r="V112" s="15" t="str">
        <f t="shared" si="9"/>
        <v>Normal Discount</v>
      </c>
      <c r="W112" s="15">
        <f>VLOOKUP(D112,Lookup_Table!$A:$C,2,FALSE)</f>
        <v>0.16</v>
      </c>
      <c r="X112" s="15">
        <f t="shared" si="10"/>
        <v>0.185495077314254</v>
      </c>
      <c r="Y112" s="15" t="str">
        <f>VLOOKUP(D112,Lookup_Table!A:C,3,0)</f>
        <v>Vikram</v>
      </c>
      <c r="Z112" s="15" t="str">
        <f t="shared" si="11"/>
        <v>Achived</v>
      </c>
    </row>
    <row r="113" spans="1:26">
      <c r="A113" s="13" t="s">
        <v>204</v>
      </c>
      <c r="B113" s="14">
        <v>45959</v>
      </c>
      <c r="C113" s="13" t="s">
        <v>36</v>
      </c>
      <c r="D113" s="13" t="s">
        <v>28</v>
      </c>
      <c r="E113" s="13" t="s">
        <v>29</v>
      </c>
      <c r="F113" s="13" t="s">
        <v>67</v>
      </c>
      <c r="G113" s="13" t="s">
        <v>68</v>
      </c>
      <c r="H113" s="13" t="s">
        <v>69</v>
      </c>
      <c r="I113" s="13" t="s">
        <v>96</v>
      </c>
      <c r="J113" s="13">
        <v>4</v>
      </c>
      <c r="K113" s="13">
        <v>122.15</v>
      </c>
      <c r="L113" s="13">
        <v>0</v>
      </c>
      <c r="M113" s="13">
        <v>488.6</v>
      </c>
      <c r="N113" s="13">
        <v>397.94</v>
      </c>
      <c r="O113" s="13">
        <v>90.66</v>
      </c>
      <c r="P113" s="13">
        <v>4.4</v>
      </c>
      <c r="Q113" s="13" t="s">
        <v>87</v>
      </c>
      <c r="R113" s="13">
        <v>2025</v>
      </c>
      <c r="S113" s="15" t="str">
        <f t="shared" si="6"/>
        <v>Low Profit</v>
      </c>
      <c r="T113" s="15" t="str">
        <f t="shared" si="7"/>
        <v>Low Sales</v>
      </c>
      <c r="U113" s="15" t="str">
        <f t="shared" si="8"/>
        <v>Good</v>
      </c>
      <c r="V113" s="15" t="str">
        <f t="shared" si="9"/>
        <v>Normal Discount</v>
      </c>
      <c r="W113" s="15">
        <f>VLOOKUP(D113,Lookup_Table!$A:$C,2,FALSE)</f>
        <v>0.2</v>
      </c>
      <c r="X113" s="15">
        <f t="shared" si="10"/>
        <v>0.185550552599263</v>
      </c>
      <c r="Y113" s="15" t="str">
        <f>VLOOKUP(D113,Lookup_Table!A:C,3,0)</f>
        <v>Sneha</v>
      </c>
      <c r="Z113" s="15" t="str">
        <f t="shared" si="11"/>
        <v>Not Achieved</v>
      </c>
    </row>
    <row r="114" spans="1:26">
      <c r="A114" s="13" t="s">
        <v>205</v>
      </c>
      <c r="B114" s="14">
        <v>45854</v>
      </c>
      <c r="C114" s="13" t="s">
        <v>27</v>
      </c>
      <c r="D114" s="13" t="s">
        <v>80</v>
      </c>
      <c r="E114" s="13" t="s">
        <v>115</v>
      </c>
      <c r="F114" s="13" t="s">
        <v>67</v>
      </c>
      <c r="G114" s="13" t="s">
        <v>68</v>
      </c>
      <c r="H114" s="13" t="s">
        <v>69</v>
      </c>
      <c r="I114" s="13" t="s">
        <v>96</v>
      </c>
      <c r="J114" s="13">
        <v>6</v>
      </c>
      <c r="K114" s="13">
        <v>46.94</v>
      </c>
      <c r="L114" s="13">
        <v>0</v>
      </c>
      <c r="M114" s="13">
        <v>281.64</v>
      </c>
      <c r="N114" s="13">
        <v>229.35</v>
      </c>
      <c r="O114" s="13">
        <v>52.29</v>
      </c>
      <c r="P114" s="13">
        <v>4.1</v>
      </c>
      <c r="Q114" s="13" t="s">
        <v>56</v>
      </c>
      <c r="R114" s="13">
        <v>2025</v>
      </c>
      <c r="S114" s="15" t="str">
        <f t="shared" si="6"/>
        <v>Low Profit</v>
      </c>
      <c r="T114" s="15" t="str">
        <f t="shared" si="7"/>
        <v>Low Sales</v>
      </c>
      <c r="U114" s="15" t="str">
        <f t="shared" si="8"/>
        <v>Good</v>
      </c>
      <c r="V114" s="15" t="str">
        <f t="shared" si="9"/>
        <v>Normal Discount</v>
      </c>
      <c r="W114" s="15">
        <f>VLOOKUP(D114,Lookup_Table!$A:$C,2,FALSE)</f>
        <v>0.12</v>
      </c>
      <c r="X114" s="15">
        <f t="shared" si="10"/>
        <v>0.185662547933532</v>
      </c>
      <c r="Y114" s="15" t="str">
        <f>VLOOKUP(D114,Lookup_Table!A:C,3,0)</f>
        <v>Rahul</v>
      </c>
      <c r="Z114" s="15" t="str">
        <f t="shared" si="11"/>
        <v>Achived</v>
      </c>
    </row>
    <row r="115" spans="1:26">
      <c r="A115" s="13" t="s">
        <v>206</v>
      </c>
      <c r="B115" s="14">
        <v>45808</v>
      </c>
      <c r="C115" s="13" t="s">
        <v>55</v>
      </c>
      <c r="D115" s="13" t="s">
        <v>44</v>
      </c>
      <c r="E115" s="13" t="s">
        <v>104</v>
      </c>
      <c r="F115" s="13" t="s">
        <v>98</v>
      </c>
      <c r="G115" s="13" t="s">
        <v>99</v>
      </c>
      <c r="H115" s="13" t="s">
        <v>77</v>
      </c>
      <c r="I115" s="13" t="s">
        <v>96</v>
      </c>
      <c r="J115" s="13">
        <v>4</v>
      </c>
      <c r="K115" s="13">
        <v>1329.25</v>
      </c>
      <c r="L115" s="13">
        <v>0.2</v>
      </c>
      <c r="M115" s="13">
        <v>4253.6</v>
      </c>
      <c r="N115" s="13">
        <v>3461.74</v>
      </c>
      <c r="O115" s="13">
        <v>791.86</v>
      </c>
      <c r="P115" s="13">
        <v>4.1</v>
      </c>
      <c r="Q115" s="13" t="s">
        <v>42</v>
      </c>
      <c r="R115" s="13">
        <v>2025</v>
      </c>
      <c r="S115" s="15" t="str">
        <f t="shared" si="6"/>
        <v>High Profit</v>
      </c>
      <c r="T115" s="15" t="str">
        <f t="shared" si="7"/>
        <v>High Sales</v>
      </c>
      <c r="U115" s="15" t="str">
        <f t="shared" si="8"/>
        <v>Good</v>
      </c>
      <c r="V115" s="15" t="str">
        <f t="shared" si="9"/>
        <v>High Discount</v>
      </c>
      <c r="W115" s="15">
        <f>VLOOKUP(D115,Lookup_Table!$A:$C,2,FALSE)</f>
        <v>0.18</v>
      </c>
      <c r="X115" s="15">
        <f t="shared" si="10"/>
        <v>0.186162309573068</v>
      </c>
      <c r="Y115" s="15" t="str">
        <f>VLOOKUP(D115,Lookup_Table!A:C,3,0)</f>
        <v>Amit</v>
      </c>
      <c r="Z115" s="15" t="str">
        <f t="shared" si="11"/>
        <v>Achived</v>
      </c>
    </row>
    <row r="116" spans="1:26">
      <c r="A116" s="13" t="s">
        <v>207</v>
      </c>
      <c r="B116" s="14">
        <v>45692</v>
      </c>
      <c r="C116" s="13" t="s">
        <v>36</v>
      </c>
      <c r="D116" s="13" t="s">
        <v>60</v>
      </c>
      <c r="E116" s="13" t="s">
        <v>150</v>
      </c>
      <c r="F116" s="13" t="s">
        <v>39</v>
      </c>
      <c r="G116" s="13" t="s">
        <v>40</v>
      </c>
      <c r="H116" s="13" t="s">
        <v>41</v>
      </c>
      <c r="I116" s="13" t="s">
        <v>33</v>
      </c>
      <c r="J116" s="13">
        <v>3</v>
      </c>
      <c r="K116" s="13">
        <v>453.16</v>
      </c>
      <c r="L116" s="13">
        <v>0.1</v>
      </c>
      <c r="M116" s="13">
        <v>1223.53</v>
      </c>
      <c r="N116" s="13">
        <v>995.66</v>
      </c>
      <c r="O116" s="13">
        <v>227.87</v>
      </c>
      <c r="P116" s="13">
        <v>3.3</v>
      </c>
      <c r="Q116" s="13" t="s">
        <v>105</v>
      </c>
      <c r="R116" s="13">
        <v>2025</v>
      </c>
      <c r="S116" s="15" t="str">
        <f t="shared" si="6"/>
        <v>Low Profit</v>
      </c>
      <c r="T116" s="15" t="str">
        <f t="shared" si="7"/>
        <v>High Sales</v>
      </c>
      <c r="U116" s="15" t="str">
        <f t="shared" si="8"/>
        <v>Needs Improvement</v>
      </c>
      <c r="V116" s="15" t="str">
        <f t="shared" si="9"/>
        <v>Normal Discount</v>
      </c>
      <c r="W116" s="15">
        <f>VLOOKUP(D116,Lookup_Table!$A:$C,2,FALSE)</f>
        <v>0.15</v>
      </c>
      <c r="X116" s="15">
        <f t="shared" si="10"/>
        <v>0.186239814307782</v>
      </c>
      <c r="Y116" s="15" t="str">
        <f>VLOOKUP(D116,Lookup_Table!A:C,3,0)</f>
        <v>Priya</v>
      </c>
      <c r="Z116" s="15" t="str">
        <f t="shared" si="11"/>
        <v>Achived</v>
      </c>
    </row>
    <row r="117" spans="1:26">
      <c r="A117" s="13" t="s">
        <v>208</v>
      </c>
      <c r="B117" s="14">
        <v>46017</v>
      </c>
      <c r="C117" s="13" t="s">
        <v>55</v>
      </c>
      <c r="D117" s="13" t="s">
        <v>44</v>
      </c>
      <c r="E117" s="13" t="s">
        <v>104</v>
      </c>
      <c r="F117" s="13" t="s">
        <v>75</v>
      </c>
      <c r="G117" s="13" t="s">
        <v>76</v>
      </c>
      <c r="H117" s="13" t="s">
        <v>77</v>
      </c>
      <c r="I117" s="13" t="s">
        <v>33</v>
      </c>
      <c r="J117" s="13">
        <v>2</v>
      </c>
      <c r="K117" s="13">
        <v>880.73</v>
      </c>
      <c r="L117" s="13">
        <v>0.1</v>
      </c>
      <c r="M117" s="13">
        <v>1585.31</v>
      </c>
      <c r="N117" s="13">
        <v>1289.61</v>
      </c>
      <c r="O117" s="13">
        <v>295.7</v>
      </c>
      <c r="P117" s="13">
        <v>2.8</v>
      </c>
      <c r="Q117" s="13" t="s">
        <v>34</v>
      </c>
      <c r="R117" s="13">
        <v>2025</v>
      </c>
      <c r="S117" s="15" t="str">
        <f t="shared" si="6"/>
        <v>Low Profit</v>
      </c>
      <c r="T117" s="15" t="str">
        <f t="shared" si="7"/>
        <v>High Sales</v>
      </c>
      <c r="U117" s="15" t="str">
        <f t="shared" si="8"/>
        <v>Needs Improvement</v>
      </c>
      <c r="V117" s="15" t="str">
        <f t="shared" si="9"/>
        <v>Normal Discount</v>
      </c>
      <c r="W117" s="15">
        <f>VLOOKUP(D117,Lookup_Table!$A:$C,2,FALSE)</f>
        <v>0.18</v>
      </c>
      <c r="X117" s="15">
        <f t="shared" si="10"/>
        <v>0.186525032958853</v>
      </c>
      <c r="Y117" s="15" t="str">
        <f>VLOOKUP(D117,Lookup_Table!A:C,3,0)</f>
        <v>Amit</v>
      </c>
      <c r="Z117" s="15" t="str">
        <f t="shared" si="11"/>
        <v>Achived</v>
      </c>
    </row>
    <row r="118" spans="1:26">
      <c r="A118" s="13" t="s">
        <v>209</v>
      </c>
      <c r="B118" s="14">
        <v>45689</v>
      </c>
      <c r="C118" s="13" t="s">
        <v>55</v>
      </c>
      <c r="D118" s="13" t="s">
        <v>37</v>
      </c>
      <c r="E118" s="13" t="s">
        <v>109</v>
      </c>
      <c r="F118" s="13" t="s">
        <v>39</v>
      </c>
      <c r="G118" s="13" t="s">
        <v>40</v>
      </c>
      <c r="H118" s="13" t="s">
        <v>41</v>
      </c>
      <c r="I118" s="13" t="s">
        <v>96</v>
      </c>
      <c r="J118" s="13">
        <v>2</v>
      </c>
      <c r="K118" s="13">
        <v>166.48</v>
      </c>
      <c r="L118" s="13">
        <v>0.15</v>
      </c>
      <c r="M118" s="13">
        <v>283.02</v>
      </c>
      <c r="N118" s="13">
        <v>230.09</v>
      </c>
      <c r="O118" s="13">
        <v>52.93</v>
      </c>
      <c r="P118" s="13">
        <v>3.8</v>
      </c>
      <c r="Q118" s="13" t="s">
        <v>105</v>
      </c>
      <c r="R118" s="13">
        <v>2025</v>
      </c>
      <c r="S118" s="15" t="str">
        <f t="shared" si="6"/>
        <v>Low Profit</v>
      </c>
      <c r="T118" s="15" t="str">
        <f t="shared" si="7"/>
        <v>Low Sales</v>
      </c>
      <c r="U118" s="15" t="str">
        <f t="shared" si="8"/>
        <v>Needs Improvement</v>
      </c>
      <c r="V118" s="15" t="str">
        <f t="shared" si="9"/>
        <v>High Discount</v>
      </c>
      <c r="W118" s="15">
        <f>VLOOKUP(D118,Lookup_Table!$A:$C,2,FALSE)</f>
        <v>0.16</v>
      </c>
      <c r="X118" s="15">
        <f t="shared" si="10"/>
        <v>0.187018585258992</v>
      </c>
      <c r="Y118" s="15" t="str">
        <f>VLOOKUP(D118,Lookup_Table!A:C,3,0)</f>
        <v>Vikram</v>
      </c>
      <c r="Z118" s="15" t="str">
        <f t="shared" si="11"/>
        <v>Achived</v>
      </c>
    </row>
    <row r="119" spans="1:26">
      <c r="A119" s="13" t="s">
        <v>210</v>
      </c>
      <c r="B119" s="14">
        <v>45915</v>
      </c>
      <c r="C119" s="13" t="s">
        <v>27</v>
      </c>
      <c r="D119" s="13" t="s">
        <v>80</v>
      </c>
      <c r="E119" s="13" t="s">
        <v>101</v>
      </c>
      <c r="F119" s="13" t="s">
        <v>75</v>
      </c>
      <c r="G119" s="13" t="s">
        <v>76</v>
      </c>
      <c r="H119" s="13" t="s">
        <v>77</v>
      </c>
      <c r="I119" s="13" t="s">
        <v>96</v>
      </c>
      <c r="J119" s="13">
        <v>6</v>
      </c>
      <c r="K119" s="13">
        <v>14.19</v>
      </c>
      <c r="L119" s="13">
        <v>0.1</v>
      </c>
      <c r="M119" s="13">
        <v>76.63</v>
      </c>
      <c r="N119" s="13">
        <v>62.27</v>
      </c>
      <c r="O119" s="13">
        <v>14.36</v>
      </c>
      <c r="P119" s="13">
        <v>2.9</v>
      </c>
      <c r="Q119" s="13" t="s">
        <v>53</v>
      </c>
      <c r="R119" s="13">
        <v>2025</v>
      </c>
      <c r="S119" s="15" t="str">
        <f t="shared" si="6"/>
        <v>Low Profit</v>
      </c>
      <c r="T119" s="15" t="str">
        <f t="shared" si="7"/>
        <v>Low Sales</v>
      </c>
      <c r="U119" s="15" t="str">
        <f t="shared" si="8"/>
        <v>Needs Improvement</v>
      </c>
      <c r="V119" s="15" t="str">
        <f t="shared" si="9"/>
        <v>Normal Discount</v>
      </c>
      <c r="W119" s="15">
        <f>VLOOKUP(D119,Lookup_Table!$A:$C,2,FALSE)</f>
        <v>0.12</v>
      </c>
      <c r="X119" s="15">
        <f t="shared" si="10"/>
        <v>0.187393971029623</v>
      </c>
      <c r="Y119" s="15" t="str">
        <f>VLOOKUP(D119,Lookup_Table!A:C,3,0)</f>
        <v>Rahul</v>
      </c>
      <c r="Z119" s="15" t="str">
        <f t="shared" si="11"/>
        <v>Achived</v>
      </c>
    </row>
    <row r="120" spans="1:26">
      <c r="A120" s="13" t="s">
        <v>211</v>
      </c>
      <c r="B120" s="14">
        <v>45887</v>
      </c>
      <c r="C120" s="13" t="s">
        <v>27</v>
      </c>
      <c r="D120" s="13" t="s">
        <v>28</v>
      </c>
      <c r="E120" s="13" t="s">
        <v>73</v>
      </c>
      <c r="F120" s="13" t="s">
        <v>67</v>
      </c>
      <c r="G120" s="13" t="s">
        <v>68</v>
      </c>
      <c r="H120" s="13" t="s">
        <v>69</v>
      </c>
      <c r="I120" s="13" t="s">
        <v>96</v>
      </c>
      <c r="J120" s="13">
        <v>6</v>
      </c>
      <c r="K120" s="13">
        <v>99.62</v>
      </c>
      <c r="L120" s="13">
        <v>0.1</v>
      </c>
      <c r="M120" s="13">
        <v>537.95</v>
      </c>
      <c r="N120" s="13">
        <v>437.09</v>
      </c>
      <c r="O120" s="13">
        <v>100.86</v>
      </c>
      <c r="P120" s="13">
        <v>4.4</v>
      </c>
      <c r="Q120" s="13" t="s">
        <v>47</v>
      </c>
      <c r="R120" s="13">
        <v>2025</v>
      </c>
      <c r="S120" s="15" t="str">
        <f t="shared" si="6"/>
        <v>Low Profit</v>
      </c>
      <c r="T120" s="15" t="str">
        <f t="shared" si="7"/>
        <v>Low Sales</v>
      </c>
      <c r="U120" s="15" t="str">
        <f t="shared" si="8"/>
        <v>Good</v>
      </c>
      <c r="V120" s="15" t="str">
        <f t="shared" si="9"/>
        <v>Normal Discount</v>
      </c>
      <c r="W120" s="15">
        <f>VLOOKUP(D120,Lookup_Table!$A:$C,2,FALSE)</f>
        <v>0.2</v>
      </c>
      <c r="X120" s="15">
        <f t="shared" si="10"/>
        <v>0.187489543637885</v>
      </c>
      <c r="Y120" s="15" t="str">
        <f>VLOOKUP(D120,Lookup_Table!A:C,3,0)</f>
        <v>Sneha</v>
      </c>
      <c r="Z120" s="15" t="str">
        <f t="shared" si="11"/>
        <v>Not Achieved</v>
      </c>
    </row>
    <row r="121" spans="1:26">
      <c r="A121" s="13" t="s">
        <v>212</v>
      </c>
      <c r="B121" s="14">
        <v>45752</v>
      </c>
      <c r="C121" s="13" t="s">
        <v>27</v>
      </c>
      <c r="D121" s="13" t="s">
        <v>28</v>
      </c>
      <c r="E121" s="13" t="s">
        <v>49</v>
      </c>
      <c r="F121" s="13" t="s">
        <v>39</v>
      </c>
      <c r="G121" s="13" t="s">
        <v>40</v>
      </c>
      <c r="H121" s="13" t="s">
        <v>41</v>
      </c>
      <c r="I121" s="13" t="s">
        <v>46</v>
      </c>
      <c r="J121" s="13">
        <v>1</v>
      </c>
      <c r="K121" s="13">
        <v>76.39</v>
      </c>
      <c r="L121" s="13">
        <v>0.1</v>
      </c>
      <c r="M121" s="13">
        <v>68.75</v>
      </c>
      <c r="N121" s="13">
        <v>55.79</v>
      </c>
      <c r="O121" s="13">
        <v>12.96</v>
      </c>
      <c r="P121" s="13">
        <v>4.1</v>
      </c>
      <c r="Q121" s="13" t="s">
        <v>84</v>
      </c>
      <c r="R121" s="13">
        <v>2025</v>
      </c>
      <c r="S121" s="15" t="str">
        <f t="shared" si="6"/>
        <v>Low Profit</v>
      </c>
      <c r="T121" s="15" t="str">
        <f t="shared" si="7"/>
        <v>Low Sales</v>
      </c>
      <c r="U121" s="15" t="str">
        <f t="shared" si="8"/>
        <v>Good</v>
      </c>
      <c r="V121" s="15" t="str">
        <f t="shared" si="9"/>
        <v>Normal Discount</v>
      </c>
      <c r="W121" s="15">
        <f>VLOOKUP(D121,Lookup_Table!$A:$C,2,FALSE)</f>
        <v>0.2</v>
      </c>
      <c r="X121" s="15">
        <f t="shared" si="10"/>
        <v>0.188509090909091</v>
      </c>
      <c r="Y121" s="15" t="str">
        <f>VLOOKUP(D121,Lookup_Table!A:C,3,0)</f>
        <v>Sneha</v>
      </c>
      <c r="Z121" s="15" t="str">
        <f t="shared" si="11"/>
        <v>Not Achieved</v>
      </c>
    </row>
    <row r="122" spans="1:26">
      <c r="A122" s="13" t="s">
        <v>213</v>
      </c>
      <c r="B122" s="14">
        <v>45707</v>
      </c>
      <c r="C122" s="13" t="s">
        <v>36</v>
      </c>
      <c r="D122" s="13" t="s">
        <v>37</v>
      </c>
      <c r="E122" s="13" t="s">
        <v>93</v>
      </c>
      <c r="F122" s="13" t="s">
        <v>98</v>
      </c>
      <c r="G122" s="13" t="s">
        <v>99</v>
      </c>
      <c r="H122" s="13" t="s">
        <v>77</v>
      </c>
      <c r="I122" s="13" t="s">
        <v>52</v>
      </c>
      <c r="J122" s="13">
        <v>3</v>
      </c>
      <c r="K122" s="13">
        <v>139.38</v>
      </c>
      <c r="L122" s="13">
        <v>0.15</v>
      </c>
      <c r="M122" s="13">
        <v>355.42</v>
      </c>
      <c r="N122" s="13">
        <v>288.39</v>
      </c>
      <c r="O122" s="13">
        <v>67.03</v>
      </c>
      <c r="P122" s="13">
        <v>4.9</v>
      </c>
      <c r="Q122" s="13" t="s">
        <v>105</v>
      </c>
      <c r="R122" s="13">
        <v>2025</v>
      </c>
      <c r="S122" s="15" t="str">
        <f t="shared" si="6"/>
        <v>Low Profit</v>
      </c>
      <c r="T122" s="15" t="str">
        <f t="shared" si="7"/>
        <v>Low Sales</v>
      </c>
      <c r="U122" s="15" t="str">
        <f t="shared" si="8"/>
        <v>Good</v>
      </c>
      <c r="V122" s="15" t="str">
        <f t="shared" si="9"/>
        <v>High Discount</v>
      </c>
      <c r="W122" s="15">
        <f>VLOOKUP(D122,Lookup_Table!$A:$C,2,FALSE)</f>
        <v>0.16</v>
      </c>
      <c r="X122" s="15">
        <f t="shared" si="10"/>
        <v>0.188593776377244</v>
      </c>
      <c r="Y122" s="15" t="str">
        <f>VLOOKUP(D122,Lookup_Table!A:C,3,0)</f>
        <v>Vikram</v>
      </c>
      <c r="Z122" s="15" t="str">
        <f t="shared" si="11"/>
        <v>Achived</v>
      </c>
    </row>
    <row r="123" spans="1:26">
      <c r="A123" s="13" t="s">
        <v>214</v>
      </c>
      <c r="B123" s="14">
        <v>45711</v>
      </c>
      <c r="C123" s="13" t="s">
        <v>55</v>
      </c>
      <c r="D123" s="13" t="s">
        <v>60</v>
      </c>
      <c r="E123" s="13" t="s">
        <v>150</v>
      </c>
      <c r="F123" s="13" t="s">
        <v>75</v>
      </c>
      <c r="G123" s="13" t="s">
        <v>76</v>
      </c>
      <c r="H123" s="13" t="s">
        <v>77</v>
      </c>
      <c r="I123" s="13" t="s">
        <v>46</v>
      </c>
      <c r="J123" s="13">
        <v>2</v>
      </c>
      <c r="K123" s="13">
        <v>134.57</v>
      </c>
      <c r="L123" s="13">
        <v>0</v>
      </c>
      <c r="M123" s="13">
        <v>269.14</v>
      </c>
      <c r="N123" s="13">
        <v>218.35</v>
      </c>
      <c r="O123" s="13">
        <v>50.79</v>
      </c>
      <c r="P123" s="13">
        <v>3.1</v>
      </c>
      <c r="Q123" s="13" t="s">
        <v>105</v>
      </c>
      <c r="R123" s="13">
        <v>2025</v>
      </c>
      <c r="S123" s="15" t="str">
        <f t="shared" si="6"/>
        <v>Low Profit</v>
      </c>
      <c r="T123" s="15" t="str">
        <f t="shared" si="7"/>
        <v>Low Sales</v>
      </c>
      <c r="U123" s="15" t="str">
        <f t="shared" si="8"/>
        <v>Needs Improvement</v>
      </c>
      <c r="V123" s="15" t="str">
        <f t="shared" si="9"/>
        <v>Normal Discount</v>
      </c>
      <c r="W123" s="15">
        <f>VLOOKUP(D123,Lookup_Table!$A:$C,2,FALSE)</f>
        <v>0.15</v>
      </c>
      <c r="X123" s="15">
        <f t="shared" si="10"/>
        <v>0.188712194396968</v>
      </c>
      <c r="Y123" s="15" t="str">
        <f>VLOOKUP(D123,Lookup_Table!A:C,3,0)</f>
        <v>Priya</v>
      </c>
      <c r="Z123" s="15" t="str">
        <f t="shared" si="11"/>
        <v>Achived</v>
      </c>
    </row>
    <row r="124" spans="1:26">
      <c r="A124" s="13" t="s">
        <v>215</v>
      </c>
      <c r="B124" s="14">
        <v>45804</v>
      </c>
      <c r="C124" s="13" t="s">
        <v>27</v>
      </c>
      <c r="D124" s="13" t="s">
        <v>28</v>
      </c>
      <c r="E124" s="13" t="s">
        <v>73</v>
      </c>
      <c r="F124" s="13" t="s">
        <v>39</v>
      </c>
      <c r="G124" s="13" t="s">
        <v>40</v>
      </c>
      <c r="H124" s="13" t="s">
        <v>41</v>
      </c>
      <c r="I124" s="13" t="s">
        <v>46</v>
      </c>
      <c r="J124" s="13">
        <v>3</v>
      </c>
      <c r="K124" s="13">
        <v>106.41</v>
      </c>
      <c r="L124" s="13">
        <v>0.1</v>
      </c>
      <c r="M124" s="13">
        <v>287.31</v>
      </c>
      <c r="N124" s="13">
        <v>233.08</v>
      </c>
      <c r="O124" s="13">
        <v>54.23</v>
      </c>
      <c r="P124" s="13">
        <v>3.6</v>
      </c>
      <c r="Q124" s="13" t="s">
        <v>42</v>
      </c>
      <c r="R124" s="13">
        <v>2025</v>
      </c>
      <c r="S124" s="15" t="str">
        <f t="shared" si="6"/>
        <v>Low Profit</v>
      </c>
      <c r="T124" s="15" t="str">
        <f t="shared" si="7"/>
        <v>Low Sales</v>
      </c>
      <c r="U124" s="15" t="str">
        <f t="shared" si="8"/>
        <v>Needs Improvement</v>
      </c>
      <c r="V124" s="15" t="str">
        <f t="shared" si="9"/>
        <v>Normal Discount</v>
      </c>
      <c r="W124" s="15">
        <f>VLOOKUP(D124,Lookup_Table!$A:$C,2,FALSE)</f>
        <v>0.2</v>
      </c>
      <c r="X124" s="15">
        <f t="shared" si="10"/>
        <v>0.188750826633253</v>
      </c>
      <c r="Y124" s="15" t="str">
        <f>VLOOKUP(D124,Lookup_Table!A:C,3,0)</f>
        <v>Sneha</v>
      </c>
      <c r="Z124" s="15" t="str">
        <f t="shared" si="11"/>
        <v>Not Achieved</v>
      </c>
    </row>
    <row r="125" spans="1:26">
      <c r="A125" s="13" t="s">
        <v>216</v>
      </c>
      <c r="B125" s="14">
        <v>45704</v>
      </c>
      <c r="C125" s="13" t="s">
        <v>36</v>
      </c>
      <c r="D125" s="13" t="s">
        <v>28</v>
      </c>
      <c r="E125" s="13" t="s">
        <v>49</v>
      </c>
      <c r="F125" s="13" t="s">
        <v>98</v>
      </c>
      <c r="G125" s="13" t="s">
        <v>99</v>
      </c>
      <c r="H125" s="13" t="s">
        <v>77</v>
      </c>
      <c r="I125" s="13" t="s">
        <v>96</v>
      </c>
      <c r="J125" s="13">
        <v>5</v>
      </c>
      <c r="K125" s="13">
        <v>170.09</v>
      </c>
      <c r="L125" s="13">
        <v>0.2</v>
      </c>
      <c r="M125" s="13">
        <v>680.36</v>
      </c>
      <c r="N125" s="13">
        <v>551.59</v>
      </c>
      <c r="O125" s="13">
        <v>128.77</v>
      </c>
      <c r="P125" s="13">
        <v>2.6</v>
      </c>
      <c r="Q125" s="13" t="s">
        <v>105</v>
      </c>
      <c r="R125" s="13">
        <v>2025</v>
      </c>
      <c r="S125" s="15" t="str">
        <f t="shared" si="6"/>
        <v>Low Profit</v>
      </c>
      <c r="T125" s="15" t="str">
        <f t="shared" si="7"/>
        <v>Low Sales</v>
      </c>
      <c r="U125" s="15" t="str">
        <f t="shared" si="8"/>
        <v>Needs Improvement</v>
      </c>
      <c r="V125" s="15" t="str">
        <f t="shared" si="9"/>
        <v>High Discount</v>
      </c>
      <c r="W125" s="15">
        <f>VLOOKUP(D125,Lookup_Table!$A:$C,2,FALSE)</f>
        <v>0.2</v>
      </c>
      <c r="X125" s="15">
        <f t="shared" si="10"/>
        <v>0.189267446645893</v>
      </c>
      <c r="Y125" s="15" t="str">
        <f>VLOOKUP(D125,Lookup_Table!A:C,3,0)</f>
        <v>Sneha</v>
      </c>
      <c r="Z125" s="15" t="str">
        <f t="shared" si="11"/>
        <v>Not Achieved</v>
      </c>
    </row>
    <row r="126" spans="1:26">
      <c r="A126" s="13" t="s">
        <v>217</v>
      </c>
      <c r="B126" s="14">
        <v>46020</v>
      </c>
      <c r="C126" s="13" t="s">
        <v>36</v>
      </c>
      <c r="D126" s="13" t="s">
        <v>60</v>
      </c>
      <c r="E126" s="13" t="s">
        <v>66</v>
      </c>
      <c r="F126" s="13" t="s">
        <v>75</v>
      </c>
      <c r="G126" s="13" t="s">
        <v>76</v>
      </c>
      <c r="H126" s="13" t="s">
        <v>77</v>
      </c>
      <c r="I126" s="13" t="s">
        <v>52</v>
      </c>
      <c r="J126" s="13">
        <v>7</v>
      </c>
      <c r="K126" s="13">
        <v>90.12</v>
      </c>
      <c r="L126" s="13">
        <v>0.1</v>
      </c>
      <c r="M126" s="13">
        <v>567.76</v>
      </c>
      <c r="N126" s="13">
        <v>460.25</v>
      </c>
      <c r="O126" s="13">
        <v>107.51</v>
      </c>
      <c r="P126" s="13">
        <v>4.5</v>
      </c>
      <c r="Q126" s="13" t="s">
        <v>34</v>
      </c>
      <c r="R126" s="13">
        <v>2025</v>
      </c>
      <c r="S126" s="15" t="str">
        <f t="shared" si="6"/>
        <v>Low Profit</v>
      </c>
      <c r="T126" s="15" t="str">
        <f t="shared" si="7"/>
        <v>Low Sales</v>
      </c>
      <c r="U126" s="15" t="str">
        <f t="shared" si="8"/>
        <v>Good</v>
      </c>
      <c r="V126" s="15" t="str">
        <f t="shared" si="9"/>
        <v>Normal Discount</v>
      </c>
      <c r="W126" s="15">
        <f>VLOOKUP(D126,Lookup_Table!$A:$C,2,FALSE)</f>
        <v>0.15</v>
      </c>
      <c r="X126" s="15">
        <f t="shared" si="10"/>
        <v>0.18935817951247</v>
      </c>
      <c r="Y126" s="15" t="str">
        <f>VLOOKUP(D126,Lookup_Table!A:C,3,0)</f>
        <v>Priya</v>
      </c>
      <c r="Z126" s="15" t="str">
        <f t="shared" si="11"/>
        <v>Achived</v>
      </c>
    </row>
    <row r="127" spans="1:26">
      <c r="A127" s="13" t="s">
        <v>218</v>
      </c>
      <c r="B127" s="14">
        <v>45886</v>
      </c>
      <c r="C127" s="13" t="s">
        <v>55</v>
      </c>
      <c r="D127" s="13" t="s">
        <v>28</v>
      </c>
      <c r="E127" s="13" t="s">
        <v>73</v>
      </c>
      <c r="F127" s="13" t="s">
        <v>67</v>
      </c>
      <c r="G127" s="13" t="s">
        <v>68</v>
      </c>
      <c r="H127" s="13" t="s">
        <v>69</v>
      </c>
      <c r="I127" s="13" t="s">
        <v>52</v>
      </c>
      <c r="J127" s="13">
        <v>1</v>
      </c>
      <c r="K127" s="13">
        <v>25.24</v>
      </c>
      <c r="L127" s="13">
        <v>0</v>
      </c>
      <c r="M127" s="13">
        <v>25.24</v>
      </c>
      <c r="N127" s="13">
        <v>20.45</v>
      </c>
      <c r="O127" s="13">
        <v>4.79</v>
      </c>
      <c r="P127" s="13">
        <v>4.1</v>
      </c>
      <c r="Q127" s="13" t="s">
        <v>47</v>
      </c>
      <c r="R127" s="13">
        <v>2025</v>
      </c>
      <c r="S127" s="15" t="str">
        <f t="shared" si="6"/>
        <v>Low Profit</v>
      </c>
      <c r="T127" s="15" t="str">
        <f t="shared" si="7"/>
        <v>Low Sales</v>
      </c>
      <c r="U127" s="15" t="str">
        <f t="shared" si="8"/>
        <v>Good</v>
      </c>
      <c r="V127" s="15" t="str">
        <f t="shared" si="9"/>
        <v>Normal Discount</v>
      </c>
      <c r="W127" s="15">
        <f>VLOOKUP(D127,Lookup_Table!$A:$C,2,FALSE)</f>
        <v>0.2</v>
      </c>
      <c r="X127" s="15">
        <f t="shared" si="10"/>
        <v>0.189778129952456</v>
      </c>
      <c r="Y127" s="15" t="str">
        <f>VLOOKUP(D127,Lookup_Table!A:C,3,0)</f>
        <v>Sneha</v>
      </c>
      <c r="Z127" s="15" t="str">
        <f t="shared" si="11"/>
        <v>Not Achieved</v>
      </c>
    </row>
    <row r="128" spans="1:26">
      <c r="A128" s="13" t="s">
        <v>219</v>
      </c>
      <c r="B128" s="14">
        <v>45838</v>
      </c>
      <c r="C128" s="13" t="s">
        <v>27</v>
      </c>
      <c r="D128" s="13" t="s">
        <v>80</v>
      </c>
      <c r="E128" s="13" t="s">
        <v>115</v>
      </c>
      <c r="F128" s="13" t="s">
        <v>111</v>
      </c>
      <c r="G128" s="13" t="s">
        <v>76</v>
      </c>
      <c r="H128" s="13" t="s">
        <v>77</v>
      </c>
      <c r="I128" s="13" t="s">
        <v>96</v>
      </c>
      <c r="J128" s="13">
        <v>4</v>
      </c>
      <c r="K128" s="13">
        <v>28.44</v>
      </c>
      <c r="L128" s="13">
        <v>0.05</v>
      </c>
      <c r="M128" s="13">
        <v>108.07</v>
      </c>
      <c r="N128" s="13">
        <v>87.54</v>
      </c>
      <c r="O128" s="13">
        <v>20.53</v>
      </c>
      <c r="P128" s="13">
        <v>3.5</v>
      </c>
      <c r="Q128" s="13" t="s">
        <v>58</v>
      </c>
      <c r="R128" s="13">
        <v>2025</v>
      </c>
      <c r="S128" s="15" t="str">
        <f t="shared" si="6"/>
        <v>Low Profit</v>
      </c>
      <c r="T128" s="15" t="str">
        <f t="shared" si="7"/>
        <v>Low Sales</v>
      </c>
      <c r="U128" s="15" t="str">
        <f t="shared" si="8"/>
        <v>Needs Improvement</v>
      </c>
      <c r="V128" s="15" t="str">
        <f t="shared" si="9"/>
        <v>Normal Discount</v>
      </c>
      <c r="W128" s="15">
        <f>VLOOKUP(D128,Lookup_Table!$A:$C,2,FALSE)</f>
        <v>0.12</v>
      </c>
      <c r="X128" s="15">
        <f t="shared" si="10"/>
        <v>0.189969464236143</v>
      </c>
      <c r="Y128" s="15" t="str">
        <f>VLOOKUP(D128,Lookup_Table!A:C,3,0)</f>
        <v>Rahul</v>
      </c>
      <c r="Z128" s="15" t="str">
        <f t="shared" si="11"/>
        <v>Achived</v>
      </c>
    </row>
    <row r="129" spans="1:26">
      <c r="A129" s="13" t="s">
        <v>220</v>
      </c>
      <c r="B129" s="14">
        <v>45772</v>
      </c>
      <c r="C129" s="13" t="s">
        <v>36</v>
      </c>
      <c r="D129" s="13" t="s">
        <v>80</v>
      </c>
      <c r="E129" s="13" t="s">
        <v>191</v>
      </c>
      <c r="F129" s="13" t="s">
        <v>50</v>
      </c>
      <c r="G129" s="13" t="s">
        <v>51</v>
      </c>
      <c r="H129" s="13" t="s">
        <v>32</v>
      </c>
      <c r="I129" s="13" t="s">
        <v>33</v>
      </c>
      <c r="J129" s="13">
        <v>3</v>
      </c>
      <c r="K129" s="13">
        <v>69.98</v>
      </c>
      <c r="L129" s="13">
        <v>0.15</v>
      </c>
      <c r="M129" s="13">
        <v>178.45</v>
      </c>
      <c r="N129" s="13">
        <v>144.49</v>
      </c>
      <c r="O129" s="13">
        <v>33.96</v>
      </c>
      <c r="P129" s="13">
        <v>4.4</v>
      </c>
      <c r="Q129" s="13" t="s">
        <v>84</v>
      </c>
      <c r="R129" s="13">
        <v>2025</v>
      </c>
      <c r="S129" s="15" t="str">
        <f t="shared" si="6"/>
        <v>Low Profit</v>
      </c>
      <c r="T129" s="15" t="str">
        <f t="shared" si="7"/>
        <v>Low Sales</v>
      </c>
      <c r="U129" s="15" t="str">
        <f t="shared" si="8"/>
        <v>Good</v>
      </c>
      <c r="V129" s="15" t="str">
        <f t="shared" si="9"/>
        <v>High Discount</v>
      </c>
      <c r="W129" s="15">
        <f>VLOOKUP(D129,Lookup_Table!$A:$C,2,FALSE)</f>
        <v>0.12</v>
      </c>
      <c r="X129" s="15">
        <f t="shared" si="10"/>
        <v>0.190305407677221</v>
      </c>
      <c r="Y129" s="15" t="str">
        <f>VLOOKUP(D129,Lookup_Table!A:C,3,0)</f>
        <v>Rahul</v>
      </c>
      <c r="Z129" s="15" t="str">
        <f t="shared" si="11"/>
        <v>Achived</v>
      </c>
    </row>
    <row r="130" spans="1:26">
      <c r="A130" s="13" t="s">
        <v>221</v>
      </c>
      <c r="B130" s="14">
        <v>45981</v>
      </c>
      <c r="C130" s="13" t="s">
        <v>55</v>
      </c>
      <c r="D130" s="13" t="s">
        <v>80</v>
      </c>
      <c r="E130" s="13" t="s">
        <v>115</v>
      </c>
      <c r="F130" s="13" t="s">
        <v>111</v>
      </c>
      <c r="G130" s="13" t="s">
        <v>76</v>
      </c>
      <c r="H130" s="13" t="s">
        <v>77</v>
      </c>
      <c r="I130" s="13" t="s">
        <v>96</v>
      </c>
      <c r="J130" s="13">
        <v>7</v>
      </c>
      <c r="K130" s="13">
        <v>15.44</v>
      </c>
      <c r="L130" s="13">
        <v>0.15</v>
      </c>
      <c r="M130" s="13">
        <v>91.87</v>
      </c>
      <c r="N130" s="13">
        <v>74.31</v>
      </c>
      <c r="O130" s="13">
        <v>17.56</v>
      </c>
      <c r="P130" s="13">
        <v>4</v>
      </c>
      <c r="Q130" s="13" t="s">
        <v>71</v>
      </c>
      <c r="R130" s="13">
        <v>2025</v>
      </c>
      <c r="S130" s="15" t="str">
        <f t="shared" ref="S130:S193" si="12">IF(O130&gt;500,"High Profit","Low Profit")</f>
        <v>Low Profit</v>
      </c>
      <c r="T130" s="15" t="str">
        <f t="shared" ref="T130:T193" si="13">IF(M130&gt;1000,"High Sales","Low Sales")</f>
        <v>Low Sales</v>
      </c>
      <c r="U130" s="15" t="str">
        <f t="shared" ref="U130:U193" si="14">IF(P130&gt;=4,"Good","Needs Improvement")</f>
        <v>Good</v>
      </c>
      <c r="V130" s="15" t="str">
        <f t="shared" ref="V130:V193" si="15">IF(L130&gt;=15%,"High Discount","Normal Discount")</f>
        <v>High Discount</v>
      </c>
      <c r="W130" s="15">
        <f>VLOOKUP(D130,Lookup_Table!$A:$C,2,FALSE)</f>
        <v>0.12</v>
      </c>
      <c r="X130" s="15">
        <f t="shared" ref="X130:X193" si="16">O130/M130</f>
        <v>0.191139653858713</v>
      </c>
      <c r="Y130" s="15" t="str">
        <f>VLOOKUP(D130,Lookup_Table!A:C,3,0)</f>
        <v>Rahul</v>
      </c>
      <c r="Z130" s="15" t="str">
        <f t="shared" ref="Z130:Z193" si="17">IF(X130&gt;=W130,"Achived","Not Achieved")</f>
        <v>Achived</v>
      </c>
    </row>
    <row r="131" spans="1:26">
      <c r="A131" s="13" t="s">
        <v>222</v>
      </c>
      <c r="B131" s="14">
        <v>45726</v>
      </c>
      <c r="C131" s="13" t="s">
        <v>36</v>
      </c>
      <c r="D131" s="13" t="s">
        <v>44</v>
      </c>
      <c r="E131" s="13" t="s">
        <v>45</v>
      </c>
      <c r="F131" s="13" t="s">
        <v>75</v>
      </c>
      <c r="G131" s="13" t="s">
        <v>76</v>
      </c>
      <c r="H131" s="13" t="s">
        <v>77</v>
      </c>
      <c r="I131" s="13" t="s">
        <v>33</v>
      </c>
      <c r="J131" s="13">
        <v>4</v>
      </c>
      <c r="K131" s="13">
        <v>89.91</v>
      </c>
      <c r="L131" s="13">
        <v>0.1</v>
      </c>
      <c r="M131" s="13">
        <v>323.68</v>
      </c>
      <c r="N131" s="13">
        <v>261.69</v>
      </c>
      <c r="O131" s="13">
        <v>61.99</v>
      </c>
      <c r="P131" s="13">
        <v>4</v>
      </c>
      <c r="Q131" s="13" t="s">
        <v>94</v>
      </c>
      <c r="R131" s="13">
        <v>2025</v>
      </c>
      <c r="S131" s="15" t="str">
        <f t="shared" si="12"/>
        <v>Low Profit</v>
      </c>
      <c r="T131" s="15" t="str">
        <f t="shared" si="13"/>
        <v>Low Sales</v>
      </c>
      <c r="U131" s="15" t="str">
        <f t="shared" si="14"/>
        <v>Good</v>
      </c>
      <c r="V131" s="15" t="str">
        <f t="shared" si="15"/>
        <v>Normal Discount</v>
      </c>
      <c r="W131" s="15">
        <f>VLOOKUP(D131,Lookup_Table!$A:$C,2,FALSE)</f>
        <v>0.18</v>
      </c>
      <c r="X131" s="15">
        <f t="shared" si="16"/>
        <v>0.191516312407316</v>
      </c>
      <c r="Y131" s="15" t="str">
        <f>VLOOKUP(D131,Lookup_Table!A:C,3,0)</f>
        <v>Amit</v>
      </c>
      <c r="Z131" s="15" t="str">
        <f t="shared" si="17"/>
        <v>Achived</v>
      </c>
    </row>
    <row r="132" spans="1:26">
      <c r="A132" s="13" t="s">
        <v>223</v>
      </c>
      <c r="B132" s="14">
        <v>45745</v>
      </c>
      <c r="C132" s="13" t="s">
        <v>55</v>
      </c>
      <c r="D132" s="13" t="s">
        <v>37</v>
      </c>
      <c r="E132" s="13" t="s">
        <v>86</v>
      </c>
      <c r="F132" s="13" t="s">
        <v>39</v>
      </c>
      <c r="G132" s="13" t="s">
        <v>40</v>
      </c>
      <c r="H132" s="13" t="s">
        <v>41</v>
      </c>
      <c r="I132" s="13" t="s">
        <v>33</v>
      </c>
      <c r="J132" s="13">
        <v>6</v>
      </c>
      <c r="K132" s="13">
        <v>236.3</v>
      </c>
      <c r="L132" s="13">
        <v>0.2</v>
      </c>
      <c r="M132" s="13">
        <v>1134.24</v>
      </c>
      <c r="N132" s="13">
        <v>916.84</v>
      </c>
      <c r="O132" s="13">
        <v>217.4</v>
      </c>
      <c r="P132" s="13">
        <v>3</v>
      </c>
      <c r="Q132" s="13" t="s">
        <v>94</v>
      </c>
      <c r="R132" s="13">
        <v>2025</v>
      </c>
      <c r="S132" s="15" t="str">
        <f t="shared" si="12"/>
        <v>Low Profit</v>
      </c>
      <c r="T132" s="15" t="str">
        <f t="shared" si="13"/>
        <v>High Sales</v>
      </c>
      <c r="U132" s="15" t="str">
        <f t="shared" si="14"/>
        <v>Needs Improvement</v>
      </c>
      <c r="V132" s="15" t="str">
        <f t="shared" si="15"/>
        <v>High Discount</v>
      </c>
      <c r="W132" s="15">
        <f>VLOOKUP(D132,Lookup_Table!$A:$C,2,FALSE)</f>
        <v>0.16</v>
      </c>
      <c r="X132" s="15">
        <f t="shared" si="16"/>
        <v>0.191670193257159</v>
      </c>
      <c r="Y132" s="15" t="str">
        <f>VLOOKUP(D132,Lookup_Table!A:C,3,0)</f>
        <v>Vikram</v>
      </c>
      <c r="Z132" s="15" t="str">
        <f t="shared" si="17"/>
        <v>Achived</v>
      </c>
    </row>
    <row r="133" spans="1:26">
      <c r="A133" s="13" t="s">
        <v>224</v>
      </c>
      <c r="B133" s="14">
        <v>45799</v>
      </c>
      <c r="C133" s="13" t="s">
        <v>55</v>
      </c>
      <c r="D133" s="13" t="s">
        <v>80</v>
      </c>
      <c r="E133" s="13" t="s">
        <v>101</v>
      </c>
      <c r="F133" s="13" t="s">
        <v>62</v>
      </c>
      <c r="G133" s="13" t="s">
        <v>63</v>
      </c>
      <c r="H133" s="13" t="s">
        <v>32</v>
      </c>
      <c r="I133" s="13" t="s">
        <v>33</v>
      </c>
      <c r="J133" s="13">
        <v>1</v>
      </c>
      <c r="K133" s="13">
        <v>31.03</v>
      </c>
      <c r="L133" s="13">
        <v>0</v>
      </c>
      <c r="M133" s="13">
        <v>31.03</v>
      </c>
      <c r="N133" s="13">
        <v>25.08</v>
      </c>
      <c r="O133" s="13">
        <v>5.95</v>
      </c>
      <c r="P133" s="13">
        <v>5</v>
      </c>
      <c r="Q133" s="13" t="s">
        <v>42</v>
      </c>
      <c r="R133" s="13">
        <v>2025</v>
      </c>
      <c r="S133" s="15" t="str">
        <f t="shared" si="12"/>
        <v>Low Profit</v>
      </c>
      <c r="T133" s="15" t="str">
        <f t="shared" si="13"/>
        <v>Low Sales</v>
      </c>
      <c r="U133" s="15" t="str">
        <f t="shared" si="14"/>
        <v>Good</v>
      </c>
      <c r="V133" s="15" t="str">
        <f t="shared" si="15"/>
        <v>Normal Discount</v>
      </c>
      <c r="W133" s="15">
        <f>VLOOKUP(D133,Lookup_Table!$A:$C,2,FALSE)</f>
        <v>0.12</v>
      </c>
      <c r="X133" s="15">
        <f t="shared" si="16"/>
        <v>0.191749919432807</v>
      </c>
      <c r="Y133" s="15" t="str">
        <f>VLOOKUP(D133,Lookup_Table!A:C,3,0)</f>
        <v>Rahul</v>
      </c>
      <c r="Z133" s="15" t="str">
        <f t="shared" si="17"/>
        <v>Achived</v>
      </c>
    </row>
    <row r="134" spans="1:26">
      <c r="A134" s="13" t="s">
        <v>225</v>
      </c>
      <c r="B134" s="14">
        <v>45709</v>
      </c>
      <c r="C134" s="13" t="s">
        <v>27</v>
      </c>
      <c r="D134" s="13" t="s">
        <v>80</v>
      </c>
      <c r="E134" s="13" t="s">
        <v>115</v>
      </c>
      <c r="F134" s="13" t="s">
        <v>82</v>
      </c>
      <c r="G134" s="13" t="s">
        <v>83</v>
      </c>
      <c r="H134" s="13" t="s">
        <v>77</v>
      </c>
      <c r="I134" s="13" t="s">
        <v>52</v>
      </c>
      <c r="J134" s="13">
        <v>4</v>
      </c>
      <c r="K134" s="13">
        <v>72.27</v>
      </c>
      <c r="L134" s="13">
        <v>0.05</v>
      </c>
      <c r="M134" s="13">
        <v>274.63</v>
      </c>
      <c r="N134" s="13">
        <v>221.88</v>
      </c>
      <c r="O134" s="13">
        <v>52.75</v>
      </c>
      <c r="P134" s="13">
        <v>2.6</v>
      </c>
      <c r="Q134" s="13" t="s">
        <v>105</v>
      </c>
      <c r="R134" s="13">
        <v>2025</v>
      </c>
      <c r="S134" s="15" t="str">
        <f t="shared" si="12"/>
        <v>Low Profit</v>
      </c>
      <c r="T134" s="15" t="str">
        <f t="shared" si="13"/>
        <v>Low Sales</v>
      </c>
      <c r="U134" s="15" t="str">
        <f t="shared" si="14"/>
        <v>Needs Improvement</v>
      </c>
      <c r="V134" s="15" t="str">
        <f t="shared" si="15"/>
        <v>Normal Discount</v>
      </c>
      <c r="W134" s="15">
        <f>VLOOKUP(D134,Lookup_Table!$A:$C,2,FALSE)</f>
        <v>0.12</v>
      </c>
      <c r="X134" s="15">
        <f t="shared" si="16"/>
        <v>0.1920766121691</v>
      </c>
      <c r="Y134" s="15" t="str">
        <f>VLOOKUP(D134,Lookup_Table!A:C,3,0)</f>
        <v>Rahul</v>
      </c>
      <c r="Z134" s="15" t="str">
        <f t="shared" si="17"/>
        <v>Achived</v>
      </c>
    </row>
    <row r="135" spans="1:26">
      <c r="A135" s="13" t="s">
        <v>226</v>
      </c>
      <c r="B135" s="14">
        <v>45720</v>
      </c>
      <c r="C135" s="13" t="s">
        <v>27</v>
      </c>
      <c r="D135" s="13" t="s">
        <v>28</v>
      </c>
      <c r="E135" s="13" t="s">
        <v>73</v>
      </c>
      <c r="F135" s="13" t="s">
        <v>39</v>
      </c>
      <c r="G135" s="13" t="s">
        <v>40</v>
      </c>
      <c r="H135" s="13" t="s">
        <v>41</v>
      </c>
      <c r="I135" s="13" t="s">
        <v>52</v>
      </c>
      <c r="J135" s="13">
        <v>1</v>
      </c>
      <c r="K135" s="13">
        <v>132.05</v>
      </c>
      <c r="L135" s="13">
        <v>0</v>
      </c>
      <c r="M135" s="13">
        <v>132.05</v>
      </c>
      <c r="N135" s="13">
        <v>106.67</v>
      </c>
      <c r="O135" s="13">
        <v>25.38</v>
      </c>
      <c r="P135" s="13">
        <v>3.4</v>
      </c>
      <c r="Q135" s="13" t="s">
        <v>94</v>
      </c>
      <c r="R135" s="13">
        <v>2025</v>
      </c>
      <c r="S135" s="15" t="str">
        <f t="shared" si="12"/>
        <v>Low Profit</v>
      </c>
      <c r="T135" s="15" t="str">
        <f t="shared" si="13"/>
        <v>Low Sales</v>
      </c>
      <c r="U135" s="15" t="str">
        <f t="shared" si="14"/>
        <v>Needs Improvement</v>
      </c>
      <c r="V135" s="15" t="str">
        <f t="shared" si="15"/>
        <v>Normal Discount</v>
      </c>
      <c r="W135" s="15">
        <f>VLOOKUP(D135,Lookup_Table!$A:$C,2,FALSE)</f>
        <v>0.2</v>
      </c>
      <c r="X135" s="15">
        <f t="shared" si="16"/>
        <v>0.192199924271109</v>
      </c>
      <c r="Y135" s="15" t="str">
        <f>VLOOKUP(D135,Lookup_Table!A:C,3,0)</f>
        <v>Sneha</v>
      </c>
      <c r="Z135" s="15" t="str">
        <f t="shared" si="17"/>
        <v>Not Achieved</v>
      </c>
    </row>
    <row r="136" spans="1:26">
      <c r="A136" s="13" t="s">
        <v>227</v>
      </c>
      <c r="B136" s="14">
        <v>45948</v>
      </c>
      <c r="C136" s="13" t="s">
        <v>55</v>
      </c>
      <c r="D136" s="13" t="s">
        <v>80</v>
      </c>
      <c r="E136" s="13" t="s">
        <v>191</v>
      </c>
      <c r="F136" s="13" t="s">
        <v>82</v>
      </c>
      <c r="G136" s="13" t="s">
        <v>83</v>
      </c>
      <c r="H136" s="13" t="s">
        <v>77</v>
      </c>
      <c r="I136" s="13" t="s">
        <v>52</v>
      </c>
      <c r="J136" s="13">
        <v>1</v>
      </c>
      <c r="K136" s="13">
        <v>77.89</v>
      </c>
      <c r="L136" s="13">
        <v>0.15</v>
      </c>
      <c r="M136" s="13">
        <v>66.21</v>
      </c>
      <c r="N136" s="13">
        <v>53.43</v>
      </c>
      <c r="O136" s="13">
        <v>12.78</v>
      </c>
      <c r="P136" s="13">
        <v>3.3</v>
      </c>
      <c r="Q136" s="13" t="s">
        <v>87</v>
      </c>
      <c r="R136" s="13">
        <v>2025</v>
      </c>
      <c r="S136" s="15" t="str">
        <f t="shared" si="12"/>
        <v>Low Profit</v>
      </c>
      <c r="T136" s="15" t="str">
        <f t="shared" si="13"/>
        <v>Low Sales</v>
      </c>
      <c r="U136" s="15" t="str">
        <f t="shared" si="14"/>
        <v>Needs Improvement</v>
      </c>
      <c r="V136" s="15" t="str">
        <f t="shared" si="15"/>
        <v>High Discount</v>
      </c>
      <c r="W136" s="15">
        <f>VLOOKUP(D136,Lookup_Table!$A:$C,2,FALSE)</f>
        <v>0.12</v>
      </c>
      <c r="X136" s="15">
        <f t="shared" si="16"/>
        <v>0.193022202084277</v>
      </c>
      <c r="Y136" s="15" t="str">
        <f>VLOOKUP(D136,Lookup_Table!A:C,3,0)</f>
        <v>Rahul</v>
      </c>
      <c r="Z136" s="15" t="str">
        <f t="shared" si="17"/>
        <v>Achived</v>
      </c>
    </row>
    <row r="137" spans="1:26">
      <c r="A137" s="13" t="s">
        <v>228</v>
      </c>
      <c r="B137" s="14">
        <v>45826</v>
      </c>
      <c r="C137" s="13" t="s">
        <v>36</v>
      </c>
      <c r="D137" s="13" t="s">
        <v>37</v>
      </c>
      <c r="E137" s="13" t="s">
        <v>109</v>
      </c>
      <c r="F137" s="13" t="s">
        <v>50</v>
      </c>
      <c r="G137" s="13" t="s">
        <v>51</v>
      </c>
      <c r="H137" s="13" t="s">
        <v>32</v>
      </c>
      <c r="I137" s="13" t="s">
        <v>33</v>
      </c>
      <c r="J137" s="13">
        <v>6</v>
      </c>
      <c r="K137" s="13">
        <v>403.96</v>
      </c>
      <c r="L137" s="13">
        <v>0.05</v>
      </c>
      <c r="M137" s="13">
        <v>2302.57</v>
      </c>
      <c r="N137" s="13">
        <v>1856.72</v>
      </c>
      <c r="O137" s="13">
        <v>445.85</v>
      </c>
      <c r="P137" s="13">
        <v>4.4</v>
      </c>
      <c r="Q137" s="13" t="s">
        <v>58</v>
      </c>
      <c r="R137" s="13">
        <v>2025</v>
      </c>
      <c r="S137" s="15" t="str">
        <f t="shared" si="12"/>
        <v>Low Profit</v>
      </c>
      <c r="T137" s="15" t="str">
        <f t="shared" si="13"/>
        <v>High Sales</v>
      </c>
      <c r="U137" s="15" t="str">
        <f t="shared" si="14"/>
        <v>Good</v>
      </c>
      <c r="V137" s="15" t="str">
        <f t="shared" si="15"/>
        <v>Normal Discount</v>
      </c>
      <c r="W137" s="15">
        <f>VLOOKUP(D137,Lookup_Table!$A:$C,2,FALSE)</f>
        <v>0.16</v>
      </c>
      <c r="X137" s="15">
        <f t="shared" si="16"/>
        <v>0.193631463972865</v>
      </c>
      <c r="Y137" s="15" t="str">
        <f>VLOOKUP(D137,Lookup_Table!A:C,3,0)</f>
        <v>Vikram</v>
      </c>
      <c r="Z137" s="15" t="str">
        <f t="shared" si="17"/>
        <v>Achived</v>
      </c>
    </row>
    <row r="138" spans="1:26">
      <c r="A138" s="13" t="s">
        <v>229</v>
      </c>
      <c r="B138" s="14">
        <v>45865</v>
      </c>
      <c r="C138" s="13" t="s">
        <v>55</v>
      </c>
      <c r="D138" s="13" t="s">
        <v>44</v>
      </c>
      <c r="E138" s="13" t="s">
        <v>104</v>
      </c>
      <c r="F138" s="13" t="s">
        <v>62</v>
      </c>
      <c r="G138" s="13" t="s">
        <v>63</v>
      </c>
      <c r="H138" s="13" t="s">
        <v>32</v>
      </c>
      <c r="I138" s="13" t="s">
        <v>46</v>
      </c>
      <c r="J138" s="13">
        <v>2</v>
      </c>
      <c r="K138" s="13">
        <v>1465.61</v>
      </c>
      <c r="L138" s="13">
        <v>0.1</v>
      </c>
      <c r="M138" s="13">
        <v>2638.1</v>
      </c>
      <c r="N138" s="13">
        <v>2126.36</v>
      </c>
      <c r="O138" s="13">
        <v>511.74</v>
      </c>
      <c r="P138" s="13">
        <v>4.8</v>
      </c>
      <c r="Q138" s="13" t="s">
        <v>56</v>
      </c>
      <c r="R138" s="13">
        <v>2025</v>
      </c>
      <c r="S138" s="15" t="str">
        <f t="shared" si="12"/>
        <v>High Profit</v>
      </c>
      <c r="T138" s="15" t="str">
        <f t="shared" si="13"/>
        <v>High Sales</v>
      </c>
      <c r="U138" s="15" t="str">
        <f t="shared" si="14"/>
        <v>Good</v>
      </c>
      <c r="V138" s="15" t="str">
        <f t="shared" si="15"/>
        <v>Normal Discount</v>
      </c>
      <c r="W138" s="15">
        <f>VLOOKUP(D138,Lookup_Table!$A:$C,2,FALSE)</f>
        <v>0.18</v>
      </c>
      <c r="X138" s="15">
        <f t="shared" si="16"/>
        <v>0.193980516280657</v>
      </c>
      <c r="Y138" s="15" t="str">
        <f>VLOOKUP(D138,Lookup_Table!A:C,3,0)</f>
        <v>Amit</v>
      </c>
      <c r="Z138" s="15" t="str">
        <f t="shared" si="17"/>
        <v>Achived</v>
      </c>
    </row>
    <row r="139" spans="1:26">
      <c r="A139" s="13" t="s">
        <v>230</v>
      </c>
      <c r="B139" s="14">
        <v>45944</v>
      </c>
      <c r="C139" s="13" t="s">
        <v>27</v>
      </c>
      <c r="D139" s="13" t="s">
        <v>28</v>
      </c>
      <c r="E139" s="13" t="s">
        <v>90</v>
      </c>
      <c r="F139" s="13" t="s">
        <v>50</v>
      </c>
      <c r="G139" s="13" t="s">
        <v>51</v>
      </c>
      <c r="H139" s="13" t="s">
        <v>32</v>
      </c>
      <c r="I139" s="13" t="s">
        <v>96</v>
      </c>
      <c r="J139" s="13">
        <v>2</v>
      </c>
      <c r="K139" s="13">
        <v>106.52</v>
      </c>
      <c r="L139" s="13">
        <v>0</v>
      </c>
      <c r="M139" s="13">
        <v>213.04</v>
      </c>
      <c r="N139" s="13">
        <v>171.59</v>
      </c>
      <c r="O139" s="13">
        <v>41.45</v>
      </c>
      <c r="P139" s="13">
        <v>3.5</v>
      </c>
      <c r="Q139" s="13" t="s">
        <v>87</v>
      </c>
      <c r="R139" s="13">
        <v>2025</v>
      </c>
      <c r="S139" s="15" t="str">
        <f t="shared" si="12"/>
        <v>Low Profit</v>
      </c>
      <c r="T139" s="15" t="str">
        <f t="shared" si="13"/>
        <v>Low Sales</v>
      </c>
      <c r="U139" s="15" t="str">
        <f t="shared" si="14"/>
        <v>Needs Improvement</v>
      </c>
      <c r="V139" s="15" t="str">
        <f t="shared" si="15"/>
        <v>Normal Discount</v>
      </c>
      <c r="W139" s="15">
        <f>VLOOKUP(D139,Lookup_Table!$A:$C,2,FALSE)</f>
        <v>0.2</v>
      </c>
      <c r="X139" s="15">
        <f t="shared" si="16"/>
        <v>0.194564401051446</v>
      </c>
      <c r="Y139" s="15" t="str">
        <f>VLOOKUP(D139,Lookup_Table!A:C,3,0)</f>
        <v>Sneha</v>
      </c>
      <c r="Z139" s="15" t="str">
        <f t="shared" si="17"/>
        <v>Not Achieved</v>
      </c>
    </row>
    <row r="140" spans="1:26">
      <c r="A140" s="13" t="s">
        <v>231</v>
      </c>
      <c r="B140" s="14">
        <v>45661</v>
      </c>
      <c r="C140" s="13" t="s">
        <v>55</v>
      </c>
      <c r="D140" s="13" t="s">
        <v>80</v>
      </c>
      <c r="E140" s="13" t="s">
        <v>191</v>
      </c>
      <c r="F140" s="13" t="s">
        <v>98</v>
      </c>
      <c r="G140" s="13" t="s">
        <v>99</v>
      </c>
      <c r="H140" s="13" t="s">
        <v>77</v>
      </c>
      <c r="I140" s="13" t="s">
        <v>96</v>
      </c>
      <c r="J140" s="13">
        <v>7</v>
      </c>
      <c r="K140" s="13">
        <v>73.22</v>
      </c>
      <c r="L140" s="13">
        <v>0</v>
      </c>
      <c r="M140" s="13">
        <v>512.54</v>
      </c>
      <c r="N140" s="13">
        <v>412.64</v>
      </c>
      <c r="O140" s="13">
        <v>99.9</v>
      </c>
      <c r="P140" s="13">
        <v>3.9</v>
      </c>
      <c r="Q140" s="13" t="s">
        <v>64</v>
      </c>
      <c r="R140" s="13">
        <v>2025</v>
      </c>
      <c r="S140" s="15" t="str">
        <f t="shared" si="12"/>
        <v>Low Profit</v>
      </c>
      <c r="T140" s="15" t="str">
        <f t="shared" si="13"/>
        <v>Low Sales</v>
      </c>
      <c r="U140" s="15" t="str">
        <f t="shared" si="14"/>
        <v>Needs Improvement</v>
      </c>
      <c r="V140" s="15" t="str">
        <f t="shared" si="15"/>
        <v>Normal Discount</v>
      </c>
      <c r="W140" s="15">
        <f>VLOOKUP(D140,Lookup_Table!$A:$C,2,FALSE)</f>
        <v>0.12</v>
      </c>
      <c r="X140" s="15">
        <f t="shared" si="16"/>
        <v>0.19491161665431</v>
      </c>
      <c r="Y140" s="15" t="str">
        <f>VLOOKUP(D140,Lookup_Table!A:C,3,0)</f>
        <v>Rahul</v>
      </c>
      <c r="Z140" s="15" t="str">
        <f t="shared" si="17"/>
        <v>Achived</v>
      </c>
    </row>
    <row r="141" spans="1:26">
      <c r="A141" s="13" t="s">
        <v>232</v>
      </c>
      <c r="B141" s="14">
        <v>45711</v>
      </c>
      <c r="C141" s="13" t="s">
        <v>27</v>
      </c>
      <c r="D141" s="13" t="s">
        <v>37</v>
      </c>
      <c r="E141" s="13" t="s">
        <v>93</v>
      </c>
      <c r="F141" s="13" t="s">
        <v>67</v>
      </c>
      <c r="G141" s="13" t="s">
        <v>68</v>
      </c>
      <c r="H141" s="13" t="s">
        <v>69</v>
      </c>
      <c r="I141" s="13" t="s">
        <v>46</v>
      </c>
      <c r="J141" s="13">
        <v>6</v>
      </c>
      <c r="K141" s="13">
        <v>456.98</v>
      </c>
      <c r="L141" s="13">
        <v>0.1</v>
      </c>
      <c r="M141" s="13">
        <v>2467.69</v>
      </c>
      <c r="N141" s="13">
        <v>1986.19</v>
      </c>
      <c r="O141" s="13">
        <v>481.5</v>
      </c>
      <c r="P141" s="13">
        <v>3.6</v>
      </c>
      <c r="Q141" s="13" t="s">
        <v>105</v>
      </c>
      <c r="R141" s="13">
        <v>2025</v>
      </c>
      <c r="S141" s="15" t="str">
        <f t="shared" si="12"/>
        <v>Low Profit</v>
      </c>
      <c r="T141" s="15" t="str">
        <f t="shared" si="13"/>
        <v>High Sales</v>
      </c>
      <c r="U141" s="15" t="str">
        <f t="shared" si="14"/>
        <v>Needs Improvement</v>
      </c>
      <c r="V141" s="15" t="str">
        <f t="shared" si="15"/>
        <v>Normal Discount</v>
      </c>
      <c r="W141" s="15">
        <f>VLOOKUP(D141,Lookup_Table!$A:$C,2,FALSE)</f>
        <v>0.16</v>
      </c>
      <c r="X141" s="15">
        <f t="shared" si="16"/>
        <v>0.195121753542787</v>
      </c>
      <c r="Y141" s="15" t="str">
        <f>VLOOKUP(D141,Lookup_Table!A:C,3,0)</f>
        <v>Vikram</v>
      </c>
      <c r="Z141" s="15" t="str">
        <f t="shared" si="17"/>
        <v>Achived</v>
      </c>
    </row>
    <row r="142" spans="1:26">
      <c r="A142" s="13" t="s">
        <v>233</v>
      </c>
      <c r="B142" s="14">
        <v>45837</v>
      </c>
      <c r="C142" s="13" t="s">
        <v>36</v>
      </c>
      <c r="D142" s="13" t="s">
        <v>37</v>
      </c>
      <c r="E142" s="13" t="s">
        <v>93</v>
      </c>
      <c r="F142" s="13" t="s">
        <v>98</v>
      </c>
      <c r="G142" s="13" t="s">
        <v>99</v>
      </c>
      <c r="H142" s="13" t="s">
        <v>77</v>
      </c>
      <c r="I142" s="13" t="s">
        <v>96</v>
      </c>
      <c r="J142" s="13">
        <v>4</v>
      </c>
      <c r="K142" s="13">
        <v>350.05</v>
      </c>
      <c r="L142" s="13">
        <v>0.15</v>
      </c>
      <c r="M142" s="13">
        <v>1190.17</v>
      </c>
      <c r="N142" s="13">
        <v>955.43</v>
      </c>
      <c r="O142" s="13">
        <v>234.74</v>
      </c>
      <c r="P142" s="13">
        <v>3.2</v>
      </c>
      <c r="Q142" s="13" t="s">
        <v>58</v>
      </c>
      <c r="R142" s="13">
        <v>2025</v>
      </c>
      <c r="S142" s="15" t="str">
        <f t="shared" si="12"/>
        <v>Low Profit</v>
      </c>
      <c r="T142" s="15" t="str">
        <f t="shared" si="13"/>
        <v>High Sales</v>
      </c>
      <c r="U142" s="15" t="str">
        <f t="shared" si="14"/>
        <v>Needs Improvement</v>
      </c>
      <c r="V142" s="15" t="str">
        <f t="shared" si="15"/>
        <v>High Discount</v>
      </c>
      <c r="W142" s="15">
        <f>VLOOKUP(D142,Lookup_Table!$A:$C,2,FALSE)</f>
        <v>0.16</v>
      </c>
      <c r="X142" s="15">
        <f t="shared" si="16"/>
        <v>0.197232328154801</v>
      </c>
      <c r="Y142" s="15" t="str">
        <f>VLOOKUP(D142,Lookup_Table!A:C,3,0)</f>
        <v>Vikram</v>
      </c>
      <c r="Z142" s="15" t="str">
        <f t="shared" si="17"/>
        <v>Achived</v>
      </c>
    </row>
    <row r="143" spans="1:26">
      <c r="A143" s="13" t="s">
        <v>234</v>
      </c>
      <c r="B143" s="14">
        <v>45797</v>
      </c>
      <c r="C143" s="13" t="s">
        <v>36</v>
      </c>
      <c r="D143" s="13" t="s">
        <v>80</v>
      </c>
      <c r="E143" s="13" t="s">
        <v>101</v>
      </c>
      <c r="F143" s="13" t="s">
        <v>50</v>
      </c>
      <c r="G143" s="13" t="s">
        <v>51</v>
      </c>
      <c r="H143" s="13" t="s">
        <v>32</v>
      </c>
      <c r="I143" s="13" t="s">
        <v>96</v>
      </c>
      <c r="J143" s="13">
        <v>2</v>
      </c>
      <c r="K143" s="13">
        <v>59.65</v>
      </c>
      <c r="L143" s="13">
        <v>0</v>
      </c>
      <c r="M143" s="13">
        <v>119.3</v>
      </c>
      <c r="N143" s="13">
        <v>95.77</v>
      </c>
      <c r="O143" s="13">
        <v>23.53</v>
      </c>
      <c r="P143" s="13">
        <v>3.6</v>
      </c>
      <c r="Q143" s="13" t="s">
        <v>42</v>
      </c>
      <c r="R143" s="13">
        <v>2025</v>
      </c>
      <c r="S143" s="15" t="str">
        <f t="shared" si="12"/>
        <v>Low Profit</v>
      </c>
      <c r="T143" s="15" t="str">
        <f t="shared" si="13"/>
        <v>Low Sales</v>
      </c>
      <c r="U143" s="15" t="str">
        <f t="shared" si="14"/>
        <v>Needs Improvement</v>
      </c>
      <c r="V143" s="15" t="str">
        <f t="shared" si="15"/>
        <v>Normal Discount</v>
      </c>
      <c r="W143" s="15">
        <f>VLOOKUP(D143,Lookup_Table!$A:$C,2,FALSE)</f>
        <v>0.12</v>
      </c>
      <c r="X143" s="15">
        <f t="shared" si="16"/>
        <v>0.197233864207879</v>
      </c>
      <c r="Y143" s="15" t="str">
        <f>VLOOKUP(D143,Lookup_Table!A:C,3,0)</f>
        <v>Rahul</v>
      </c>
      <c r="Z143" s="15" t="str">
        <f t="shared" si="17"/>
        <v>Achived</v>
      </c>
    </row>
    <row r="144" spans="1:26">
      <c r="A144" s="13" t="s">
        <v>235</v>
      </c>
      <c r="B144" s="14">
        <v>45663</v>
      </c>
      <c r="C144" s="13" t="s">
        <v>55</v>
      </c>
      <c r="D144" s="13" t="s">
        <v>80</v>
      </c>
      <c r="E144" s="13" t="s">
        <v>81</v>
      </c>
      <c r="F144" s="13" t="s">
        <v>98</v>
      </c>
      <c r="G144" s="13" t="s">
        <v>99</v>
      </c>
      <c r="H144" s="13" t="s">
        <v>77</v>
      </c>
      <c r="I144" s="13" t="s">
        <v>46</v>
      </c>
      <c r="J144" s="13">
        <v>2</v>
      </c>
      <c r="K144" s="13">
        <v>60.67</v>
      </c>
      <c r="L144" s="13">
        <v>0.1</v>
      </c>
      <c r="M144" s="13">
        <v>109.21</v>
      </c>
      <c r="N144" s="13">
        <v>87.67</v>
      </c>
      <c r="O144" s="13">
        <v>21.54</v>
      </c>
      <c r="P144" s="13">
        <v>3.8</v>
      </c>
      <c r="Q144" s="13" t="s">
        <v>64</v>
      </c>
      <c r="R144" s="13">
        <v>2025</v>
      </c>
      <c r="S144" s="15" t="str">
        <f t="shared" si="12"/>
        <v>Low Profit</v>
      </c>
      <c r="T144" s="15" t="str">
        <f t="shared" si="13"/>
        <v>Low Sales</v>
      </c>
      <c r="U144" s="15" t="str">
        <f t="shared" si="14"/>
        <v>Needs Improvement</v>
      </c>
      <c r="V144" s="15" t="str">
        <f t="shared" si="15"/>
        <v>Normal Discount</v>
      </c>
      <c r="W144" s="15">
        <f>VLOOKUP(D144,Lookup_Table!$A:$C,2,FALSE)</f>
        <v>0.12</v>
      </c>
      <c r="X144" s="15">
        <f t="shared" si="16"/>
        <v>0.197234685468364</v>
      </c>
      <c r="Y144" s="15" t="str">
        <f>VLOOKUP(D144,Lookup_Table!A:C,3,0)</f>
        <v>Rahul</v>
      </c>
      <c r="Z144" s="15" t="str">
        <f t="shared" si="17"/>
        <v>Achived</v>
      </c>
    </row>
    <row r="145" spans="1:26">
      <c r="A145" s="13" t="s">
        <v>236</v>
      </c>
      <c r="B145" s="14">
        <v>45768</v>
      </c>
      <c r="C145" s="13" t="s">
        <v>36</v>
      </c>
      <c r="D145" s="13" t="s">
        <v>44</v>
      </c>
      <c r="E145" s="13" t="s">
        <v>104</v>
      </c>
      <c r="F145" s="13" t="s">
        <v>50</v>
      </c>
      <c r="G145" s="13" t="s">
        <v>51</v>
      </c>
      <c r="H145" s="13" t="s">
        <v>32</v>
      </c>
      <c r="I145" s="13" t="s">
        <v>33</v>
      </c>
      <c r="J145" s="13">
        <v>4</v>
      </c>
      <c r="K145" s="13">
        <v>965.38</v>
      </c>
      <c r="L145" s="13">
        <v>0.15</v>
      </c>
      <c r="M145" s="13">
        <v>3282.29</v>
      </c>
      <c r="N145" s="13">
        <v>2633.17</v>
      </c>
      <c r="O145" s="13">
        <v>649.12</v>
      </c>
      <c r="P145" s="13">
        <v>4.3</v>
      </c>
      <c r="Q145" s="13" t="s">
        <v>84</v>
      </c>
      <c r="R145" s="13">
        <v>2025</v>
      </c>
      <c r="S145" s="15" t="str">
        <f t="shared" si="12"/>
        <v>High Profit</v>
      </c>
      <c r="T145" s="15" t="str">
        <f t="shared" si="13"/>
        <v>High Sales</v>
      </c>
      <c r="U145" s="15" t="str">
        <f t="shared" si="14"/>
        <v>Good</v>
      </c>
      <c r="V145" s="15" t="str">
        <f t="shared" si="15"/>
        <v>High Discount</v>
      </c>
      <c r="W145" s="15">
        <f>VLOOKUP(D145,Lookup_Table!$A:$C,2,FALSE)</f>
        <v>0.18</v>
      </c>
      <c r="X145" s="15">
        <f t="shared" si="16"/>
        <v>0.197764365732461</v>
      </c>
      <c r="Y145" s="15" t="str">
        <f>VLOOKUP(D145,Lookup_Table!A:C,3,0)</f>
        <v>Amit</v>
      </c>
      <c r="Z145" s="15" t="str">
        <f t="shared" si="17"/>
        <v>Achived</v>
      </c>
    </row>
    <row r="146" spans="1:26">
      <c r="A146" s="13" t="s">
        <v>237</v>
      </c>
      <c r="B146" s="14">
        <v>45955</v>
      </c>
      <c r="C146" s="13" t="s">
        <v>27</v>
      </c>
      <c r="D146" s="13" t="s">
        <v>37</v>
      </c>
      <c r="E146" s="13" t="s">
        <v>86</v>
      </c>
      <c r="F146" s="13" t="s">
        <v>75</v>
      </c>
      <c r="G146" s="13" t="s">
        <v>76</v>
      </c>
      <c r="H146" s="13" t="s">
        <v>77</v>
      </c>
      <c r="I146" s="13" t="s">
        <v>33</v>
      </c>
      <c r="J146" s="13">
        <v>1</v>
      </c>
      <c r="K146" s="13">
        <v>360.96</v>
      </c>
      <c r="L146" s="13">
        <v>0</v>
      </c>
      <c r="M146" s="13">
        <v>360.96</v>
      </c>
      <c r="N146" s="13">
        <v>289.54</v>
      </c>
      <c r="O146" s="13">
        <v>71.42</v>
      </c>
      <c r="P146" s="13">
        <v>3.9</v>
      </c>
      <c r="Q146" s="13" t="s">
        <v>87</v>
      </c>
      <c r="R146" s="13">
        <v>2025</v>
      </c>
      <c r="S146" s="15" t="str">
        <f t="shared" si="12"/>
        <v>Low Profit</v>
      </c>
      <c r="T146" s="15" t="str">
        <f t="shared" si="13"/>
        <v>Low Sales</v>
      </c>
      <c r="U146" s="15" t="str">
        <f t="shared" si="14"/>
        <v>Needs Improvement</v>
      </c>
      <c r="V146" s="15" t="str">
        <f t="shared" si="15"/>
        <v>Normal Discount</v>
      </c>
      <c r="W146" s="15">
        <f>VLOOKUP(D146,Lookup_Table!$A:$C,2,FALSE)</f>
        <v>0.16</v>
      </c>
      <c r="X146" s="15">
        <f t="shared" si="16"/>
        <v>0.197861258865248</v>
      </c>
      <c r="Y146" s="15" t="str">
        <f>VLOOKUP(D146,Lookup_Table!A:C,3,0)</f>
        <v>Vikram</v>
      </c>
      <c r="Z146" s="15" t="str">
        <f t="shared" si="17"/>
        <v>Achived</v>
      </c>
    </row>
    <row r="147" spans="1:26">
      <c r="A147" s="13" t="s">
        <v>238</v>
      </c>
      <c r="B147" s="14">
        <v>45971</v>
      </c>
      <c r="C147" s="13" t="s">
        <v>27</v>
      </c>
      <c r="D147" s="13" t="s">
        <v>60</v>
      </c>
      <c r="E147" s="13" t="s">
        <v>61</v>
      </c>
      <c r="F147" s="13" t="s">
        <v>75</v>
      </c>
      <c r="G147" s="13" t="s">
        <v>76</v>
      </c>
      <c r="H147" s="13" t="s">
        <v>77</v>
      </c>
      <c r="I147" s="13" t="s">
        <v>96</v>
      </c>
      <c r="J147" s="13">
        <v>4</v>
      </c>
      <c r="K147" s="13">
        <v>307.36</v>
      </c>
      <c r="L147" s="13">
        <v>0.05</v>
      </c>
      <c r="M147" s="13">
        <v>1167.97</v>
      </c>
      <c r="N147" s="13">
        <v>936.71</v>
      </c>
      <c r="O147" s="13">
        <v>231.26</v>
      </c>
      <c r="P147" s="13">
        <v>2.5</v>
      </c>
      <c r="Q147" s="13" t="s">
        <v>71</v>
      </c>
      <c r="R147" s="13">
        <v>2025</v>
      </c>
      <c r="S147" s="15" t="str">
        <f t="shared" si="12"/>
        <v>Low Profit</v>
      </c>
      <c r="T147" s="15" t="str">
        <f t="shared" si="13"/>
        <v>High Sales</v>
      </c>
      <c r="U147" s="15" t="str">
        <f t="shared" si="14"/>
        <v>Needs Improvement</v>
      </c>
      <c r="V147" s="15" t="str">
        <f t="shared" si="15"/>
        <v>Normal Discount</v>
      </c>
      <c r="W147" s="15">
        <f>VLOOKUP(D147,Lookup_Table!$A:$C,2,FALSE)</f>
        <v>0.15</v>
      </c>
      <c r="X147" s="15">
        <f t="shared" si="16"/>
        <v>0.198001661001567</v>
      </c>
      <c r="Y147" s="15" t="str">
        <f>VLOOKUP(D147,Lookup_Table!A:C,3,0)</f>
        <v>Priya</v>
      </c>
      <c r="Z147" s="15" t="str">
        <f t="shared" si="17"/>
        <v>Achived</v>
      </c>
    </row>
    <row r="148" spans="1:26">
      <c r="A148" s="13" t="s">
        <v>239</v>
      </c>
      <c r="B148" s="14">
        <v>45857</v>
      </c>
      <c r="C148" s="13" t="s">
        <v>36</v>
      </c>
      <c r="D148" s="13" t="s">
        <v>80</v>
      </c>
      <c r="E148" s="13" t="s">
        <v>115</v>
      </c>
      <c r="F148" s="13" t="s">
        <v>116</v>
      </c>
      <c r="G148" s="13" t="s">
        <v>117</v>
      </c>
      <c r="H148" s="13" t="s">
        <v>32</v>
      </c>
      <c r="I148" s="13" t="s">
        <v>46</v>
      </c>
      <c r="J148" s="13">
        <v>2</v>
      </c>
      <c r="K148" s="13">
        <v>72.05</v>
      </c>
      <c r="L148" s="13">
        <v>0.1</v>
      </c>
      <c r="M148" s="13">
        <v>129.69</v>
      </c>
      <c r="N148" s="13">
        <v>103.98</v>
      </c>
      <c r="O148" s="13">
        <v>25.71</v>
      </c>
      <c r="P148" s="13">
        <v>4.8</v>
      </c>
      <c r="Q148" s="13" t="s">
        <v>56</v>
      </c>
      <c r="R148" s="13">
        <v>2025</v>
      </c>
      <c r="S148" s="15" t="str">
        <f t="shared" si="12"/>
        <v>Low Profit</v>
      </c>
      <c r="T148" s="15" t="str">
        <f t="shared" si="13"/>
        <v>Low Sales</v>
      </c>
      <c r="U148" s="15" t="str">
        <f t="shared" si="14"/>
        <v>Good</v>
      </c>
      <c r="V148" s="15" t="str">
        <f t="shared" si="15"/>
        <v>Normal Discount</v>
      </c>
      <c r="W148" s="15">
        <f>VLOOKUP(D148,Lookup_Table!$A:$C,2,FALSE)</f>
        <v>0.12</v>
      </c>
      <c r="X148" s="15">
        <f t="shared" si="16"/>
        <v>0.19824196160074</v>
      </c>
      <c r="Y148" s="15" t="str">
        <f>VLOOKUP(D148,Lookup_Table!A:C,3,0)</f>
        <v>Rahul</v>
      </c>
      <c r="Z148" s="15" t="str">
        <f t="shared" si="17"/>
        <v>Achived</v>
      </c>
    </row>
    <row r="149" spans="1:26">
      <c r="A149" s="13" t="s">
        <v>240</v>
      </c>
      <c r="B149" s="14">
        <v>45845</v>
      </c>
      <c r="C149" s="13" t="s">
        <v>27</v>
      </c>
      <c r="D149" s="13" t="s">
        <v>60</v>
      </c>
      <c r="E149" s="13" t="s">
        <v>66</v>
      </c>
      <c r="F149" s="13" t="s">
        <v>82</v>
      </c>
      <c r="G149" s="13" t="s">
        <v>83</v>
      </c>
      <c r="H149" s="13" t="s">
        <v>77</v>
      </c>
      <c r="I149" s="13" t="s">
        <v>96</v>
      </c>
      <c r="J149" s="13">
        <v>7</v>
      </c>
      <c r="K149" s="13">
        <v>341.78</v>
      </c>
      <c r="L149" s="13">
        <v>0</v>
      </c>
      <c r="M149" s="13">
        <v>2392.46</v>
      </c>
      <c r="N149" s="13">
        <v>1917.2</v>
      </c>
      <c r="O149" s="13">
        <v>475.26</v>
      </c>
      <c r="P149" s="13">
        <v>3</v>
      </c>
      <c r="Q149" s="13" t="s">
        <v>56</v>
      </c>
      <c r="R149" s="13">
        <v>2025</v>
      </c>
      <c r="S149" s="15" t="str">
        <f t="shared" si="12"/>
        <v>Low Profit</v>
      </c>
      <c r="T149" s="15" t="str">
        <f t="shared" si="13"/>
        <v>High Sales</v>
      </c>
      <c r="U149" s="15" t="str">
        <f t="shared" si="14"/>
        <v>Needs Improvement</v>
      </c>
      <c r="V149" s="15" t="str">
        <f t="shared" si="15"/>
        <v>Normal Discount</v>
      </c>
      <c r="W149" s="15">
        <f>VLOOKUP(D149,Lookup_Table!$A:$C,2,FALSE)</f>
        <v>0.15</v>
      </c>
      <c r="X149" s="15">
        <f t="shared" si="16"/>
        <v>0.198649089221972</v>
      </c>
      <c r="Y149" s="15" t="str">
        <f>VLOOKUP(D149,Lookup_Table!A:C,3,0)</f>
        <v>Priya</v>
      </c>
      <c r="Z149" s="15" t="str">
        <f t="shared" si="17"/>
        <v>Achived</v>
      </c>
    </row>
    <row r="150" spans="1:26">
      <c r="A150" s="13" t="s">
        <v>241</v>
      </c>
      <c r="B150" s="14">
        <v>45937</v>
      </c>
      <c r="C150" s="13" t="s">
        <v>55</v>
      </c>
      <c r="D150" s="13" t="s">
        <v>28</v>
      </c>
      <c r="E150" s="13" t="s">
        <v>73</v>
      </c>
      <c r="F150" s="13" t="s">
        <v>116</v>
      </c>
      <c r="G150" s="13" t="s">
        <v>117</v>
      </c>
      <c r="H150" s="13" t="s">
        <v>32</v>
      </c>
      <c r="I150" s="13" t="s">
        <v>96</v>
      </c>
      <c r="J150" s="13">
        <v>3</v>
      </c>
      <c r="K150" s="13">
        <v>154.43</v>
      </c>
      <c r="L150" s="13">
        <v>0</v>
      </c>
      <c r="M150" s="13">
        <v>463.29</v>
      </c>
      <c r="N150" s="13">
        <v>371.13</v>
      </c>
      <c r="O150" s="13">
        <v>92.16</v>
      </c>
      <c r="P150" s="13">
        <v>3</v>
      </c>
      <c r="Q150" s="13" t="s">
        <v>87</v>
      </c>
      <c r="R150" s="13">
        <v>2025</v>
      </c>
      <c r="S150" s="15" t="str">
        <f t="shared" si="12"/>
        <v>Low Profit</v>
      </c>
      <c r="T150" s="15" t="str">
        <f t="shared" si="13"/>
        <v>Low Sales</v>
      </c>
      <c r="U150" s="15" t="str">
        <f t="shared" si="14"/>
        <v>Needs Improvement</v>
      </c>
      <c r="V150" s="15" t="str">
        <f t="shared" si="15"/>
        <v>Normal Discount</v>
      </c>
      <c r="W150" s="15">
        <f>VLOOKUP(D150,Lookup_Table!$A:$C,2,FALSE)</f>
        <v>0.2</v>
      </c>
      <c r="X150" s="15">
        <f t="shared" si="16"/>
        <v>0.198925079323966</v>
      </c>
      <c r="Y150" s="15" t="str">
        <f>VLOOKUP(D150,Lookup_Table!A:C,3,0)</f>
        <v>Sneha</v>
      </c>
      <c r="Z150" s="15" t="str">
        <f t="shared" si="17"/>
        <v>Not Achieved</v>
      </c>
    </row>
    <row r="151" spans="1:26">
      <c r="A151" s="13" t="s">
        <v>242</v>
      </c>
      <c r="B151" s="14">
        <v>45955</v>
      </c>
      <c r="C151" s="13" t="s">
        <v>36</v>
      </c>
      <c r="D151" s="13" t="s">
        <v>37</v>
      </c>
      <c r="E151" s="13" t="s">
        <v>93</v>
      </c>
      <c r="F151" s="13" t="s">
        <v>30</v>
      </c>
      <c r="G151" s="13" t="s">
        <v>31</v>
      </c>
      <c r="H151" s="13" t="s">
        <v>32</v>
      </c>
      <c r="I151" s="13" t="s">
        <v>96</v>
      </c>
      <c r="J151" s="13">
        <v>2</v>
      </c>
      <c r="K151" s="13">
        <v>101.8</v>
      </c>
      <c r="L151" s="13">
        <v>0.1</v>
      </c>
      <c r="M151" s="13">
        <v>183.24</v>
      </c>
      <c r="N151" s="13">
        <v>146.77</v>
      </c>
      <c r="O151" s="13">
        <v>36.47</v>
      </c>
      <c r="P151" s="13">
        <v>3.6</v>
      </c>
      <c r="Q151" s="13" t="s">
        <v>87</v>
      </c>
      <c r="R151" s="13">
        <v>2025</v>
      </c>
      <c r="S151" s="15" t="str">
        <f t="shared" si="12"/>
        <v>Low Profit</v>
      </c>
      <c r="T151" s="15" t="str">
        <f t="shared" si="13"/>
        <v>Low Sales</v>
      </c>
      <c r="U151" s="15" t="str">
        <f t="shared" si="14"/>
        <v>Needs Improvement</v>
      </c>
      <c r="V151" s="15" t="str">
        <f t="shared" si="15"/>
        <v>Normal Discount</v>
      </c>
      <c r="W151" s="15">
        <f>VLOOKUP(D151,Lookup_Table!$A:$C,2,FALSE)</f>
        <v>0.16</v>
      </c>
      <c r="X151" s="15">
        <f t="shared" si="16"/>
        <v>0.199028596376337</v>
      </c>
      <c r="Y151" s="15" t="str">
        <f>VLOOKUP(D151,Lookup_Table!A:C,3,0)</f>
        <v>Vikram</v>
      </c>
      <c r="Z151" s="15" t="str">
        <f t="shared" si="17"/>
        <v>Achived</v>
      </c>
    </row>
    <row r="152" spans="1:26">
      <c r="A152" s="13" t="s">
        <v>243</v>
      </c>
      <c r="B152" s="14">
        <v>45821</v>
      </c>
      <c r="C152" s="13" t="s">
        <v>27</v>
      </c>
      <c r="D152" s="13" t="s">
        <v>28</v>
      </c>
      <c r="E152" s="13" t="s">
        <v>29</v>
      </c>
      <c r="F152" s="13" t="s">
        <v>116</v>
      </c>
      <c r="G152" s="13" t="s">
        <v>117</v>
      </c>
      <c r="H152" s="13" t="s">
        <v>32</v>
      </c>
      <c r="I152" s="13" t="s">
        <v>33</v>
      </c>
      <c r="J152" s="13">
        <v>6</v>
      </c>
      <c r="K152" s="13">
        <v>125.42</v>
      </c>
      <c r="L152" s="13">
        <v>0</v>
      </c>
      <c r="M152" s="13">
        <v>752.52</v>
      </c>
      <c r="N152" s="13">
        <v>602.64</v>
      </c>
      <c r="O152" s="13">
        <v>149.88</v>
      </c>
      <c r="P152" s="13">
        <v>2.7</v>
      </c>
      <c r="Q152" s="13" t="s">
        <v>58</v>
      </c>
      <c r="R152" s="13">
        <v>2025</v>
      </c>
      <c r="S152" s="15" t="str">
        <f t="shared" si="12"/>
        <v>Low Profit</v>
      </c>
      <c r="T152" s="15" t="str">
        <f t="shared" si="13"/>
        <v>Low Sales</v>
      </c>
      <c r="U152" s="15" t="str">
        <f t="shared" si="14"/>
        <v>Needs Improvement</v>
      </c>
      <c r="V152" s="15" t="str">
        <f t="shared" si="15"/>
        <v>Normal Discount</v>
      </c>
      <c r="W152" s="15">
        <f>VLOOKUP(D152,Lookup_Table!$A:$C,2,FALSE)</f>
        <v>0.2</v>
      </c>
      <c r="X152" s="15">
        <f t="shared" si="16"/>
        <v>0.199170786158507</v>
      </c>
      <c r="Y152" s="15" t="str">
        <f>VLOOKUP(D152,Lookup_Table!A:C,3,0)</f>
        <v>Sneha</v>
      </c>
      <c r="Z152" s="15" t="str">
        <f t="shared" si="17"/>
        <v>Not Achieved</v>
      </c>
    </row>
    <row r="153" spans="1:26">
      <c r="A153" s="13" t="s">
        <v>244</v>
      </c>
      <c r="B153" s="14">
        <v>45903</v>
      </c>
      <c r="C153" s="13" t="s">
        <v>27</v>
      </c>
      <c r="D153" s="13" t="s">
        <v>28</v>
      </c>
      <c r="E153" s="13" t="s">
        <v>49</v>
      </c>
      <c r="F153" s="13" t="s">
        <v>116</v>
      </c>
      <c r="G153" s="13" t="s">
        <v>117</v>
      </c>
      <c r="H153" s="13" t="s">
        <v>32</v>
      </c>
      <c r="I153" s="13" t="s">
        <v>46</v>
      </c>
      <c r="J153" s="13">
        <v>6</v>
      </c>
      <c r="K153" s="13">
        <v>112.02</v>
      </c>
      <c r="L153" s="13">
        <v>0</v>
      </c>
      <c r="M153" s="13">
        <v>672.12</v>
      </c>
      <c r="N153" s="13">
        <v>538.15</v>
      </c>
      <c r="O153" s="13">
        <v>133.97</v>
      </c>
      <c r="P153" s="13">
        <v>2.7</v>
      </c>
      <c r="Q153" s="13" t="s">
        <v>53</v>
      </c>
      <c r="R153" s="13">
        <v>2025</v>
      </c>
      <c r="S153" s="15" t="str">
        <f t="shared" si="12"/>
        <v>Low Profit</v>
      </c>
      <c r="T153" s="15" t="str">
        <f t="shared" si="13"/>
        <v>Low Sales</v>
      </c>
      <c r="U153" s="15" t="str">
        <f t="shared" si="14"/>
        <v>Needs Improvement</v>
      </c>
      <c r="V153" s="15" t="str">
        <f t="shared" si="15"/>
        <v>Normal Discount</v>
      </c>
      <c r="W153" s="15">
        <f>VLOOKUP(D153,Lookup_Table!$A:$C,2,FALSE)</f>
        <v>0.2</v>
      </c>
      <c r="X153" s="15">
        <f t="shared" si="16"/>
        <v>0.199324525382372</v>
      </c>
      <c r="Y153" s="15" t="str">
        <f>VLOOKUP(D153,Lookup_Table!A:C,3,0)</f>
        <v>Sneha</v>
      </c>
      <c r="Z153" s="15" t="str">
        <f t="shared" si="17"/>
        <v>Not Achieved</v>
      </c>
    </row>
    <row r="154" spans="1:26">
      <c r="A154" s="13" t="s">
        <v>245</v>
      </c>
      <c r="B154" s="14">
        <v>45928</v>
      </c>
      <c r="C154" s="13" t="s">
        <v>55</v>
      </c>
      <c r="D154" s="13" t="s">
        <v>44</v>
      </c>
      <c r="E154" s="13" t="s">
        <v>45</v>
      </c>
      <c r="F154" s="13" t="s">
        <v>62</v>
      </c>
      <c r="G154" s="13" t="s">
        <v>63</v>
      </c>
      <c r="H154" s="13" t="s">
        <v>32</v>
      </c>
      <c r="I154" s="13" t="s">
        <v>46</v>
      </c>
      <c r="J154" s="13">
        <v>1</v>
      </c>
      <c r="K154" s="13">
        <v>931.09</v>
      </c>
      <c r="L154" s="13">
        <v>0</v>
      </c>
      <c r="M154" s="13">
        <v>931.09</v>
      </c>
      <c r="N154" s="13">
        <v>745.33</v>
      </c>
      <c r="O154" s="13">
        <v>185.76</v>
      </c>
      <c r="P154" s="13">
        <v>3</v>
      </c>
      <c r="Q154" s="13" t="s">
        <v>53</v>
      </c>
      <c r="R154" s="13">
        <v>2025</v>
      </c>
      <c r="S154" s="15" t="str">
        <f t="shared" si="12"/>
        <v>Low Profit</v>
      </c>
      <c r="T154" s="15" t="str">
        <f t="shared" si="13"/>
        <v>Low Sales</v>
      </c>
      <c r="U154" s="15" t="str">
        <f t="shared" si="14"/>
        <v>Needs Improvement</v>
      </c>
      <c r="V154" s="15" t="str">
        <f t="shared" si="15"/>
        <v>Normal Discount</v>
      </c>
      <c r="W154" s="15">
        <f>VLOOKUP(D154,Lookup_Table!$A:$C,2,FALSE)</f>
        <v>0.18</v>
      </c>
      <c r="X154" s="15">
        <f t="shared" si="16"/>
        <v>0.199508103405686</v>
      </c>
      <c r="Y154" s="15" t="str">
        <f>VLOOKUP(D154,Lookup_Table!A:C,3,0)</f>
        <v>Amit</v>
      </c>
      <c r="Z154" s="15" t="str">
        <f t="shared" si="17"/>
        <v>Achived</v>
      </c>
    </row>
    <row r="155" spans="1:26">
      <c r="A155" s="13" t="s">
        <v>246</v>
      </c>
      <c r="B155" s="14">
        <v>45954</v>
      </c>
      <c r="C155" s="13" t="s">
        <v>55</v>
      </c>
      <c r="D155" s="13" t="s">
        <v>44</v>
      </c>
      <c r="E155" s="13" t="s">
        <v>104</v>
      </c>
      <c r="F155" s="13" t="s">
        <v>39</v>
      </c>
      <c r="G155" s="13" t="s">
        <v>40</v>
      </c>
      <c r="H155" s="13" t="s">
        <v>41</v>
      </c>
      <c r="I155" s="13" t="s">
        <v>52</v>
      </c>
      <c r="J155" s="13">
        <v>4</v>
      </c>
      <c r="K155" s="13">
        <v>156.44</v>
      </c>
      <c r="L155" s="13">
        <v>0.05</v>
      </c>
      <c r="M155" s="13">
        <v>594.47</v>
      </c>
      <c r="N155" s="13">
        <v>475.52</v>
      </c>
      <c r="O155" s="13">
        <v>118.95</v>
      </c>
      <c r="P155" s="13">
        <v>2.9</v>
      </c>
      <c r="Q155" s="13" t="s">
        <v>87</v>
      </c>
      <c r="R155" s="13">
        <v>2025</v>
      </c>
      <c r="S155" s="15" t="str">
        <f t="shared" si="12"/>
        <v>Low Profit</v>
      </c>
      <c r="T155" s="15" t="str">
        <f t="shared" si="13"/>
        <v>Low Sales</v>
      </c>
      <c r="U155" s="15" t="str">
        <f t="shared" si="14"/>
        <v>Needs Improvement</v>
      </c>
      <c r="V155" s="15" t="str">
        <f t="shared" si="15"/>
        <v>Normal Discount</v>
      </c>
      <c r="W155" s="15">
        <f>VLOOKUP(D155,Lookup_Table!$A:$C,2,FALSE)</f>
        <v>0.18</v>
      </c>
      <c r="X155" s="15">
        <f t="shared" si="16"/>
        <v>0.20009420155769</v>
      </c>
      <c r="Y155" s="15" t="str">
        <f>VLOOKUP(D155,Lookup_Table!A:C,3,0)</f>
        <v>Amit</v>
      </c>
      <c r="Z155" s="15" t="str">
        <f t="shared" si="17"/>
        <v>Achived</v>
      </c>
    </row>
    <row r="156" spans="1:26">
      <c r="A156" s="13" t="s">
        <v>247</v>
      </c>
      <c r="B156" s="14">
        <v>45866</v>
      </c>
      <c r="C156" s="13" t="s">
        <v>55</v>
      </c>
      <c r="D156" s="13" t="s">
        <v>44</v>
      </c>
      <c r="E156" s="13" t="s">
        <v>143</v>
      </c>
      <c r="F156" s="13" t="s">
        <v>39</v>
      </c>
      <c r="G156" s="13" t="s">
        <v>40</v>
      </c>
      <c r="H156" s="13" t="s">
        <v>41</v>
      </c>
      <c r="I156" s="13" t="s">
        <v>33</v>
      </c>
      <c r="J156" s="13">
        <v>1</v>
      </c>
      <c r="K156" s="13">
        <v>565.43</v>
      </c>
      <c r="L156" s="13">
        <v>0</v>
      </c>
      <c r="M156" s="13">
        <v>565.43</v>
      </c>
      <c r="N156" s="13">
        <v>452.27</v>
      </c>
      <c r="O156" s="13">
        <v>113.16</v>
      </c>
      <c r="P156" s="13">
        <v>3.3</v>
      </c>
      <c r="Q156" s="13" t="s">
        <v>56</v>
      </c>
      <c r="R156" s="13">
        <v>2025</v>
      </c>
      <c r="S156" s="15" t="str">
        <f t="shared" si="12"/>
        <v>Low Profit</v>
      </c>
      <c r="T156" s="15" t="str">
        <f t="shared" si="13"/>
        <v>Low Sales</v>
      </c>
      <c r="U156" s="15" t="str">
        <f t="shared" si="14"/>
        <v>Needs Improvement</v>
      </c>
      <c r="V156" s="15" t="str">
        <f t="shared" si="15"/>
        <v>Normal Discount</v>
      </c>
      <c r="W156" s="15">
        <f>VLOOKUP(D156,Lookup_Table!$A:$C,2,FALSE)</f>
        <v>0.18</v>
      </c>
      <c r="X156" s="15">
        <f t="shared" si="16"/>
        <v>0.200130873848222</v>
      </c>
      <c r="Y156" s="15" t="str">
        <f>VLOOKUP(D156,Lookup_Table!A:C,3,0)</f>
        <v>Amit</v>
      </c>
      <c r="Z156" s="15" t="str">
        <f t="shared" si="17"/>
        <v>Achived</v>
      </c>
    </row>
    <row r="157" spans="1:26">
      <c r="A157" s="13" t="s">
        <v>248</v>
      </c>
      <c r="B157" s="14">
        <v>45961</v>
      </c>
      <c r="C157" s="13" t="s">
        <v>55</v>
      </c>
      <c r="D157" s="13" t="s">
        <v>44</v>
      </c>
      <c r="E157" s="13" t="s">
        <v>104</v>
      </c>
      <c r="F157" s="13" t="s">
        <v>67</v>
      </c>
      <c r="G157" s="13" t="s">
        <v>68</v>
      </c>
      <c r="H157" s="13" t="s">
        <v>69</v>
      </c>
      <c r="I157" s="13" t="s">
        <v>96</v>
      </c>
      <c r="J157" s="13">
        <v>3</v>
      </c>
      <c r="K157" s="13">
        <v>1087.73</v>
      </c>
      <c r="L157" s="13">
        <v>0.05</v>
      </c>
      <c r="M157" s="13">
        <v>3100.03</v>
      </c>
      <c r="N157" s="13">
        <v>2478.94</v>
      </c>
      <c r="O157" s="13">
        <v>621.09</v>
      </c>
      <c r="P157" s="13">
        <v>4.8</v>
      </c>
      <c r="Q157" s="13" t="s">
        <v>87</v>
      </c>
      <c r="R157" s="13">
        <v>2025</v>
      </c>
      <c r="S157" s="15" t="str">
        <f t="shared" si="12"/>
        <v>High Profit</v>
      </c>
      <c r="T157" s="15" t="str">
        <f t="shared" si="13"/>
        <v>High Sales</v>
      </c>
      <c r="U157" s="15" t="str">
        <f t="shared" si="14"/>
        <v>Good</v>
      </c>
      <c r="V157" s="15" t="str">
        <f t="shared" si="15"/>
        <v>Normal Discount</v>
      </c>
      <c r="W157" s="15">
        <f>VLOOKUP(D157,Lookup_Table!$A:$C,2,FALSE)</f>
        <v>0.18</v>
      </c>
      <c r="X157" s="15">
        <f t="shared" si="16"/>
        <v>0.200349674035413</v>
      </c>
      <c r="Y157" s="15" t="str">
        <f>VLOOKUP(D157,Lookup_Table!A:C,3,0)</f>
        <v>Amit</v>
      </c>
      <c r="Z157" s="15" t="str">
        <f t="shared" si="17"/>
        <v>Achived</v>
      </c>
    </row>
    <row r="158" spans="1:26">
      <c r="A158" s="13" t="s">
        <v>249</v>
      </c>
      <c r="B158" s="14">
        <v>45998</v>
      </c>
      <c r="C158" s="13" t="s">
        <v>36</v>
      </c>
      <c r="D158" s="13" t="s">
        <v>44</v>
      </c>
      <c r="E158" s="13" t="s">
        <v>137</v>
      </c>
      <c r="F158" s="13" t="s">
        <v>67</v>
      </c>
      <c r="G158" s="13" t="s">
        <v>68</v>
      </c>
      <c r="H158" s="13" t="s">
        <v>69</v>
      </c>
      <c r="I158" s="13" t="s">
        <v>96</v>
      </c>
      <c r="J158" s="13">
        <v>4</v>
      </c>
      <c r="K158" s="13">
        <v>1259.48</v>
      </c>
      <c r="L158" s="13">
        <v>0.15</v>
      </c>
      <c r="M158" s="13">
        <v>4282.23</v>
      </c>
      <c r="N158" s="13">
        <v>3423.1</v>
      </c>
      <c r="O158" s="13">
        <v>859.13</v>
      </c>
      <c r="P158" s="13">
        <v>2.7</v>
      </c>
      <c r="Q158" s="13" t="s">
        <v>34</v>
      </c>
      <c r="R158" s="13">
        <v>2025</v>
      </c>
      <c r="S158" s="15" t="str">
        <f t="shared" si="12"/>
        <v>High Profit</v>
      </c>
      <c r="T158" s="15" t="str">
        <f t="shared" si="13"/>
        <v>High Sales</v>
      </c>
      <c r="U158" s="15" t="str">
        <f t="shared" si="14"/>
        <v>Needs Improvement</v>
      </c>
      <c r="V158" s="15" t="str">
        <f t="shared" si="15"/>
        <v>High Discount</v>
      </c>
      <c r="W158" s="15">
        <f>VLOOKUP(D158,Lookup_Table!$A:$C,2,FALSE)</f>
        <v>0.18</v>
      </c>
      <c r="X158" s="15">
        <f t="shared" si="16"/>
        <v>0.200626776235746</v>
      </c>
      <c r="Y158" s="15" t="str">
        <f>VLOOKUP(D158,Lookup_Table!A:C,3,0)</f>
        <v>Amit</v>
      </c>
      <c r="Z158" s="15" t="str">
        <f t="shared" si="17"/>
        <v>Achived</v>
      </c>
    </row>
    <row r="159" spans="1:26">
      <c r="A159" s="13" t="s">
        <v>250</v>
      </c>
      <c r="B159" s="14">
        <v>45940</v>
      </c>
      <c r="C159" s="13" t="s">
        <v>27</v>
      </c>
      <c r="D159" s="13" t="s">
        <v>44</v>
      </c>
      <c r="E159" s="13" t="s">
        <v>104</v>
      </c>
      <c r="F159" s="13" t="s">
        <v>30</v>
      </c>
      <c r="G159" s="13" t="s">
        <v>31</v>
      </c>
      <c r="H159" s="13" t="s">
        <v>32</v>
      </c>
      <c r="I159" s="13" t="s">
        <v>46</v>
      </c>
      <c r="J159" s="13">
        <v>1</v>
      </c>
      <c r="K159" s="13">
        <v>932.36</v>
      </c>
      <c r="L159" s="13">
        <v>0</v>
      </c>
      <c r="M159" s="13">
        <v>932.36</v>
      </c>
      <c r="N159" s="13">
        <v>744.86</v>
      </c>
      <c r="O159" s="13">
        <v>187.5</v>
      </c>
      <c r="P159" s="13">
        <v>3.5</v>
      </c>
      <c r="Q159" s="13" t="s">
        <v>87</v>
      </c>
      <c r="R159" s="13">
        <v>2025</v>
      </c>
      <c r="S159" s="15" t="str">
        <f t="shared" si="12"/>
        <v>Low Profit</v>
      </c>
      <c r="T159" s="15" t="str">
        <f t="shared" si="13"/>
        <v>Low Sales</v>
      </c>
      <c r="U159" s="15" t="str">
        <f t="shared" si="14"/>
        <v>Needs Improvement</v>
      </c>
      <c r="V159" s="15" t="str">
        <f t="shared" si="15"/>
        <v>Normal Discount</v>
      </c>
      <c r="W159" s="15">
        <f>VLOOKUP(D159,Lookup_Table!$A:$C,2,FALSE)</f>
        <v>0.18</v>
      </c>
      <c r="X159" s="15">
        <f t="shared" si="16"/>
        <v>0.201102578403192</v>
      </c>
      <c r="Y159" s="15" t="str">
        <f>VLOOKUP(D159,Lookup_Table!A:C,3,0)</f>
        <v>Amit</v>
      </c>
      <c r="Z159" s="15" t="str">
        <f t="shared" si="17"/>
        <v>Achived</v>
      </c>
    </row>
    <row r="160" spans="1:26">
      <c r="A160" s="13" t="s">
        <v>251</v>
      </c>
      <c r="B160" s="14">
        <v>45884</v>
      </c>
      <c r="C160" s="13" t="s">
        <v>55</v>
      </c>
      <c r="D160" s="13" t="s">
        <v>44</v>
      </c>
      <c r="E160" s="13" t="s">
        <v>137</v>
      </c>
      <c r="F160" s="13" t="s">
        <v>39</v>
      </c>
      <c r="G160" s="13" t="s">
        <v>40</v>
      </c>
      <c r="H160" s="13" t="s">
        <v>41</v>
      </c>
      <c r="I160" s="13" t="s">
        <v>33</v>
      </c>
      <c r="J160" s="13">
        <v>4</v>
      </c>
      <c r="K160" s="13">
        <v>669.93</v>
      </c>
      <c r="L160" s="13">
        <v>0</v>
      </c>
      <c r="M160" s="13">
        <v>2679.72</v>
      </c>
      <c r="N160" s="13">
        <v>2139.43</v>
      </c>
      <c r="O160" s="13">
        <v>540.29</v>
      </c>
      <c r="P160" s="13">
        <v>4.4</v>
      </c>
      <c r="Q160" s="13" t="s">
        <v>47</v>
      </c>
      <c r="R160" s="13">
        <v>2025</v>
      </c>
      <c r="S160" s="15" t="str">
        <f t="shared" si="12"/>
        <v>High Profit</v>
      </c>
      <c r="T160" s="15" t="str">
        <f t="shared" si="13"/>
        <v>High Sales</v>
      </c>
      <c r="U160" s="15" t="str">
        <f t="shared" si="14"/>
        <v>Good</v>
      </c>
      <c r="V160" s="15" t="str">
        <f t="shared" si="15"/>
        <v>Normal Discount</v>
      </c>
      <c r="W160" s="15">
        <f>VLOOKUP(D160,Lookup_Table!$A:$C,2,FALSE)</f>
        <v>0.18</v>
      </c>
      <c r="X160" s="15">
        <f t="shared" si="16"/>
        <v>0.20162181123401</v>
      </c>
      <c r="Y160" s="15" t="str">
        <f>VLOOKUP(D160,Lookup_Table!A:C,3,0)</f>
        <v>Amit</v>
      </c>
      <c r="Z160" s="15" t="str">
        <f t="shared" si="17"/>
        <v>Achived</v>
      </c>
    </row>
    <row r="161" spans="1:26">
      <c r="A161" s="13" t="s">
        <v>252</v>
      </c>
      <c r="B161" s="14">
        <v>45950</v>
      </c>
      <c r="C161" s="13" t="s">
        <v>27</v>
      </c>
      <c r="D161" s="13" t="s">
        <v>44</v>
      </c>
      <c r="E161" s="13" t="s">
        <v>45</v>
      </c>
      <c r="F161" s="13" t="s">
        <v>98</v>
      </c>
      <c r="G161" s="13" t="s">
        <v>99</v>
      </c>
      <c r="H161" s="13" t="s">
        <v>77</v>
      </c>
      <c r="I161" s="13" t="s">
        <v>96</v>
      </c>
      <c r="J161" s="13">
        <v>4</v>
      </c>
      <c r="K161" s="13">
        <v>1180.83</v>
      </c>
      <c r="L161" s="13">
        <v>0.05</v>
      </c>
      <c r="M161" s="13">
        <v>4487.15</v>
      </c>
      <c r="N161" s="13">
        <v>3578.68</v>
      </c>
      <c r="O161" s="13">
        <v>908.47</v>
      </c>
      <c r="P161" s="13">
        <v>3.6</v>
      </c>
      <c r="Q161" s="13" t="s">
        <v>87</v>
      </c>
      <c r="R161" s="13">
        <v>2025</v>
      </c>
      <c r="S161" s="15" t="str">
        <f t="shared" si="12"/>
        <v>High Profit</v>
      </c>
      <c r="T161" s="15" t="str">
        <f t="shared" si="13"/>
        <v>High Sales</v>
      </c>
      <c r="U161" s="15" t="str">
        <f t="shared" si="14"/>
        <v>Needs Improvement</v>
      </c>
      <c r="V161" s="15" t="str">
        <f t="shared" si="15"/>
        <v>Normal Discount</v>
      </c>
      <c r="W161" s="15">
        <f>VLOOKUP(D161,Lookup_Table!$A:$C,2,FALSE)</f>
        <v>0.18</v>
      </c>
      <c r="X161" s="15">
        <f t="shared" si="16"/>
        <v>0.202460359025216</v>
      </c>
      <c r="Y161" s="15" t="str">
        <f>VLOOKUP(D161,Lookup_Table!A:C,3,0)</f>
        <v>Amit</v>
      </c>
      <c r="Z161" s="15" t="str">
        <f t="shared" si="17"/>
        <v>Achived</v>
      </c>
    </row>
    <row r="162" spans="1:26">
      <c r="A162" s="13" t="s">
        <v>253</v>
      </c>
      <c r="B162" s="14">
        <v>45747</v>
      </c>
      <c r="C162" s="13" t="s">
        <v>36</v>
      </c>
      <c r="D162" s="13" t="s">
        <v>44</v>
      </c>
      <c r="E162" s="13" t="s">
        <v>143</v>
      </c>
      <c r="F162" s="13" t="s">
        <v>111</v>
      </c>
      <c r="G162" s="13" t="s">
        <v>76</v>
      </c>
      <c r="H162" s="13" t="s">
        <v>77</v>
      </c>
      <c r="I162" s="13" t="s">
        <v>46</v>
      </c>
      <c r="J162" s="13">
        <v>3</v>
      </c>
      <c r="K162" s="13">
        <v>687</v>
      </c>
      <c r="L162" s="13">
        <v>0</v>
      </c>
      <c r="M162" s="13">
        <v>2061</v>
      </c>
      <c r="N162" s="13">
        <v>1642.26</v>
      </c>
      <c r="O162" s="13">
        <v>418.74</v>
      </c>
      <c r="P162" s="13">
        <v>3</v>
      </c>
      <c r="Q162" s="13" t="s">
        <v>94</v>
      </c>
      <c r="R162" s="13">
        <v>2025</v>
      </c>
      <c r="S162" s="15" t="str">
        <f t="shared" si="12"/>
        <v>Low Profit</v>
      </c>
      <c r="T162" s="15" t="str">
        <f t="shared" si="13"/>
        <v>High Sales</v>
      </c>
      <c r="U162" s="15" t="str">
        <f t="shared" si="14"/>
        <v>Needs Improvement</v>
      </c>
      <c r="V162" s="15" t="str">
        <f t="shared" si="15"/>
        <v>Normal Discount</v>
      </c>
      <c r="W162" s="15">
        <f>VLOOKUP(D162,Lookup_Table!$A:$C,2,FALSE)</f>
        <v>0.18</v>
      </c>
      <c r="X162" s="15">
        <f t="shared" si="16"/>
        <v>0.203173216885007</v>
      </c>
      <c r="Y162" s="15" t="str">
        <f>VLOOKUP(D162,Lookup_Table!A:C,3,0)</f>
        <v>Amit</v>
      </c>
      <c r="Z162" s="15" t="str">
        <f t="shared" si="17"/>
        <v>Achived</v>
      </c>
    </row>
    <row r="163" spans="1:26">
      <c r="A163" s="13" t="s">
        <v>254</v>
      </c>
      <c r="B163" s="14">
        <v>45812</v>
      </c>
      <c r="C163" s="13" t="s">
        <v>55</v>
      </c>
      <c r="D163" s="13" t="s">
        <v>60</v>
      </c>
      <c r="E163" s="13" t="s">
        <v>66</v>
      </c>
      <c r="F163" s="13" t="s">
        <v>75</v>
      </c>
      <c r="G163" s="13" t="s">
        <v>76</v>
      </c>
      <c r="H163" s="13" t="s">
        <v>77</v>
      </c>
      <c r="I163" s="13" t="s">
        <v>46</v>
      </c>
      <c r="J163" s="13">
        <v>6</v>
      </c>
      <c r="K163" s="13">
        <v>96.72</v>
      </c>
      <c r="L163" s="13">
        <v>0.15</v>
      </c>
      <c r="M163" s="13">
        <v>493.27</v>
      </c>
      <c r="N163" s="13">
        <v>393.03</v>
      </c>
      <c r="O163" s="13">
        <v>100.24</v>
      </c>
      <c r="P163" s="13">
        <v>4.2</v>
      </c>
      <c r="Q163" s="13" t="s">
        <v>58</v>
      </c>
      <c r="R163" s="13">
        <v>2025</v>
      </c>
      <c r="S163" s="15" t="str">
        <f t="shared" si="12"/>
        <v>Low Profit</v>
      </c>
      <c r="T163" s="15" t="str">
        <f t="shared" si="13"/>
        <v>Low Sales</v>
      </c>
      <c r="U163" s="15" t="str">
        <f t="shared" si="14"/>
        <v>Good</v>
      </c>
      <c r="V163" s="15" t="str">
        <f t="shared" si="15"/>
        <v>High Discount</v>
      </c>
      <c r="W163" s="15">
        <f>VLOOKUP(D163,Lookup_Table!$A:$C,2,FALSE)</f>
        <v>0.15</v>
      </c>
      <c r="X163" s="15">
        <f t="shared" si="16"/>
        <v>0.203215277636994</v>
      </c>
      <c r="Y163" s="15" t="str">
        <f>VLOOKUP(D163,Lookup_Table!A:C,3,0)</f>
        <v>Priya</v>
      </c>
      <c r="Z163" s="15" t="str">
        <f t="shared" si="17"/>
        <v>Achived</v>
      </c>
    </row>
    <row r="164" spans="1:26">
      <c r="A164" s="13" t="s">
        <v>255</v>
      </c>
      <c r="B164" s="14">
        <v>45674</v>
      </c>
      <c r="C164" s="13" t="s">
        <v>27</v>
      </c>
      <c r="D164" s="13" t="s">
        <v>28</v>
      </c>
      <c r="E164" s="13" t="s">
        <v>90</v>
      </c>
      <c r="F164" s="13" t="s">
        <v>75</v>
      </c>
      <c r="G164" s="13" t="s">
        <v>76</v>
      </c>
      <c r="H164" s="13" t="s">
        <v>77</v>
      </c>
      <c r="I164" s="13" t="s">
        <v>96</v>
      </c>
      <c r="J164" s="13">
        <v>3</v>
      </c>
      <c r="K164" s="13">
        <v>162.04</v>
      </c>
      <c r="L164" s="13">
        <v>0.15</v>
      </c>
      <c r="M164" s="13">
        <v>413.2</v>
      </c>
      <c r="N164" s="13">
        <v>329</v>
      </c>
      <c r="O164" s="13">
        <v>84.2</v>
      </c>
      <c r="P164" s="13">
        <v>2.5</v>
      </c>
      <c r="Q164" s="13" t="s">
        <v>64</v>
      </c>
      <c r="R164" s="13">
        <v>2025</v>
      </c>
      <c r="S164" s="15" t="str">
        <f t="shared" si="12"/>
        <v>Low Profit</v>
      </c>
      <c r="T164" s="15" t="str">
        <f t="shared" si="13"/>
        <v>Low Sales</v>
      </c>
      <c r="U164" s="15" t="str">
        <f t="shared" si="14"/>
        <v>Needs Improvement</v>
      </c>
      <c r="V164" s="15" t="str">
        <f t="shared" si="15"/>
        <v>High Discount</v>
      </c>
      <c r="W164" s="15">
        <f>VLOOKUP(D164,Lookup_Table!$A:$C,2,FALSE)</f>
        <v>0.2</v>
      </c>
      <c r="X164" s="15">
        <f t="shared" si="16"/>
        <v>0.20377541142304</v>
      </c>
      <c r="Y164" s="15" t="str">
        <f>VLOOKUP(D164,Lookup_Table!A:C,3,0)</f>
        <v>Sneha</v>
      </c>
      <c r="Z164" s="15" t="str">
        <f t="shared" si="17"/>
        <v>Achived</v>
      </c>
    </row>
    <row r="165" spans="1:26">
      <c r="A165" s="13" t="s">
        <v>256</v>
      </c>
      <c r="B165" s="14">
        <v>45978</v>
      </c>
      <c r="C165" s="13" t="s">
        <v>55</v>
      </c>
      <c r="D165" s="13" t="s">
        <v>37</v>
      </c>
      <c r="E165" s="13" t="s">
        <v>86</v>
      </c>
      <c r="F165" s="13" t="s">
        <v>82</v>
      </c>
      <c r="G165" s="13" t="s">
        <v>83</v>
      </c>
      <c r="H165" s="13" t="s">
        <v>77</v>
      </c>
      <c r="I165" s="13" t="s">
        <v>52</v>
      </c>
      <c r="J165" s="13">
        <v>4</v>
      </c>
      <c r="K165" s="13">
        <v>427.59</v>
      </c>
      <c r="L165" s="13">
        <v>0.05</v>
      </c>
      <c r="M165" s="13">
        <v>1624.84</v>
      </c>
      <c r="N165" s="13">
        <v>1293.69</v>
      </c>
      <c r="O165" s="13">
        <v>331.15</v>
      </c>
      <c r="P165" s="13">
        <v>3.6</v>
      </c>
      <c r="Q165" s="13" t="s">
        <v>71</v>
      </c>
      <c r="R165" s="13">
        <v>2025</v>
      </c>
      <c r="S165" s="15" t="str">
        <f t="shared" si="12"/>
        <v>Low Profit</v>
      </c>
      <c r="T165" s="15" t="str">
        <f t="shared" si="13"/>
        <v>High Sales</v>
      </c>
      <c r="U165" s="15" t="str">
        <f t="shared" si="14"/>
        <v>Needs Improvement</v>
      </c>
      <c r="V165" s="15" t="str">
        <f t="shared" si="15"/>
        <v>Normal Discount</v>
      </c>
      <c r="W165" s="15">
        <f>VLOOKUP(D165,Lookup_Table!$A:$C,2,FALSE)</f>
        <v>0.16</v>
      </c>
      <c r="X165" s="15">
        <f t="shared" si="16"/>
        <v>0.203804682307181</v>
      </c>
      <c r="Y165" s="15" t="str">
        <f>VLOOKUP(D165,Lookup_Table!A:C,3,0)</f>
        <v>Vikram</v>
      </c>
      <c r="Z165" s="15" t="str">
        <f t="shared" si="17"/>
        <v>Achived</v>
      </c>
    </row>
    <row r="166" spans="1:26">
      <c r="A166" s="13" t="s">
        <v>257</v>
      </c>
      <c r="B166" s="14">
        <v>45963</v>
      </c>
      <c r="C166" s="13" t="s">
        <v>55</v>
      </c>
      <c r="D166" s="13" t="s">
        <v>28</v>
      </c>
      <c r="E166" s="13" t="s">
        <v>90</v>
      </c>
      <c r="F166" s="13" t="s">
        <v>75</v>
      </c>
      <c r="G166" s="13" t="s">
        <v>76</v>
      </c>
      <c r="H166" s="13" t="s">
        <v>77</v>
      </c>
      <c r="I166" s="13" t="s">
        <v>96</v>
      </c>
      <c r="J166" s="13">
        <v>4</v>
      </c>
      <c r="K166" s="13">
        <v>89.31</v>
      </c>
      <c r="L166" s="13">
        <v>0</v>
      </c>
      <c r="M166" s="13">
        <v>357.24</v>
      </c>
      <c r="N166" s="13">
        <v>284.42</v>
      </c>
      <c r="O166" s="13">
        <v>72.82</v>
      </c>
      <c r="P166" s="13">
        <v>3.1</v>
      </c>
      <c r="Q166" s="13" t="s">
        <v>71</v>
      </c>
      <c r="R166" s="13">
        <v>2025</v>
      </c>
      <c r="S166" s="15" t="str">
        <f t="shared" si="12"/>
        <v>Low Profit</v>
      </c>
      <c r="T166" s="15" t="str">
        <f t="shared" si="13"/>
        <v>Low Sales</v>
      </c>
      <c r="U166" s="15" t="str">
        <f t="shared" si="14"/>
        <v>Needs Improvement</v>
      </c>
      <c r="V166" s="15" t="str">
        <f t="shared" si="15"/>
        <v>Normal Discount</v>
      </c>
      <c r="W166" s="15">
        <f>VLOOKUP(D166,Lookup_Table!$A:$C,2,FALSE)</f>
        <v>0.2</v>
      </c>
      <c r="X166" s="15">
        <f t="shared" si="16"/>
        <v>0.20384055536894</v>
      </c>
      <c r="Y166" s="15" t="str">
        <f>VLOOKUP(D166,Lookup_Table!A:C,3,0)</f>
        <v>Sneha</v>
      </c>
      <c r="Z166" s="15" t="str">
        <f t="shared" si="17"/>
        <v>Achived</v>
      </c>
    </row>
    <row r="167" spans="1:26">
      <c r="A167" s="13" t="s">
        <v>258</v>
      </c>
      <c r="B167" s="14">
        <v>46012</v>
      </c>
      <c r="C167" s="13" t="s">
        <v>55</v>
      </c>
      <c r="D167" s="13" t="s">
        <v>60</v>
      </c>
      <c r="E167" s="13" t="s">
        <v>127</v>
      </c>
      <c r="F167" s="13" t="s">
        <v>82</v>
      </c>
      <c r="G167" s="13" t="s">
        <v>83</v>
      </c>
      <c r="H167" s="13" t="s">
        <v>77</v>
      </c>
      <c r="I167" s="13" t="s">
        <v>33</v>
      </c>
      <c r="J167" s="13">
        <v>2</v>
      </c>
      <c r="K167" s="13">
        <v>586.67</v>
      </c>
      <c r="L167" s="13">
        <v>0.15</v>
      </c>
      <c r="M167" s="13">
        <v>997.34</v>
      </c>
      <c r="N167" s="13">
        <v>793.71</v>
      </c>
      <c r="O167" s="13">
        <v>203.63</v>
      </c>
      <c r="P167" s="13">
        <v>4.3</v>
      </c>
      <c r="Q167" s="13" t="s">
        <v>34</v>
      </c>
      <c r="R167" s="13">
        <v>2025</v>
      </c>
      <c r="S167" s="15" t="str">
        <f t="shared" si="12"/>
        <v>Low Profit</v>
      </c>
      <c r="T167" s="15" t="str">
        <f t="shared" si="13"/>
        <v>Low Sales</v>
      </c>
      <c r="U167" s="15" t="str">
        <f t="shared" si="14"/>
        <v>Good</v>
      </c>
      <c r="V167" s="15" t="str">
        <f t="shared" si="15"/>
        <v>High Discount</v>
      </c>
      <c r="W167" s="15">
        <f>VLOOKUP(D167,Lookup_Table!$A:$C,2,FALSE)</f>
        <v>0.15</v>
      </c>
      <c r="X167" s="15">
        <f t="shared" si="16"/>
        <v>0.20417310044719</v>
      </c>
      <c r="Y167" s="15" t="str">
        <f>VLOOKUP(D167,Lookup_Table!A:C,3,0)</f>
        <v>Priya</v>
      </c>
      <c r="Z167" s="15" t="str">
        <f t="shared" si="17"/>
        <v>Achived</v>
      </c>
    </row>
    <row r="168" spans="1:26">
      <c r="A168" s="13" t="s">
        <v>259</v>
      </c>
      <c r="B168" s="14">
        <v>45751</v>
      </c>
      <c r="C168" s="13" t="s">
        <v>55</v>
      </c>
      <c r="D168" s="13" t="s">
        <v>37</v>
      </c>
      <c r="E168" s="13" t="s">
        <v>109</v>
      </c>
      <c r="F168" s="13" t="s">
        <v>82</v>
      </c>
      <c r="G168" s="13" t="s">
        <v>83</v>
      </c>
      <c r="H168" s="13" t="s">
        <v>77</v>
      </c>
      <c r="I168" s="13" t="s">
        <v>46</v>
      </c>
      <c r="J168" s="13">
        <v>1</v>
      </c>
      <c r="K168" s="13">
        <v>46.65</v>
      </c>
      <c r="L168" s="13">
        <v>0</v>
      </c>
      <c r="M168" s="13">
        <v>46.65</v>
      </c>
      <c r="N168" s="13">
        <v>37.12</v>
      </c>
      <c r="O168" s="13">
        <v>9.53</v>
      </c>
      <c r="P168" s="13">
        <v>4.7</v>
      </c>
      <c r="Q168" s="13" t="s">
        <v>84</v>
      </c>
      <c r="R168" s="13">
        <v>2025</v>
      </c>
      <c r="S168" s="15" t="str">
        <f t="shared" si="12"/>
        <v>Low Profit</v>
      </c>
      <c r="T168" s="15" t="str">
        <f t="shared" si="13"/>
        <v>Low Sales</v>
      </c>
      <c r="U168" s="15" t="str">
        <f t="shared" si="14"/>
        <v>Good</v>
      </c>
      <c r="V168" s="15" t="str">
        <f t="shared" si="15"/>
        <v>Normal Discount</v>
      </c>
      <c r="W168" s="15">
        <f>VLOOKUP(D168,Lookup_Table!$A:$C,2,FALSE)</f>
        <v>0.16</v>
      </c>
      <c r="X168" s="15">
        <f t="shared" si="16"/>
        <v>0.204287245444802</v>
      </c>
      <c r="Y168" s="15" t="str">
        <f>VLOOKUP(D168,Lookup_Table!A:C,3,0)</f>
        <v>Vikram</v>
      </c>
      <c r="Z168" s="15" t="str">
        <f t="shared" si="17"/>
        <v>Achived</v>
      </c>
    </row>
    <row r="169" spans="1:26">
      <c r="A169" s="13" t="s">
        <v>260</v>
      </c>
      <c r="B169" s="14">
        <v>45792</v>
      </c>
      <c r="C169" s="13" t="s">
        <v>27</v>
      </c>
      <c r="D169" s="13" t="s">
        <v>60</v>
      </c>
      <c r="E169" s="13" t="s">
        <v>127</v>
      </c>
      <c r="F169" s="13" t="s">
        <v>116</v>
      </c>
      <c r="G169" s="13" t="s">
        <v>117</v>
      </c>
      <c r="H169" s="13" t="s">
        <v>32</v>
      </c>
      <c r="I169" s="13" t="s">
        <v>46</v>
      </c>
      <c r="J169" s="13">
        <v>1</v>
      </c>
      <c r="K169" s="13">
        <v>514.68</v>
      </c>
      <c r="L169" s="13">
        <v>0.1</v>
      </c>
      <c r="M169" s="13">
        <v>463.21</v>
      </c>
      <c r="N169" s="13">
        <v>368.42</v>
      </c>
      <c r="O169" s="13">
        <v>94.79</v>
      </c>
      <c r="P169" s="13">
        <v>3.1</v>
      </c>
      <c r="Q169" s="13" t="s">
        <v>42</v>
      </c>
      <c r="R169" s="13">
        <v>2025</v>
      </c>
      <c r="S169" s="15" t="str">
        <f t="shared" si="12"/>
        <v>Low Profit</v>
      </c>
      <c r="T169" s="15" t="str">
        <f t="shared" si="13"/>
        <v>Low Sales</v>
      </c>
      <c r="U169" s="15" t="str">
        <f t="shared" si="14"/>
        <v>Needs Improvement</v>
      </c>
      <c r="V169" s="15" t="str">
        <f t="shared" si="15"/>
        <v>Normal Discount</v>
      </c>
      <c r="W169" s="15">
        <f>VLOOKUP(D169,Lookup_Table!$A:$C,2,FALSE)</f>
        <v>0.15</v>
      </c>
      <c r="X169" s="15">
        <f t="shared" si="16"/>
        <v>0.204637205587099</v>
      </c>
      <c r="Y169" s="15" t="str">
        <f>VLOOKUP(D169,Lookup_Table!A:C,3,0)</f>
        <v>Priya</v>
      </c>
      <c r="Z169" s="15" t="str">
        <f t="shared" si="17"/>
        <v>Achived</v>
      </c>
    </row>
    <row r="170" spans="1:26">
      <c r="A170" s="13" t="s">
        <v>261</v>
      </c>
      <c r="B170" s="14">
        <v>45930</v>
      </c>
      <c r="C170" s="13" t="s">
        <v>36</v>
      </c>
      <c r="D170" s="13" t="s">
        <v>37</v>
      </c>
      <c r="E170" s="13" t="s">
        <v>38</v>
      </c>
      <c r="F170" s="13" t="s">
        <v>98</v>
      </c>
      <c r="G170" s="13" t="s">
        <v>99</v>
      </c>
      <c r="H170" s="13" t="s">
        <v>77</v>
      </c>
      <c r="I170" s="13" t="s">
        <v>52</v>
      </c>
      <c r="J170" s="13">
        <v>2</v>
      </c>
      <c r="K170" s="13">
        <v>216.3</v>
      </c>
      <c r="L170" s="13">
        <v>0.15</v>
      </c>
      <c r="M170" s="13">
        <v>367.71</v>
      </c>
      <c r="N170" s="13">
        <v>292.34</v>
      </c>
      <c r="O170" s="13">
        <v>75.37</v>
      </c>
      <c r="P170" s="13">
        <v>4.6</v>
      </c>
      <c r="Q170" s="13" t="s">
        <v>53</v>
      </c>
      <c r="R170" s="13">
        <v>2025</v>
      </c>
      <c r="S170" s="15" t="str">
        <f t="shared" si="12"/>
        <v>Low Profit</v>
      </c>
      <c r="T170" s="15" t="str">
        <f t="shared" si="13"/>
        <v>Low Sales</v>
      </c>
      <c r="U170" s="15" t="str">
        <f t="shared" si="14"/>
        <v>Good</v>
      </c>
      <c r="V170" s="15" t="str">
        <f t="shared" si="15"/>
        <v>High Discount</v>
      </c>
      <c r="W170" s="15">
        <f>VLOOKUP(D170,Lookup_Table!$A:$C,2,FALSE)</f>
        <v>0.16</v>
      </c>
      <c r="X170" s="15">
        <f t="shared" si="16"/>
        <v>0.204971308911914</v>
      </c>
      <c r="Y170" s="15" t="str">
        <f>VLOOKUP(D170,Lookup_Table!A:C,3,0)</f>
        <v>Vikram</v>
      </c>
      <c r="Z170" s="15" t="str">
        <f t="shared" si="17"/>
        <v>Achived</v>
      </c>
    </row>
    <row r="171" spans="1:26">
      <c r="A171" s="13" t="s">
        <v>262</v>
      </c>
      <c r="B171" s="14">
        <v>45919</v>
      </c>
      <c r="C171" s="13" t="s">
        <v>55</v>
      </c>
      <c r="D171" s="13" t="s">
        <v>44</v>
      </c>
      <c r="E171" s="13" t="s">
        <v>45</v>
      </c>
      <c r="F171" s="13" t="s">
        <v>82</v>
      </c>
      <c r="G171" s="13" t="s">
        <v>83</v>
      </c>
      <c r="H171" s="13" t="s">
        <v>77</v>
      </c>
      <c r="I171" s="13" t="s">
        <v>33</v>
      </c>
      <c r="J171" s="13">
        <v>2</v>
      </c>
      <c r="K171" s="13">
        <v>1303.21</v>
      </c>
      <c r="L171" s="13">
        <v>0.1</v>
      </c>
      <c r="M171" s="13">
        <v>2345.78</v>
      </c>
      <c r="N171" s="13">
        <v>1862.13</v>
      </c>
      <c r="O171" s="13">
        <v>483.65</v>
      </c>
      <c r="P171" s="13">
        <v>3.4</v>
      </c>
      <c r="Q171" s="13" t="s">
        <v>53</v>
      </c>
      <c r="R171" s="13">
        <v>2025</v>
      </c>
      <c r="S171" s="15" t="str">
        <f t="shared" si="12"/>
        <v>Low Profit</v>
      </c>
      <c r="T171" s="15" t="str">
        <f t="shared" si="13"/>
        <v>High Sales</v>
      </c>
      <c r="U171" s="15" t="str">
        <f t="shared" si="14"/>
        <v>Needs Improvement</v>
      </c>
      <c r="V171" s="15" t="str">
        <f t="shared" si="15"/>
        <v>Normal Discount</v>
      </c>
      <c r="W171" s="15">
        <f>VLOOKUP(D171,Lookup_Table!$A:$C,2,FALSE)</f>
        <v>0.18</v>
      </c>
      <c r="X171" s="15">
        <f t="shared" si="16"/>
        <v>0.206178755040967</v>
      </c>
      <c r="Y171" s="15" t="str">
        <f>VLOOKUP(D171,Lookup_Table!A:C,3,0)</f>
        <v>Amit</v>
      </c>
      <c r="Z171" s="15" t="str">
        <f t="shared" si="17"/>
        <v>Achived</v>
      </c>
    </row>
    <row r="172" spans="1:26">
      <c r="A172" s="13" t="s">
        <v>263</v>
      </c>
      <c r="B172" s="14">
        <v>45844</v>
      </c>
      <c r="C172" s="13" t="s">
        <v>55</v>
      </c>
      <c r="D172" s="13" t="s">
        <v>37</v>
      </c>
      <c r="E172" s="13" t="s">
        <v>38</v>
      </c>
      <c r="F172" s="13" t="s">
        <v>67</v>
      </c>
      <c r="G172" s="13" t="s">
        <v>68</v>
      </c>
      <c r="H172" s="13" t="s">
        <v>69</v>
      </c>
      <c r="I172" s="13" t="s">
        <v>33</v>
      </c>
      <c r="J172" s="13">
        <v>7</v>
      </c>
      <c r="K172" s="13">
        <v>283.52</v>
      </c>
      <c r="L172" s="13">
        <v>0</v>
      </c>
      <c r="M172" s="13">
        <v>1984.64</v>
      </c>
      <c r="N172" s="13">
        <v>1575.26</v>
      </c>
      <c r="O172" s="13">
        <v>409.38</v>
      </c>
      <c r="P172" s="13">
        <v>4.5</v>
      </c>
      <c r="Q172" s="13" t="s">
        <v>56</v>
      </c>
      <c r="R172" s="13">
        <v>2025</v>
      </c>
      <c r="S172" s="15" t="str">
        <f t="shared" si="12"/>
        <v>Low Profit</v>
      </c>
      <c r="T172" s="15" t="str">
        <f t="shared" si="13"/>
        <v>High Sales</v>
      </c>
      <c r="U172" s="15" t="str">
        <f t="shared" si="14"/>
        <v>Good</v>
      </c>
      <c r="V172" s="15" t="str">
        <f t="shared" si="15"/>
        <v>Normal Discount</v>
      </c>
      <c r="W172" s="15">
        <f>VLOOKUP(D172,Lookup_Table!$A:$C,2,FALSE)</f>
        <v>0.16</v>
      </c>
      <c r="X172" s="15">
        <f t="shared" si="16"/>
        <v>0.206274185746533</v>
      </c>
      <c r="Y172" s="15" t="str">
        <f>VLOOKUP(D172,Lookup_Table!A:C,3,0)</f>
        <v>Vikram</v>
      </c>
      <c r="Z172" s="15" t="str">
        <f t="shared" si="17"/>
        <v>Achived</v>
      </c>
    </row>
    <row r="173" spans="1:26">
      <c r="A173" s="13" t="s">
        <v>264</v>
      </c>
      <c r="B173" s="14">
        <v>45858</v>
      </c>
      <c r="C173" s="13" t="s">
        <v>55</v>
      </c>
      <c r="D173" s="13" t="s">
        <v>80</v>
      </c>
      <c r="E173" s="13" t="s">
        <v>191</v>
      </c>
      <c r="F173" s="13" t="s">
        <v>75</v>
      </c>
      <c r="G173" s="13" t="s">
        <v>76</v>
      </c>
      <c r="H173" s="13" t="s">
        <v>77</v>
      </c>
      <c r="I173" s="13" t="s">
        <v>52</v>
      </c>
      <c r="J173" s="13">
        <v>5</v>
      </c>
      <c r="K173" s="13">
        <v>67.56</v>
      </c>
      <c r="L173" s="13">
        <v>0</v>
      </c>
      <c r="M173" s="13">
        <v>337.8</v>
      </c>
      <c r="N173" s="13">
        <v>268.11</v>
      </c>
      <c r="O173" s="13">
        <v>69.69</v>
      </c>
      <c r="P173" s="13">
        <v>4</v>
      </c>
      <c r="Q173" s="13" t="s">
        <v>56</v>
      </c>
      <c r="R173" s="13">
        <v>2025</v>
      </c>
      <c r="S173" s="15" t="str">
        <f t="shared" si="12"/>
        <v>Low Profit</v>
      </c>
      <c r="T173" s="15" t="str">
        <f t="shared" si="13"/>
        <v>Low Sales</v>
      </c>
      <c r="U173" s="15" t="str">
        <f t="shared" si="14"/>
        <v>Good</v>
      </c>
      <c r="V173" s="15" t="str">
        <f t="shared" si="15"/>
        <v>Normal Discount</v>
      </c>
      <c r="W173" s="15">
        <f>VLOOKUP(D173,Lookup_Table!$A:$C,2,FALSE)</f>
        <v>0.12</v>
      </c>
      <c r="X173" s="15">
        <f t="shared" si="16"/>
        <v>0.206305506216696</v>
      </c>
      <c r="Y173" s="15" t="str">
        <f>VLOOKUP(D173,Lookup_Table!A:C,3,0)</f>
        <v>Rahul</v>
      </c>
      <c r="Z173" s="15" t="str">
        <f t="shared" si="17"/>
        <v>Achived</v>
      </c>
    </row>
    <row r="174" spans="1:26">
      <c r="A174" s="13" t="s">
        <v>265</v>
      </c>
      <c r="B174" s="14">
        <v>45926</v>
      </c>
      <c r="C174" s="13" t="s">
        <v>27</v>
      </c>
      <c r="D174" s="13" t="s">
        <v>60</v>
      </c>
      <c r="E174" s="13" t="s">
        <v>61</v>
      </c>
      <c r="F174" s="13" t="s">
        <v>82</v>
      </c>
      <c r="G174" s="13" t="s">
        <v>83</v>
      </c>
      <c r="H174" s="13" t="s">
        <v>77</v>
      </c>
      <c r="I174" s="13" t="s">
        <v>46</v>
      </c>
      <c r="J174" s="13">
        <v>6</v>
      </c>
      <c r="K174" s="13">
        <v>479.84</v>
      </c>
      <c r="L174" s="13">
        <v>0.05</v>
      </c>
      <c r="M174" s="13">
        <v>2735.09</v>
      </c>
      <c r="N174" s="13">
        <v>2170.54</v>
      </c>
      <c r="O174" s="13">
        <v>564.55</v>
      </c>
      <c r="P174" s="13">
        <v>3.4</v>
      </c>
      <c r="Q174" s="13" t="s">
        <v>53</v>
      </c>
      <c r="R174" s="13">
        <v>2025</v>
      </c>
      <c r="S174" s="15" t="str">
        <f t="shared" si="12"/>
        <v>High Profit</v>
      </c>
      <c r="T174" s="15" t="str">
        <f t="shared" si="13"/>
        <v>High Sales</v>
      </c>
      <c r="U174" s="15" t="str">
        <f t="shared" si="14"/>
        <v>Needs Improvement</v>
      </c>
      <c r="V174" s="15" t="str">
        <f t="shared" si="15"/>
        <v>Normal Discount</v>
      </c>
      <c r="W174" s="15">
        <f>VLOOKUP(D174,Lookup_Table!$A:$C,2,FALSE)</f>
        <v>0.15</v>
      </c>
      <c r="X174" s="15">
        <f t="shared" si="16"/>
        <v>0.206410026726726</v>
      </c>
      <c r="Y174" s="15" t="str">
        <f>VLOOKUP(D174,Lookup_Table!A:C,3,0)</f>
        <v>Priya</v>
      </c>
      <c r="Z174" s="15" t="str">
        <f t="shared" si="17"/>
        <v>Achived</v>
      </c>
    </row>
    <row r="175" spans="1:26">
      <c r="A175" s="13" t="s">
        <v>266</v>
      </c>
      <c r="B175" s="14">
        <v>45858</v>
      </c>
      <c r="C175" s="13" t="s">
        <v>55</v>
      </c>
      <c r="D175" s="13" t="s">
        <v>44</v>
      </c>
      <c r="E175" s="13" t="s">
        <v>137</v>
      </c>
      <c r="F175" s="13" t="s">
        <v>67</v>
      </c>
      <c r="G175" s="13" t="s">
        <v>68</v>
      </c>
      <c r="H175" s="13" t="s">
        <v>69</v>
      </c>
      <c r="I175" s="13" t="s">
        <v>46</v>
      </c>
      <c r="J175" s="13">
        <v>2</v>
      </c>
      <c r="K175" s="13">
        <v>1238.36</v>
      </c>
      <c r="L175" s="13">
        <v>0.2</v>
      </c>
      <c r="M175" s="13">
        <v>1981.38</v>
      </c>
      <c r="N175" s="13">
        <v>1571.59</v>
      </c>
      <c r="O175" s="13">
        <v>409.79</v>
      </c>
      <c r="P175" s="13">
        <v>4.6</v>
      </c>
      <c r="Q175" s="13" t="s">
        <v>56</v>
      </c>
      <c r="R175" s="13">
        <v>2025</v>
      </c>
      <c r="S175" s="15" t="str">
        <f t="shared" si="12"/>
        <v>Low Profit</v>
      </c>
      <c r="T175" s="15" t="str">
        <f t="shared" si="13"/>
        <v>High Sales</v>
      </c>
      <c r="U175" s="15" t="str">
        <f t="shared" si="14"/>
        <v>Good</v>
      </c>
      <c r="V175" s="15" t="str">
        <f t="shared" si="15"/>
        <v>High Discount</v>
      </c>
      <c r="W175" s="15">
        <f>VLOOKUP(D175,Lookup_Table!$A:$C,2,FALSE)</f>
        <v>0.18</v>
      </c>
      <c r="X175" s="15">
        <f t="shared" si="16"/>
        <v>0.20682049884424</v>
      </c>
      <c r="Y175" s="15" t="str">
        <f>VLOOKUP(D175,Lookup_Table!A:C,3,0)</f>
        <v>Amit</v>
      </c>
      <c r="Z175" s="15" t="str">
        <f t="shared" si="17"/>
        <v>Achived</v>
      </c>
    </row>
    <row r="176" spans="1:26">
      <c r="A176" s="13" t="s">
        <v>267</v>
      </c>
      <c r="B176" s="14">
        <v>45700</v>
      </c>
      <c r="C176" s="13" t="s">
        <v>27</v>
      </c>
      <c r="D176" s="13" t="s">
        <v>28</v>
      </c>
      <c r="E176" s="13" t="s">
        <v>90</v>
      </c>
      <c r="F176" s="13" t="s">
        <v>30</v>
      </c>
      <c r="G176" s="13" t="s">
        <v>31</v>
      </c>
      <c r="H176" s="13" t="s">
        <v>32</v>
      </c>
      <c r="I176" s="13" t="s">
        <v>96</v>
      </c>
      <c r="J176" s="13">
        <v>2</v>
      </c>
      <c r="K176" s="13">
        <v>137.01</v>
      </c>
      <c r="L176" s="13">
        <v>0.15</v>
      </c>
      <c r="M176" s="13">
        <v>232.92</v>
      </c>
      <c r="N176" s="13">
        <v>184.72</v>
      </c>
      <c r="O176" s="13">
        <v>48.2</v>
      </c>
      <c r="P176" s="13">
        <v>4.9</v>
      </c>
      <c r="Q176" s="13" t="s">
        <v>105</v>
      </c>
      <c r="R176" s="13">
        <v>2025</v>
      </c>
      <c r="S176" s="15" t="str">
        <f t="shared" si="12"/>
        <v>Low Profit</v>
      </c>
      <c r="T176" s="15" t="str">
        <f t="shared" si="13"/>
        <v>Low Sales</v>
      </c>
      <c r="U176" s="15" t="str">
        <f t="shared" si="14"/>
        <v>Good</v>
      </c>
      <c r="V176" s="15" t="str">
        <f t="shared" si="15"/>
        <v>High Discount</v>
      </c>
      <c r="W176" s="15">
        <f>VLOOKUP(D176,Lookup_Table!$A:$C,2,FALSE)</f>
        <v>0.2</v>
      </c>
      <c r="X176" s="15">
        <f t="shared" si="16"/>
        <v>0.206938004465052</v>
      </c>
      <c r="Y176" s="15" t="str">
        <f>VLOOKUP(D176,Lookup_Table!A:C,3,0)</f>
        <v>Sneha</v>
      </c>
      <c r="Z176" s="15" t="str">
        <f t="shared" si="17"/>
        <v>Achived</v>
      </c>
    </row>
    <row r="177" spans="1:26">
      <c r="A177" s="13" t="s">
        <v>268</v>
      </c>
      <c r="B177" s="14">
        <v>45951</v>
      </c>
      <c r="C177" s="13" t="s">
        <v>27</v>
      </c>
      <c r="D177" s="13" t="s">
        <v>37</v>
      </c>
      <c r="E177" s="13" t="s">
        <v>38</v>
      </c>
      <c r="F177" s="13" t="s">
        <v>39</v>
      </c>
      <c r="G177" s="13" t="s">
        <v>40</v>
      </c>
      <c r="H177" s="13" t="s">
        <v>41</v>
      </c>
      <c r="I177" s="13" t="s">
        <v>52</v>
      </c>
      <c r="J177" s="13">
        <v>3</v>
      </c>
      <c r="K177" s="13">
        <v>34.98</v>
      </c>
      <c r="L177" s="13">
        <v>0.05</v>
      </c>
      <c r="M177" s="13">
        <v>99.69</v>
      </c>
      <c r="N177" s="13">
        <v>79.06</v>
      </c>
      <c r="O177" s="13">
        <v>20.63</v>
      </c>
      <c r="P177" s="13">
        <v>3.6</v>
      </c>
      <c r="Q177" s="13" t="s">
        <v>87</v>
      </c>
      <c r="R177" s="13">
        <v>2025</v>
      </c>
      <c r="S177" s="15" t="str">
        <f t="shared" si="12"/>
        <v>Low Profit</v>
      </c>
      <c r="T177" s="15" t="str">
        <f t="shared" si="13"/>
        <v>Low Sales</v>
      </c>
      <c r="U177" s="15" t="str">
        <f t="shared" si="14"/>
        <v>Needs Improvement</v>
      </c>
      <c r="V177" s="15" t="str">
        <f t="shared" si="15"/>
        <v>Normal Discount</v>
      </c>
      <c r="W177" s="15">
        <f>VLOOKUP(D177,Lookup_Table!$A:$C,2,FALSE)</f>
        <v>0.16</v>
      </c>
      <c r="X177" s="15">
        <f t="shared" si="16"/>
        <v>0.206941518707995</v>
      </c>
      <c r="Y177" s="15" t="str">
        <f>VLOOKUP(D177,Lookup_Table!A:C,3,0)</f>
        <v>Vikram</v>
      </c>
      <c r="Z177" s="15" t="str">
        <f t="shared" si="17"/>
        <v>Achived</v>
      </c>
    </row>
    <row r="178" spans="1:26">
      <c r="A178" s="13" t="s">
        <v>269</v>
      </c>
      <c r="B178" s="14">
        <v>45801</v>
      </c>
      <c r="C178" s="13" t="s">
        <v>55</v>
      </c>
      <c r="D178" s="13" t="s">
        <v>37</v>
      </c>
      <c r="E178" s="13" t="s">
        <v>38</v>
      </c>
      <c r="F178" s="13" t="s">
        <v>98</v>
      </c>
      <c r="G178" s="13" t="s">
        <v>99</v>
      </c>
      <c r="H178" s="13" t="s">
        <v>77</v>
      </c>
      <c r="I178" s="13" t="s">
        <v>33</v>
      </c>
      <c r="J178" s="13">
        <v>2</v>
      </c>
      <c r="K178" s="13">
        <v>378.35</v>
      </c>
      <c r="L178" s="13">
        <v>0.1</v>
      </c>
      <c r="M178" s="13">
        <v>681.03</v>
      </c>
      <c r="N178" s="13">
        <v>539.54</v>
      </c>
      <c r="O178" s="13">
        <v>141.49</v>
      </c>
      <c r="P178" s="13">
        <v>3</v>
      </c>
      <c r="Q178" s="13" t="s">
        <v>42</v>
      </c>
      <c r="R178" s="13">
        <v>2025</v>
      </c>
      <c r="S178" s="15" t="str">
        <f t="shared" si="12"/>
        <v>Low Profit</v>
      </c>
      <c r="T178" s="15" t="str">
        <f t="shared" si="13"/>
        <v>Low Sales</v>
      </c>
      <c r="U178" s="15" t="str">
        <f t="shared" si="14"/>
        <v>Needs Improvement</v>
      </c>
      <c r="V178" s="15" t="str">
        <f t="shared" si="15"/>
        <v>Normal Discount</v>
      </c>
      <c r="W178" s="15">
        <f>VLOOKUP(D178,Lookup_Table!$A:$C,2,FALSE)</f>
        <v>0.16</v>
      </c>
      <c r="X178" s="15">
        <f t="shared" si="16"/>
        <v>0.207758835880945</v>
      </c>
      <c r="Y178" s="15" t="str">
        <f>VLOOKUP(D178,Lookup_Table!A:C,3,0)</f>
        <v>Vikram</v>
      </c>
      <c r="Z178" s="15" t="str">
        <f t="shared" si="17"/>
        <v>Achived</v>
      </c>
    </row>
    <row r="179" spans="1:26">
      <c r="A179" s="13" t="s">
        <v>270</v>
      </c>
      <c r="B179" s="14">
        <v>45729</v>
      </c>
      <c r="C179" s="13" t="s">
        <v>55</v>
      </c>
      <c r="D179" s="13" t="s">
        <v>37</v>
      </c>
      <c r="E179" s="13" t="s">
        <v>93</v>
      </c>
      <c r="F179" s="13" t="s">
        <v>98</v>
      </c>
      <c r="G179" s="13" t="s">
        <v>99</v>
      </c>
      <c r="H179" s="13" t="s">
        <v>77</v>
      </c>
      <c r="I179" s="13" t="s">
        <v>46</v>
      </c>
      <c r="J179" s="13">
        <v>5</v>
      </c>
      <c r="K179" s="13">
        <v>50.92</v>
      </c>
      <c r="L179" s="13">
        <v>0.15</v>
      </c>
      <c r="M179" s="13">
        <v>216.41</v>
      </c>
      <c r="N179" s="13">
        <v>171.4</v>
      </c>
      <c r="O179" s="13">
        <v>45.01</v>
      </c>
      <c r="P179" s="13">
        <v>4.3</v>
      </c>
      <c r="Q179" s="13" t="s">
        <v>94</v>
      </c>
      <c r="R179" s="13">
        <v>2025</v>
      </c>
      <c r="S179" s="15" t="str">
        <f t="shared" si="12"/>
        <v>Low Profit</v>
      </c>
      <c r="T179" s="15" t="str">
        <f t="shared" si="13"/>
        <v>Low Sales</v>
      </c>
      <c r="U179" s="15" t="str">
        <f t="shared" si="14"/>
        <v>Good</v>
      </c>
      <c r="V179" s="15" t="str">
        <f t="shared" si="15"/>
        <v>High Discount</v>
      </c>
      <c r="W179" s="15">
        <f>VLOOKUP(D179,Lookup_Table!$A:$C,2,FALSE)</f>
        <v>0.16</v>
      </c>
      <c r="X179" s="15">
        <f t="shared" si="16"/>
        <v>0.207984843583938</v>
      </c>
      <c r="Y179" s="15" t="str">
        <f>VLOOKUP(D179,Lookup_Table!A:C,3,0)</f>
        <v>Vikram</v>
      </c>
      <c r="Z179" s="15" t="str">
        <f t="shared" si="17"/>
        <v>Achived</v>
      </c>
    </row>
    <row r="180" spans="1:26">
      <c r="A180" s="13" t="s">
        <v>271</v>
      </c>
      <c r="B180" s="14">
        <v>45796</v>
      </c>
      <c r="C180" s="13" t="s">
        <v>36</v>
      </c>
      <c r="D180" s="13" t="s">
        <v>60</v>
      </c>
      <c r="E180" s="13" t="s">
        <v>150</v>
      </c>
      <c r="F180" s="13" t="s">
        <v>30</v>
      </c>
      <c r="G180" s="13" t="s">
        <v>31</v>
      </c>
      <c r="H180" s="13" t="s">
        <v>32</v>
      </c>
      <c r="I180" s="13" t="s">
        <v>52</v>
      </c>
      <c r="J180" s="13">
        <v>6</v>
      </c>
      <c r="K180" s="13">
        <v>407.01</v>
      </c>
      <c r="L180" s="13">
        <v>0.15</v>
      </c>
      <c r="M180" s="13">
        <v>2075.75</v>
      </c>
      <c r="N180" s="13">
        <v>1643.52</v>
      </c>
      <c r="O180" s="13">
        <v>432.23</v>
      </c>
      <c r="P180" s="13">
        <v>3.6</v>
      </c>
      <c r="Q180" s="13" t="s">
        <v>42</v>
      </c>
      <c r="R180" s="13">
        <v>2025</v>
      </c>
      <c r="S180" s="15" t="str">
        <f t="shared" si="12"/>
        <v>Low Profit</v>
      </c>
      <c r="T180" s="15" t="str">
        <f t="shared" si="13"/>
        <v>High Sales</v>
      </c>
      <c r="U180" s="15" t="str">
        <f t="shared" si="14"/>
        <v>Needs Improvement</v>
      </c>
      <c r="V180" s="15" t="str">
        <f t="shared" si="15"/>
        <v>High Discount</v>
      </c>
      <c r="W180" s="15">
        <f>VLOOKUP(D180,Lookup_Table!$A:$C,2,FALSE)</f>
        <v>0.15</v>
      </c>
      <c r="X180" s="15">
        <f t="shared" si="16"/>
        <v>0.208228351198362</v>
      </c>
      <c r="Y180" s="15" t="str">
        <f>VLOOKUP(D180,Lookup_Table!A:C,3,0)</f>
        <v>Priya</v>
      </c>
      <c r="Z180" s="15" t="str">
        <f t="shared" si="17"/>
        <v>Achived</v>
      </c>
    </row>
    <row r="181" spans="1:26">
      <c r="A181" s="13" t="s">
        <v>272</v>
      </c>
      <c r="B181" s="14">
        <v>45828</v>
      </c>
      <c r="C181" s="13" t="s">
        <v>55</v>
      </c>
      <c r="D181" s="13" t="s">
        <v>60</v>
      </c>
      <c r="E181" s="13" t="s">
        <v>150</v>
      </c>
      <c r="F181" s="13" t="s">
        <v>30</v>
      </c>
      <c r="G181" s="13" t="s">
        <v>31</v>
      </c>
      <c r="H181" s="13" t="s">
        <v>32</v>
      </c>
      <c r="I181" s="13" t="s">
        <v>46</v>
      </c>
      <c r="J181" s="13">
        <v>1</v>
      </c>
      <c r="K181" s="13">
        <v>556.06</v>
      </c>
      <c r="L181" s="13">
        <v>0.15</v>
      </c>
      <c r="M181" s="13">
        <v>472.65</v>
      </c>
      <c r="N181" s="13">
        <v>374.23</v>
      </c>
      <c r="O181" s="13">
        <v>98.42</v>
      </c>
      <c r="P181" s="13">
        <v>4.5</v>
      </c>
      <c r="Q181" s="13" t="s">
        <v>58</v>
      </c>
      <c r="R181" s="13">
        <v>2025</v>
      </c>
      <c r="S181" s="15" t="str">
        <f t="shared" si="12"/>
        <v>Low Profit</v>
      </c>
      <c r="T181" s="15" t="str">
        <f t="shared" si="13"/>
        <v>Low Sales</v>
      </c>
      <c r="U181" s="15" t="str">
        <f t="shared" si="14"/>
        <v>Good</v>
      </c>
      <c r="V181" s="15" t="str">
        <f t="shared" si="15"/>
        <v>High Discount</v>
      </c>
      <c r="W181" s="15">
        <f>VLOOKUP(D181,Lookup_Table!$A:$C,2,FALSE)</f>
        <v>0.15</v>
      </c>
      <c r="X181" s="15">
        <f t="shared" si="16"/>
        <v>0.208230191473606</v>
      </c>
      <c r="Y181" s="15" t="str">
        <f>VLOOKUP(D181,Lookup_Table!A:C,3,0)</f>
        <v>Priya</v>
      </c>
      <c r="Z181" s="15" t="str">
        <f t="shared" si="17"/>
        <v>Achived</v>
      </c>
    </row>
    <row r="182" spans="1:26">
      <c r="A182" s="13" t="s">
        <v>273</v>
      </c>
      <c r="B182" s="14">
        <v>45960</v>
      </c>
      <c r="C182" s="13" t="s">
        <v>55</v>
      </c>
      <c r="D182" s="13" t="s">
        <v>44</v>
      </c>
      <c r="E182" s="13" t="s">
        <v>143</v>
      </c>
      <c r="F182" s="13" t="s">
        <v>30</v>
      </c>
      <c r="G182" s="13" t="s">
        <v>31</v>
      </c>
      <c r="H182" s="13" t="s">
        <v>32</v>
      </c>
      <c r="I182" s="13" t="s">
        <v>46</v>
      </c>
      <c r="J182" s="13">
        <v>2</v>
      </c>
      <c r="K182" s="13">
        <v>881.72</v>
      </c>
      <c r="L182" s="13">
        <v>0.1</v>
      </c>
      <c r="M182" s="13">
        <v>1587.1</v>
      </c>
      <c r="N182" s="13">
        <v>1255.89</v>
      </c>
      <c r="O182" s="13">
        <v>331.21</v>
      </c>
      <c r="P182" s="13">
        <v>4.3</v>
      </c>
      <c r="Q182" s="13" t="s">
        <v>87</v>
      </c>
      <c r="R182" s="13">
        <v>2025</v>
      </c>
      <c r="S182" s="15" t="str">
        <f t="shared" si="12"/>
        <v>Low Profit</v>
      </c>
      <c r="T182" s="15" t="str">
        <f t="shared" si="13"/>
        <v>High Sales</v>
      </c>
      <c r="U182" s="15" t="str">
        <f t="shared" si="14"/>
        <v>Good</v>
      </c>
      <c r="V182" s="15" t="str">
        <f t="shared" si="15"/>
        <v>Normal Discount</v>
      </c>
      <c r="W182" s="15">
        <f>VLOOKUP(D182,Lookup_Table!$A:$C,2,FALSE)</f>
        <v>0.18</v>
      </c>
      <c r="X182" s="15">
        <f t="shared" si="16"/>
        <v>0.208688803478042</v>
      </c>
      <c r="Y182" s="15" t="str">
        <f>VLOOKUP(D182,Lookup_Table!A:C,3,0)</f>
        <v>Amit</v>
      </c>
      <c r="Z182" s="15" t="str">
        <f t="shared" si="17"/>
        <v>Achived</v>
      </c>
    </row>
    <row r="183" spans="1:26">
      <c r="A183" s="13" t="s">
        <v>274</v>
      </c>
      <c r="B183" s="14">
        <v>45686</v>
      </c>
      <c r="C183" s="13" t="s">
        <v>55</v>
      </c>
      <c r="D183" s="13" t="s">
        <v>60</v>
      </c>
      <c r="E183" s="13" t="s">
        <v>61</v>
      </c>
      <c r="F183" s="13" t="s">
        <v>111</v>
      </c>
      <c r="G183" s="13" t="s">
        <v>76</v>
      </c>
      <c r="H183" s="13" t="s">
        <v>77</v>
      </c>
      <c r="I183" s="13" t="s">
        <v>46</v>
      </c>
      <c r="J183" s="13">
        <v>7</v>
      </c>
      <c r="K183" s="13">
        <v>427.89</v>
      </c>
      <c r="L183" s="13">
        <v>0.1</v>
      </c>
      <c r="M183" s="13">
        <v>2695.71</v>
      </c>
      <c r="N183" s="13">
        <v>2132.28</v>
      </c>
      <c r="O183" s="13">
        <v>563.43</v>
      </c>
      <c r="P183" s="13">
        <v>3.1</v>
      </c>
      <c r="Q183" s="13" t="s">
        <v>64</v>
      </c>
      <c r="R183" s="13">
        <v>2025</v>
      </c>
      <c r="S183" s="15" t="str">
        <f t="shared" si="12"/>
        <v>High Profit</v>
      </c>
      <c r="T183" s="15" t="str">
        <f t="shared" si="13"/>
        <v>High Sales</v>
      </c>
      <c r="U183" s="15" t="str">
        <f t="shared" si="14"/>
        <v>Needs Improvement</v>
      </c>
      <c r="V183" s="15" t="str">
        <f t="shared" si="15"/>
        <v>Normal Discount</v>
      </c>
      <c r="W183" s="15">
        <f>VLOOKUP(D183,Lookup_Table!$A:$C,2,FALSE)</f>
        <v>0.15</v>
      </c>
      <c r="X183" s="15">
        <f t="shared" si="16"/>
        <v>0.209009871239859</v>
      </c>
      <c r="Y183" s="15" t="str">
        <f>VLOOKUP(D183,Lookup_Table!A:C,3,0)</f>
        <v>Priya</v>
      </c>
      <c r="Z183" s="15" t="str">
        <f t="shared" si="17"/>
        <v>Achived</v>
      </c>
    </row>
    <row r="184" spans="1:26">
      <c r="A184" s="13" t="s">
        <v>275</v>
      </c>
      <c r="B184" s="14">
        <v>45754</v>
      </c>
      <c r="C184" s="13" t="s">
        <v>55</v>
      </c>
      <c r="D184" s="13" t="s">
        <v>80</v>
      </c>
      <c r="E184" s="13" t="s">
        <v>81</v>
      </c>
      <c r="F184" s="13" t="s">
        <v>62</v>
      </c>
      <c r="G184" s="13" t="s">
        <v>63</v>
      </c>
      <c r="H184" s="13" t="s">
        <v>32</v>
      </c>
      <c r="I184" s="13" t="s">
        <v>46</v>
      </c>
      <c r="J184" s="13">
        <v>4</v>
      </c>
      <c r="K184" s="13">
        <v>50.76</v>
      </c>
      <c r="L184" s="13">
        <v>0.1</v>
      </c>
      <c r="M184" s="13">
        <v>182.74</v>
      </c>
      <c r="N184" s="13">
        <v>144.51</v>
      </c>
      <c r="O184" s="13">
        <v>38.23</v>
      </c>
      <c r="P184" s="13">
        <v>3.3</v>
      </c>
      <c r="Q184" s="13" t="s">
        <v>84</v>
      </c>
      <c r="R184" s="13">
        <v>2025</v>
      </c>
      <c r="S184" s="15" t="str">
        <f t="shared" si="12"/>
        <v>Low Profit</v>
      </c>
      <c r="T184" s="15" t="str">
        <f t="shared" si="13"/>
        <v>Low Sales</v>
      </c>
      <c r="U184" s="15" t="str">
        <f t="shared" si="14"/>
        <v>Needs Improvement</v>
      </c>
      <c r="V184" s="15" t="str">
        <f t="shared" si="15"/>
        <v>Normal Discount</v>
      </c>
      <c r="W184" s="15">
        <f>VLOOKUP(D184,Lookup_Table!$A:$C,2,FALSE)</f>
        <v>0.12</v>
      </c>
      <c r="X184" s="15">
        <f t="shared" si="16"/>
        <v>0.209204334026486</v>
      </c>
      <c r="Y184" s="15" t="str">
        <f>VLOOKUP(D184,Lookup_Table!A:C,3,0)</f>
        <v>Rahul</v>
      </c>
      <c r="Z184" s="15" t="str">
        <f t="shared" si="17"/>
        <v>Achived</v>
      </c>
    </row>
    <row r="185" spans="1:26">
      <c r="A185" s="13" t="s">
        <v>276</v>
      </c>
      <c r="B185" s="14">
        <v>45972</v>
      </c>
      <c r="C185" s="13" t="s">
        <v>36</v>
      </c>
      <c r="D185" s="13" t="s">
        <v>60</v>
      </c>
      <c r="E185" s="13" t="s">
        <v>150</v>
      </c>
      <c r="F185" s="13" t="s">
        <v>98</v>
      </c>
      <c r="G185" s="13" t="s">
        <v>99</v>
      </c>
      <c r="H185" s="13" t="s">
        <v>77</v>
      </c>
      <c r="I185" s="13" t="s">
        <v>96</v>
      </c>
      <c r="J185" s="13">
        <v>5</v>
      </c>
      <c r="K185" s="13">
        <v>729.82</v>
      </c>
      <c r="L185" s="13">
        <v>0.15</v>
      </c>
      <c r="M185" s="13">
        <v>3101.74</v>
      </c>
      <c r="N185" s="13">
        <v>2452.16</v>
      </c>
      <c r="O185" s="13">
        <v>649.58</v>
      </c>
      <c r="P185" s="13">
        <v>4.5</v>
      </c>
      <c r="Q185" s="13" t="s">
        <v>71</v>
      </c>
      <c r="R185" s="13">
        <v>2025</v>
      </c>
      <c r="S185" s="15" t="str">
        <f t="shared" si="12"/>
        <v>High Profit</v>
      </c>
      <c r="T185" s="15" t="str">
        <f t="shared" si="13"/>
        <v>High Sales</v>
      </c>
      <c r="U185" s="15" t="str">
        <f t="shared" si="14"/>
        <v>Good</v>
      </c>
      <c r="V185" s="15" t="str">
        <f t="shared" si="15"/>
        <v>High Discount</v>
      </c>
      <c r="W185" s="15">
        <f>VLOOKUP(D185,Lookup_Table!$A:$C,2,FALSE)</f>
        <v>0.15</v>
      </c>
      <c r="X185" s="15">
        <f t="shared" si="16"/>
        <v>0.209424387601798</v>
      </c>
      <c r="Y185" s="15" t="str">
        <f>VLOOKUP(D185,Lookup_Table!A:C,3,0)</f>
        <v>Priya</v>
      </c>
      <c r="Z185" s="15" t="str">
        <f t="shared" si="17"/>
        <v>Achived</v>
      </c>
    </row>
    <row r="186" spans="1:26">
      <c r="A186" s="13" t="s">
        <v>277</v>
      </c>
      <c r="B186" s="14">
        <v>45715</v>
      </c>
      <c r="C186" s="13" t="s">
        <v>55</v>
      </c>
      <c r="D186" s="13" t="s">
        <v>60</v>
      </c>
      <c r="E186" s="13" t="s">
        <v>150</v>
      </c>
      <c r="F186" s="13" t="s">
        <v>116</v>
      </c>
      <c r="G186" s="13" t="s">
        <v>117</v>
      </c>
      <c r="H186" s="13" t="s">
        <v>32</v>
      </c>
      <c r="I186" s="13" t="s">
        <v>33</v>
      </c>
      <c r="J186" s="13">
        <v>1</v>
      </c>
      <c r="K186" s="13">
        <v>792.09</v>
      </c>
      <c r="L186" s="13">
        <v>0</v>
      </c>
      <c r="M186" s="13">
        <v>792.09</v>
      </c>
      <c r="N186" s="13">
        <v>624.48</v>
      </c>
      <c r="O186" s="13">
        <v>167.61</v>
      </c>
      <c r="P186" s="13">
        <v>2.9</v>
      </c>
      <c r="Q186" s="13" t="s">
        <v>105</v>
      </c>
      <c r="R186" s="13">
        <v>2025</v>
      </c>
      <c r="S186" s="15" t="str">
        <f t="shared" si="12"/>
        <v>Low Profit</v>
      </c>
      <c r="T186" s="15" t="str">
        <f t="shared" si="13"/>
        <v>Low Sales</v>
      </c>
      <c r="U186" s="15" t="str">
        <f t="shared" si="14"/>
        <v>Needs Improvement</v>
      </c>
      <c r="V186" s="15" t="str">
        <f t="shared" si="15"/>
        <v>Normal Discount</v>
      </c>
      <c r="W186" s="15">
        <f>VLOOKUP(D186,Lookup_Table!$A:$C,2,FALSE)</f>
        <v>0.15</v>
      </c>
      <c r="X186" s="15">
        <f t="shared" si="16"/>
        <v>0.211604741885392</v>
      </c>
      <c r="Y186" s="15" t="str">
        <f>VLOOKUP(D186,Lookup_Table!A:C,3,0)</f>
        <v>Priya</v>
      </c>
      <c r="Z186" s="15" t="str">
        <f t="shared" si="17"/>
        <v>Achived</v>
      </c>
    </row>
    <row r="187" spans="1:26">
      <c r="A187" s="13" t="s">
        <v>278</v>
      </c>
      <c r="B187" s="14">
        <v>45804</v>
      </c>
      <c r="C187" s="13" t="s">
        <v>36</v>
      </c>
      <c r="D187" s="13" t="s">
        <v>37</v>
      </c>
      <c r="E187" s="13" t="s">
        <v>109</v>
      </c>
      <c r="F187" s="13" t="s">
        <v>30</v>
      </c>
      <c r="G187" s="13" t="s">
        <v>31</v>
      </c>
      <c r="H187" s="13" t="s">
        <v>32</v>
      </c>
      <c r="I187" s="13" t="s">
        <v>46</v>
      </c>
      <c r="J187" s="13">
        <v>6</v>
      </c>
      <c r="K187" s="13">
        <v>498.35</v>
      </c>
      <c r="L187" s="13">
        <v>0</v>
      </c>
      <c r="M187" s="13">
        <v>2990.1</v>
      </c>
      <c r="N187" s="13">
        <v>2355.6</v>
      </c>
      <c r="O187" s="13">
        <v>634.5</v>
      </c>
      <c r="P187" s="13">
        <v>3.5</v>
      </c>
      <c r="Q187" s="13" t="s">
        <v>42</v>
      </c>
      <c r="R187" s="13">
        <v>2025</v>
      </c>
      <c r="S187" s="15" t="str">
        <f t="shared" si="12"/>
        <v>High Profit</v>
      </c>
      <c r="T187" s="15" t="str">
        <f t="shared" si="13"/>
        <v>High Sales</v>
      </c>
      <c r="U187" s="15" t="str">
        <f t="shared" si="14"/>
        <v>Needs Improvement</v>
      </c>
      <c r="V187" s="15" t="str">
        <f t="shared" si="15"/>
        <v>Normal Discount</v>
      </c>
      <c r="W187" s="15">
        <f>VLOOKUP(D187,Lookup_Table!$A:$C,2,FALSE)</f>
        <v>0.16</v>
      </c>
      <c r="X187" s="15">
        <f t="shared" si="16"/>
        <v>0.212200260860841</v>
      </c>
      <c r="Y187" s="15" t="str">
        <f>VLOOKUP(D187,Lookup_Table!A:C,3,0)</f>
        <v>Vikram</v>
      </c>
      <c r="Z187" s="15" t="str">
        <f t="shared" si="17"/>
        <v>Achived</v>
      </c>
    </row>
    <row r="188" spans="1:26">
      <c r="A188" s="13" t="s">
        <v>279</v>
      </c>
      <c r="B188" s="14">
        <v>45860</v>
      </c>
      <c r="C188" s="13" t="s">
        <v>27</v>
      </c>
      <c r="D188" s="13" t="s">
        <v>28</v>
      </c>
      <c r="E188" s="13" t="s">
        <v>73</v>
      </c>
      <c r="F188" s="13" t="s">
        <v>82</v>
      </c>
      <c r="G188" s="13" t="s">
        <v>83</v>
      </c>
      <c r="H188" s="13" t="s">
        <v>77</v>
      </c>
      <c r="I188" s="13" t="s">
        <v>96</v>
      </c>
      <c r="J188" s="13">
        <v>4</v>
      </c>
      <c r="K188" s="13">
        <v>45.41</v>
      </c>
      <c r="L188" s="13">
        <v>0.15</v>
      </c>
      <c r="M188" s="13">
        <v>154.39</v>
      </c>
      <c r="N188" s="13">
        <v>121.52</v>
      </c>
      <c r="O188" s="13">
        <v>32.87</v>
      </c>
      <c r="P188" s="13">
        <v>2.6</v>
      </c>
      <c r="Q188" s="13" t="s">
        <v>56</v>
      </c>
      <c r="R188" s="13">
        <v>2025</v>
      </c>
      <c r="S188" s="15" t="str">
        <f t="shared" si="12"/>
        <v>Low Profit</v>
      </c>
      <c r="T188" s="15" t="str">
        <f t="shared" si="13"/>
        <v>Low Sales</v>
      </c>
      <c r="U188" s="15" t="str">
        <f t="shared" si="14"/>
        <v>Needs Improvement</v>
      </c>
      <c r="V188" s="15" t="str">
        <f t="shared" si="15"/>
        <v>High Discount</v>
      </c>
      <c r="W188" s="15">
        <f>VLOOKUP(D188,Lookup_Table!$A:$C,2,FALSE)</f>
        <v>0.2</v>
      </c>
      <c r="X188" s="15">
        <f t="shared" si="16"/>
        <v>0.212902390051169</v>
      </c>
      <c r="Y188" s="15" t="str">
        <f>VLOOKUP(D188,Lookup_Table!A:C,3,0)</f>
        <v>Sneha</v>
      </c>
      <c r="Z188" s="15" t="str">
        <f t="shared" si="17"/>
        <v>Achived</v>
      </c>
    </row>
    <row r="189" spans="1:26">
      <c r="A189" s="13" t="s">
        <v>280</v>
      </c>
      <c r="B189" s="14">
        <v>45948</v>
      </c>
      <c r="C189" s="13" t="s">
        <v>27</v>
      </c>
      <c r="D189" s="13" t="s">
        <v>60</v>
      </c>
      <c r="E189" s="13" t="s">
        <v>150</v>
      </c>
      <c r="F189" s="13" t="s">
        <v>116</v>
      </c>
      <c r="G189" s="13" t="s">
        <v>117</v>
      </c>
      <c r="H189" s="13" t="s">
        <v>32</v>
      </c>
      <c r="I189" s="13" t="s">
        <v>46</v>
      </c>
      <c r="J189" s="13">
        <v>1</v>
      </c>
      <c r="K189" s="13">
        <v>83.11</v>
      </c>
      <c r="L189" s="13">
        <v>0.1</v>
      </c>
      <c r="M189" s="13">
        <v>74.8</v>
      </c>
      <c r="N189" s="13">
        <v>58.85</v>
      </c>
      <c r="O189" s="13">
        <v>15.95</v>
      </c>
      <c r="P189" s="13">
        <v>3.5</v>
      </c>
      <c r="Q189" s="13" t="s">
        <v>87</v>
      </c>
      <c r="R189" s="13">
        <v>2025</v>
      </c>
      <c r="S189" s="15" t="str">
        <f t="shared" si="12"/>
        <v>Low Profit</v>
      </c>
      <c r="T189" s="15" t="str">
        <f t="shared" si="13"/>
        <v>Low Sales</v>
      </c>
      <c r="U189" s="15" t="str">
        <f t="shared" si="14"/>
        <v>Needs Improvement</v>
      </c>
      <c r="V189" s="15" t="str">
        <f t="shared" si="15"/>
        <v>Normal Discount</v>
      </c>
      <c r="W189" s="15">
        <f>VLOOKUP(D189,Lookup_Table!$A:$C,2,FALSE)</f>
        <v>0.15</v>
      </c>
      <c r="X189" s="15">
        <f t="shared" si="16"/>
        <v>0.213235294117647</v>
      </c>
      <c r="Y189" s="15" t="str">
        <f>VLOOKUP(D189,Lookup_Table!A:C,3,0)</f>
        <v>Priya</v>
      </c>
      <c r="Z189" s="15" t="str">
        <f t="shared" si="17"/>
        <v>Achived</v>
      </c>
    </row>
    <row r="190" spans="1:26">
      <c r="A190" s="13" t="s">
        <v>281</v>
      </c>
      <c r="B190" s="14">
        <v>45882</v>
      </c>
      <c r="C190" s="13" t="s">
        <v>55</v>
      </c>
      <c r="D190" s="13" t="s">
        <v>37</v>
      </c>
      <c r="E190" s="13" t="s">
        <v>38</v>
      </c>
      <c r="F190" s="13" t="s">
        <v>116</v>
      </c>
      <c r="G190" s="13" t="s">
        <v>117</v>
      </c>
      <c r="H190" s="13" t="s">
        <v>32</v>
      </c>
      <c r="I190" s="13" t="s">
        <v>33</v>
      </c>
      <c r="J190" s="13">
        <v>2</v>
      </c>
      <c r="K190" s="13">
        <v>237.2</v>
      </c>
      <c r="L190" s="13">
        <v>0.1</v>
      </c>
      <c r="M190" s="13">
        <v>426.96</v>
      </c>
      <c r="N190" s="13">
        <v>335.89</v>
      </c>
      <c r="O190" s="13">
        <v>91.07</v>
      </c>
      <c r="P190" s="13">
        <v>2.8</v>
      </c>
      <c r="Q190" s="13" t="s">
        <v>47</v>
      </c>
      <c r="R190" s="13">
        <v>2025</v>
      </c>
      <c r="S190" s="15" t="str">
        <f t="shared" si="12"/>
        <v>Low Profit</v>
      </c>
      <c r="T190" s="15" t="str">
        <f t="shared" si="13"/>
        <v>Low Sales</v>
      </c>
      <c r="U190" s="15" t="str">
        <f t="shared" si="14"/>
        <v>Needs Improvement</v>
      </c>
      <c r="V190" s="15" t="str">
        <f t="shared" si="15"/>
        <v>Normal Discount</v>
      </c>
      <c r="W190" s="15">
        <f>VLOOKUP(D190,Lookup_Table!$A:$C,2,FALSE)</f>
        <v>0.16</v>
      </c>
      <c r="X190" s="15">
        <f t="shared" si="16"/>
        <v>0.213298669664606</v>
      </c>
      <c r="Y190" s="15" t="str">
        <f>VLOOKUP(D190,Lookup_Table!A:C,3,0)</f>
        <v>Vikram</v>
      </c>
      <c r="Z190" s="15" t="str">
        <f t="shared" si="17"/>
        <v>Achived</v>
      </c>
    </row>
    <row r="191" spans="1:26">
      <c r="A191" s="13" t="s">
        <v>282</v>
      </c>
      <c r="B191" s="14">
        <v>45852</v>
      </c>
      <c r="C191" s="13" t="s">
        <v>27</v>
      </c>
      <c r="D191" s="13" t="s">
        <v>28</v>
      </c>
      <c r="E191" s="13" t="s">
        <v>29</v>
      </c>
      <c r="F191" s="13" t="s">
        <v>30</v>
      </c>
      <c r="G191" s="13" t="s">
        <v>31</v>
      </c>
      <c r="H191" s="13" t="s">
        <v>32</v>
      </c>
      <c r="I191" s="13" t="s">
        <v>33</v>
      </c>
      <c r="J191" s="13">
        <v>5</v>
      </c>
      <c r="K191" s="13">
        <v>119.73</v>
      </c>
      <c r="L191" s="13">
        <v>0.2</v>
      </c>
      <c r="M191" s="13">
        <v>478.92</v>
      </c>
      <c r="N191" s="13">
        <v>376.48</v>
      </c>
      <c r="O191" s="13">
        <v>102.44</v>
      </c>
      <c r="P191" s="13">
        <v>3.6</v>
      </c>
      <c r="Q191" s="13" t="s">
        <v>56</v>
      </c>
      <c r="R191" s="13">
        <v>2025</v>
      </c>
      <c r="S191" s="15" t="str">
        <f t="shared" si="12"/>
        <v>Low Profit</v>
      </c>
      <c r="T191" s="15" t="str">
        <f t="shared" si="13"/>
        <v>Low Sales</v>
      </c>
      <c r="U191" s="15" t="str">
        <f t="shared" si="14"/>
        <v>Needs Improvement</v>
      </c>
      <c r="V191" s="15" t="str">
        <f t="shared" si="15"/>
        <v>High Discount</v>
      </c>
      <c r="W191" s="15">
        <f>VLOOKUP(D191,Lookup_Table!$A:$C,2,FALSE)</f>
        <v>0.2</v>
      </c>
      <c r="X191" s="15">
        <f t="shared" si="16"/>
        <v>0.213897937024973</v>
      </c>
      <c r="Y191" s="15" t="str">
        <f>VLOOKUP(D191,Lookup_Table!A:C,3,0)</f>
        <v>Sneha</v>
      </c>
      <c r="Z191" s="15" t="str">
        <f t="shared" si="17"/>
        <v>Achived</v>
      </c>
    </row>
    <row r="192" spans="1:26">
      <c r="A192" s="13" t="s">
        <v>283</v>
      </c>
      <c r="B192" s="14">
        <v>45945</v>
      </c>
      <c r="C192" s="13" t="s">
        <v>36</v>
      </c>
      <c r="D192" s="13" t="s">
        <v>60</v>
      </c>
      <c r="E192" s="13" t="s">
        <v>61</v>
      </c>
      <c r="F192" s="13" t="s">
        <v>116</v>
      </c>
      <c r="G192" s="13" t="s">
        <v>117</v>
      </c>
      <c r="H192" s="13" t="s">
        <v>32</v>
      </c>
      <c r="I192" s="13" t="s">
        <v>52</v>
      </c>
      <c r="J192" s="13">
        <v>6</v>
      </c>
      <c r="K192" s="13">
        <v>539.25</v>
      </c>
      <c r="L192" s="13">
        <v>0.1</v>
      </c>
      <c r="M192" s="13">
        <v>2911.95</v>
      </c>
      <c r="N192" s="13">
        <v>2286.44</v>
      </c>
      <c r="O192" s="13">
        <v>625.51</v>
      </c>
      <c r="P192" s="13">
        <v>4.9</v>
      </c>
      <c r="Q192" s="13" t="s">
        <v>87</v>
      </c>
      <c r="R192" s="13">
        <v>2025</v>
      </c>
      <c r="S192" s="15" t="str">
        <f t="shared" si="12"/>
        <v>High Profit</v>
      </c>
      <c r="T192" s="15" t="str">
        <f t="shared" si="13"/>
        <v>High Sales</v>
      </c>
      <c r="U192" s="15" t="str">
        <f t="shared" si="14"/>
        <v>Good</v>
      </c>
      <c r="V192" s="15" t="str">
        <f t="shared" si="15"/>
        <v>Normal Discount</v>
      </c>
      <c r="W192" s="15">
        <f>VLOOKUP(D192,Lookup_Table!$A:$C,2,FALSE)</f>
        <v>0.15</v>
      </c>
      <c r="X192" s="15">
        <f t="shared" si="16"/>
        <v>0.214807946565017</v>
      </c>
      <c r="Y192" s="15" t="str">
        <f>VLOOKUP(D192,Lookup_Table!A:C,3,0)</f>
        <v>Priya</v>
      </c>
      <c r="Z192" s="15" t="str">
        <f t="shared" si="17"/>
        <v>Achived</v>
      </c>
    </row>
    <row r="193" spans="1:26">
      <c r="A193" s="13" t="s">
        <v>284</v>
      </c>
      <c r="B193" s="14">
        <v>45865</v>
      </c>
      <c r="C193" s="13" t="s">
        <v>27</v>
      </c>
      <c r="D193" s="13" t="s">
        <v>80</v>
      </c>
      <c r="E193" s="13" t="s">
        <v>81</v>
      </c>
      <c r="F193" s="13" t="s">
        <v>62</v>
      </c>
      <c r="G193" s="13" t="s">
        <v>63</v>
      </c>
      <c r="H193" s="13" t="s">
        <v>32</v>
      </c>
      <c r="I193" s="13" t="s">
        <v>96</v>
      </c>
      <c r="J193" s="13">
        <v>5</v>
      </c>
      <c r="K193" s="13">
        <v>62.35</v>
      </c>
      <c r="L193" s="13">
        <v>0</v>
      </c>
      <c r="M193" s="13">
        <v>311.75</v>
      </c>
      <c r="N193" s="13">
        <v>244.42</v>
      </c>
      <c r="O193" s="13">
        <v>67.33</v>
      </c>
      <c r="P193" s="13">
        <v>2.7</v>
      </c>
      <c r="Q193" s="13" t="s">
        <v>56</v>
      </c>
      <c r="R193" s="13">
        <v>2025</v>
      </c>
      <c r="S193" s="15" t="str">
        <f t="shared" si="12"/>
        <v>Low Profit</v>
      </c>
      <c r="T193" s="15" t="str">
        <f t="shared" si="13"/>
        <v>Low Sales</v>
      </c>
      <c r="U193" s="15" t="str">
        <f t="shared" si="14"/>
        <v>Needs Improvement</v>
      </c>
      <c r="V193" s="15" t="str">
        <f t="shared" si="15"/>
        <v>Normal Discount</v>
      </c>
      <c r="W193" s="15">
        <f>VLOOKUP(D193,Lookup_Table!$A:$C,2,FALSE)</f>
        <v>0.12</v>
      </c>
      <c r="X193" s="15">
        <f t="shared" si="16"/>
        <v>0.215974338412189</v>
      </c>
      <c r="Y193" s="15" t="str">
        <f>VLOOKUP(D193,Lookup_Table!A:C,3,0)</f>
        <v>Rahul</v>
      </c>
      <c r="Z193" s="15" t="str">
        <f t="shared" si="17"/>
        <v>Achived</v>
      </c>
    </row>
    <row r="194" spans="1:26">
      <c r="A194" s="13" t="s">
        <v>285</v>
      </c>
      <c r="B194" s="14">
        <v>45899</v>
      </c>
      <c r="C194" s="13" t="s">
        <v>55</v>
      </c>
      <c r="D194" s="13" t="s">
        <v>37</v>
      </c>
      <c r="E194" s="13" t="s">
        <v>86</v>
      </c>
      <c r="F194" s="13" t="s">
        <v>98</v>
      </c>
      <c r="G194" s="13" t="s">
        <v>99</v>
      </c>
      <c r="H194" s="13" t="s">
        <v>77</v>
      </c>
      <c r="I194" s="13" t="s">
        <v>52</v>
      </c>
      <c r="J194" s="13">
        <v>2</v>
      </c>
      <c r="K194" s="13">
        <v>97.74</v>
      </c>
      <c r="L194" s="13">
        <v>0.1</v>
      </c>
      <c r="M194" s="13">
        <v>175.93</v>
      </c>
      <c r="N194" s="13">
        <v>137.9</v>
      </c>
      <c r="O194" s="13">
        <v>38.03</v>
      </c>
      <c r="P194" s="13">
        <v>4.5</v>
      </c>
      <c r="Q194" s="13" t="s">
        <v>47</v>
      </c>
      <c r="R194" s="13">
        <v>2025</v>
      </c>
      <c r="S194" s="15" t="str">
        <f t="shared" ref="S194:S257" si="18">IF(O194&gt;500,"High Profit","Low Profit")</f>
        <v>Low Profit</v>
      </c>
      <c r="T194" s="15" t="str">
        <f t="shared" ref="T194:T257" si="19">IF(M194&gt;1000,"High Sales","Low Sales")</f>
        <v>Low Sales</v>
      </c>
      <c r="U194" s="15" t="str">
        <f t="shared" ref="U194:U257" si="20">IF(P194&gt;=4,"Good","Needs Improvement")</f>
        <v>Good</v>
      </c>
      <c r="V194" s="15" t="str">
        <f t="shared" ref="V194:V257" si="21">IF(L194&gt;=15%,"High Discount","Normal Discount")</f>
        <v>Normal Discount</v>
      </c>
      <c r="W194" s="15">
        <f>VLOOKUP(D194,Lookup_Table!$A:$C,2,FALSE)</f>
        <v>0.16</v>
      </c>
      <c r="X194" s="15">
        <f t="shared" ref="X194:X257" si="22">O194/M194</f>
        <v>0.216165520377423</v>
      </c>
      <c r="Y194" s="15" t="str">
        <f>VLOOKUP(D194,Lookup_Table!A:C,3,0)</f>
        <v>Vikram</v>
      </c>
      <c r="Z194" s="15" t="str">
        <f t="shared" ref="Z194:Z257" si="23">IF(X194&gt;=W194,"Achived","Not Achieved")</f>
        <v>Achived</v>
      </c>
    </row>
    <row r="195" spans="1:26">
      <c r="A195" s="13" t="s">
        <v>286</v>
      </c>
      <c r="B195" s="14">
        <v>45894</v>
      </c>
      <c r="C195" s="13" t="s">
        <v>55</v>
      </c>
      <c r="D195" s="13" t="s">
        <v>44</v>
      </c>
      <c r="E195" s="13" t="s">
        <v>137</v>
      </c>
      <c r="F195" s="13" t="s">
        <v>116</v>
      </c>
      <c r="G195" s="13" t="s">
        <v>117</v>
      </c>
      <c r="H195" s="13" t="s">
        <v>32</v>
      </c>
      <c r="I195" s="13" t="s">
        <v>46</v>
      </c>
      <c r="J195" s="13">
        <v>6</v>
      </c>
      <c r="K195" s="13">
        <v>489.22</v>
      </c>
      <c r="L195" s="13">
        <v>0.1</v>
      </c>
      <c r="M195" s="13">
        <v>2641.79</v>
      </c>
      <c r="N195" s="13">
        <v>2069.99</v>
      </c>
      <c r="O195" s="13">
        <v>571.8</v>
      </c>
      <c r="P195" s="13">
        <v>2.9</v>
      </c>
      <c r="Q195" s="13" t="s">
        <v>47</v>
      </c>
      <c r="R195" s="13">
        <v>2025</v>
      </c>
      <c r="S195" s="15" t="str">
        <f t="shared" si="18"/>
        <v>High Profit</v>
      </c>
      <c r="T195" s="15" t="str">
        <f t="shared" si="19"/>
        <v>High Sales</v>
      </c>
      <c r="U195" s="15" t="str">
        <f t="shared" si="20"/>
        <v>Needs Improvement</v>
      </c>
      <c r="V195" s="15" t="str">
        <f t="shared" si="21"/>
        <v>Normal Discount</v>
      </c>
      <c r="W195" s="15">
        <f>VLOOKUP(D195,Lookup_Table!$A:$C,2,FALSE)</f>
        <v>0.18</v>
      </c>
      <c r="X195" s="15">
        <f t="shared" si="22"/>
        <v>0.216444153395993</v>
      </c>
      <c r="Y195" s="15" t="str">
        <f>VLOOKUP(D195,Lookup_Table!A:C,3,0)</f>
        <v>Amit</v>
      </c>
      <c r="Z195" s="15" t="str">
        <f t="shared" si="23"/>
        <v>Achived</v>
      </c>
    </row>
    <row r="196" spans="1:26">
      <c r="A196" s="13" t="s">
        <v>287</v>
      </c>
      <c r="B196" s="14">
        <v>45904</v>
      </c>
      <c r="C196" s="13" t="s">
        <v>55</v>
      </c>
      <c r="D196" s="13" t="s">
        <v>37</v>
      </c>
      <c r="E196" s="13" t="s">
        <v>38</v>
      </c>
      <c r="F196" s="13" t="s">
        <v>62</v>
      </c>
      <c r="G196" s="13" t="s">
        <v>63</v>
      </c>
      <c r="H196" s="13" t="s">
        <v>32</v>
      </c>
      <c r="I196" s="13" t="s">
        <v>52</v>
      </c>
      <c r="J196" s="13">
        <v>2</v>
      </c>
      <c r="K196" s="13">
        <v>299.37</v>
      </c>
      <c r="L196" s="13">
        <v>0.05</v>
      </c>
      <c r="M196" s="13">
        <v>568.8</v>
      </c>
      <c r="N196" s="13">
        <v>445.58</v>
      </c>
      <c r="O196" s="13">
        <v>123.22</v>
      </c>
      <c r="P196" s="13">
        <v>2.6</v>
      </c>
      <c r="Q196" s="13" t="s">
        <v>53</v>
      </c>
      <c r="R196" s="13">
        <v>2025</v>
      </c>
      <c r="S196" s="15" t="str">
        <f t="shared" si="18"/>
        <v>Low Profit</v>
      </c>
      <c r="T196" s="15" t="str">
        <f t="shared" si="19"/>
        <v>Low Sales</v>
      </c>
      <c r="U196" s="15" t="str">
        <f t="shared" si="20"/>
        <v>Needs Improvement</v>
      </c>
      <c r="V196" s="15" t="str">
        <f t="shared" si="21"/>
        <v>Normal Discount</v>
      </c>
      <c r="W196" s="15">
        <f>VLOOKUP(D196,Lookup_Table!$A:$C,2,FALSE)</f>
        <v>0.16</v>
      </c>
      <c r="X196" s="15">
        <f t="shared" si="22"/>
        <v>0.216631504922644</v>
      </c>
      <c r="Y196" s="15" t="str">
        <f>VLOOKUP(D196,Lookup_Table!A:C,3,0)</f>
        <v>Vikram</v>
      </c>
      <c r="Z196" s="15" t="str">
        <f t="shared" si="23"/>
        <v>Achived</v>
      </c>
    </row>
    <row r="197" spans="1:26">
      <c r="A197" s="13" t="s">
        <v>288</v>
      </c>
      <c r="B197" s="14">
        <v>46006</v>
      </c>
      <c r="C197" s="13" t="s">
        <v>36</v>
      </c>
      <c r="D197" s="13" t="s">
        <v>44</v>
      </c>
      <c r="E197" s="13" t="s">
        <v>104</v>
      </c>
      <c r="F197" s="13" t="s">
        <v>39</v>
      </c>
      <c r="G197" s="13" t="s">
        <v>40</v>
      </c>
      <c r="H197" s="13" t="s">
        <v>41</v>
      </c>
      <c r="I197" s="13" t="s">
        <v>96</v>
      </c>
      <c r="J197" s="13">
        <v>1</v>
      </c>
      <c r="K197" s="13">
        <v>510.81</v>
      </c>
      <c r="L197" s="13">
        <v>0</v>
      </c>
      <c r="M197" s="13">
        <v>510.81</v>
      </c>
      <c r="N197" s="13">
        <v>399.66</v>
      </c>
      <c r="O197" s="13">
        <v>111.15</v>
      </c>
      <c r="P197" s="13">
        <v>4.1</v>
      </c>
      <c r="Q197" s="13" t="s">
        <v>34</v>
      </c>
      <c r="R197" s="13">
        <v>2025</v>
      </c>
      <c r="S197" s="15" t="str">
        <f t="shared" si="18"/>
        <v>Low Profit</v>
      </c>
      <c r="T197" s="15" t="str">
        <f t="shared" si="19"/>
        <v>Low Sales</v>
      </c>
      <c r="U197" s="15" t="str">
        <f t="shared" si="20"/>
        <v>Good</v>
      </c>
      <c r="V197" s="15" t="str">
        <f t="shared" si="21"/>
        <v>Normal Discount</v>
      </c>
      <c r="W197" s="15">
        <f>VLOOKUP(D197,Lookup_Table!$A:$C,2,FALSE)</f>
        <v>0.18</v>
      </c>
      <c r="X197" s="15">
        <f t="shared" si="22"/>
        <v>0.217595583485053</v>
      </c>
      <c r="Y197" s="15" t="str">
        <f>VLOOKUP(D197,Lookup_Table!A:C,3,0)</f>
        <v>Amit</v>
      </c>
      <c r="Z197" s="15" t="str">
        <f t="shared" si="23"/>
        <v>Achived</v>
      </c>
    </row>
    <row r="198" spans="1:26">
      <c r="A198" s="13" t="s">
        <v>289</v>
      </c>
      <c r="B198" s="14">
        <v>45988</v>
      </c>
      <c r="C198" s="13" t="s">
        <v>36</v>
      </c>
      <c r="D198" s="13" t="s">
        <v>44</v>
      </c>
      <c r="E198" s="13" t="s">
        <v>143</v>
      </c>
      <c r="F198" s="13" t="s">
        <v>75</v>
      </c>
      <c r="G198" s="13" t="s">
        <v>76</v>
      </c>
      <c r="H198" s="13" t="s">
        <v>77</v>
      </c>
      <c r="I198" s="13" t="s">
        <v>46</v>
      </c>
      <c r="J198" s="13">
        <v>4</v>
      </c>
      <c r="K198" s="13">
        <v>114.09</v>
      </c>
      <c r="L198" s="13">
        <v>0.1</v>
      </c>
      <c r="M198" s="13">
        <v>410.72</v>
      </c>
      <c r="N198" s="13">
        <v>320.93</v>
      </c>
      <c r="O198" s="13">
        <v>89.79</v>
      </c>
      <c r="P198" s="13">
        <v>4.3</v>
      </c>
      <c r="Q198" s="13" t="s">
        <v>71</v>
      </c>
      <c r="R198" s="13">
        <v>2025</v>
      </c>
      <c r="S198" s="15" t="str">
        <f t="shared" si="18"/>
        <v>Low Profit</v>
      </c>
      <c r="T198" s="15" t="str">
        <f t="shared" si="19"/>
        <v>Low Sales</v>
      </c>
      <c r="U198" s="15" t="str">
        <f t="shared" si="20"/>
        <v>Good</v>
      </c>
      <c r="V198" s="15" t="str">
        <f t="shared" si="21"/>
        <v>Normal Discount</v>
      </c>
      <c r="W198" s="15">
        <f>VLOOKUP(D198,Lookup_Table!$A:$C,2,FALSE)</f>
        <v>0.18</v>
      </c>
      <c r="X198" s="15">
        <f t="shared" si="22"/>
        <v>0.218616088819634</v>
      </c>
      <c r="Y198" s="15" t="str">
        <f>VLOOKUP(D198,Lookup_Table!A:C,3,0)</f>
        <v>Amit</v>
      </c>
      <c r="Z198" s="15" t="str">
        <f t="shared" si="23"/>
        <v>Achived</v>
      </c>
    </row>
    <row r="199" spans="1:26">
      <c r="A199" s="13" t="s">
        <v>290</v>
      </c>
      <c r="B199" s="14">
        <v>45665</v>
      </c>
      <c r="C199" s="13" t="s">
        <v>55</v>
      </c>
      <c r="D199" s="13" t="s">
        <v>44</v>
      </c>
      <c r="E199" s="13" t="s">
        <v>45</v>
      </c>
      <c r="F199" s="13" t="s">
        <v>116</v>
      </c>
      <c r="G199" s="13" t="s">
        <v>117</v>
      </c>
      <c r="H199" s="13" t="s">
        <v>32</v>
      </c>
      <c r="I199" s="13" t="s">
        <v>52</v>
      </c>
      <c r="J199" s="13">
        <v>3</v>
      </c>
      <c r="K199" s="13">
        <v>288.31</v>
      </c>
      <c r="L199" s="13">
        <v>0.2</v>
      </c>
      <c r="M199" s="13">
        <v>691.94</v>
      </c>
      <c r="N199" s="13">
        <v>540.66</v>
      </c>
      <c r="O199" s="13">
        <v>151.28</v>
      </c>
      <c r="P199" s="13">
        <v>5</v>
      </c>
      <c r="Q199" s="13" t="s">
        <v>64</v>
      </c>
      <c r="R199" s="13">
        <v>2025</v>
      </c>
      <c r="S199" s="15" t="str">
        <f t="shared" si="18"/>
        <v>Low Profit</v>
      </c>
      <c r="T199" s="15" t="str">
        <f t="shared" si="19"/>
        <v>Low Sales</v>
      </c>
      <c r="U199" s="15" t="str">
        <f t="shared" si="20"/>
        <v>Good</v>
      </c>
      <c r="V199" s="15" t="str">
        <f t="shared" si="21"/>
        <v>High Discount</v>
      </c>
      <c r="W199" s="15">
        <f>VLOOKUP(D199,Lookup_Table!$A:$C,2,FALSE)</f>
        <v>0.18</v>
      </c>
      <c r="X199" s="15">
        <f t="shared" si="22"/>
        <v>0.218631673266468</v>
      </c>
      <c r="Y199" s="15" t="str">
        <f>VLOOKUP(D199,Lookup_Table!A:C,3,0)</f>
        <v>Amit</v>
      </c>
      <c r="Z199" s="15" t="str">
        <f t="shared" si="23"/>
        <v>Achived</v>
      </c>
    </row>
    <row r="200" spans="1:26">
      <c r="A200" s="13" t="s">
        <v>291</v>
      </c>
      <c r="B200" s="14">
        <v>45992</v>
      </c>
      <c r="C200" s="13" t="s">
        <v>55</v>
      </c>
      <c r="D200" s="13" t="s">
        <v>37</v>
      </c>
      <c r="E200" s="13" t="s">
        <v>109</v>
      </c>
      <c r="F200" s="13" t="s">
        <v>62</v>
      </c>
      <c r="G200" s="13" t="s">
        <v>63</v>
      </c>
      <c r="H200" s="13" t="s">
        <v>32</v>
      </c>
      <c r="I200" s="13" t="s">
        <v>52</v>
      </c>
      <c r="J200" s="13">
        <v>5</v>
      </c>
      <c r="K200" s="13">
        <v>409.19</v>
      </c>
      <c r="L200" s="13">
        <v>0</v>
      </c>
      <c r="M200" s="13">
        <v>2045.95</v>
      </c>
      <c r="N200" s="13">
        <v>1598.16</v>
      </c>
      <c r="O200" s="13">
        <v>447.79</v>
      </c>
      <c r="P200" s="13">
        <v>4.3</v>
      </c>
      <c r="Q200" s="13" t="s">
        <v>34</v>
      </c>
      <c r="R200" s="13">
        <v>2025</v>
      </c>
      <c r="S200" s="15" t="str">
        <f t="shared" si="18"/>
        <v>Low Profit</v>
      </c>
      <c r="T200" s="15" t="str">
        <f t="shared" si="19"/>
        <v>High Sales</v>
      </c>
      <c r="U200" s="15" t="str">
        <f t="shared" si="20"/>
        <v>Good</v>
      </c>
      <c r="V200" s="15" t="str">
        <f t="shared" si="21"/>
        <v>Normal Discount</v>
      </c>
      <c r="W200" s="15">
        <f>VLOOKUP(D200,Lookup_Table!$A:$C,2,FALSE)</f>
        <v>0.16</v>
      </c>
      <c r="X200" s="15">
        <f t="shared" si="22"/>
        <v>0.218866541215572</v>
      </c>
      <c r="Y200" s="15" t="str">
        <f>VLOOKUP(D200,Lookup_Table!A:C,3,0)</f>
        <v>Vikram</v>
      </c>
      <c r="Z200" s="15" t="str">
        <f t="shared" si="23"/>
        <v>Achived</v>
      </c>
    </row>
    <row r="201" spans="1:26">
      <c r="A201" s="13" t="s">
        <v>292</v>
      </c>
      <c r="B201" s="14">
        <v>45964</v>
      </c>
      <c r="C201" s="13" t="s">
        <v>55</v>
      </c>
      <c r="D201" s="13" t="s">
        <v>60</v>
      </c>
      <c r="E201" s="13" t="s">
        <v>127</v>
      </c>
      <c r="F201" s="13" t="s">
        <v>30</v>
      </c>
      <c r="G201" s="13" t="s">
        <v>31</v>
      </c>
      <c r="H201" s="13" t="s">
        <v>32</v>
      </c>
      <c r="I201" s="13" t="s">
        <v>52</v>
      </c>
      <c r="J201" s="13">
        <v>5</v>
      </c>
      <c r="K201" s="13">
        <v>669.91</v>
      </c>
      <c r="L201" s="13">
        <v>0.1</v>
      </c>
      <c r="M201" s="13">
        <v>3014.6</v>
      </c>
      <c r="N201" s="13">
        <v>2354.38</v>
      </c>
      <c r="O201" s="13">
        <v>660.22</v>
      </c>
      <c r="P201" s="13">
        <v>3.8</v>
      </c>
      <c r="Q201" s="13" t="s">
        <v>71</v>
      </c>
      <c r="R201" s="13">
        <v>2025</v>
      </c>
      <c r="S201" s="15" t="str">
        <f t="shared" si="18"/>
        <v>High Profit</v>
      </c>
      <c r="T201" s="15" t="str">
        <f t="shared" si="19"/>
        <v>High Sales</v>
      </c>
      <c r="U201" s="15" t="str">
        <f t="shared" si="20"/>
        <v>Needs Improvement</v>
      </c>
      <c r="V201" s="15" t="str">
        <f t="shared" si="21"/>
        <v>Normal Discount</v>
      </c>
      <c r="W201" s="15">
        <f>VLOOKUP(D201,Lookup_Table!$A:$C,2,FALSE)</f>
        <v>0.15</v>
      </c>
      <c r="X201" s="15">
        <f t="shared" si="22"/>
        <v>0.21900749684867</v>
      </c>
      <c r="Y201" s="15" t="str">
        <f>VLOOKUP(D201,Lookup_Table!A:C,3,0)</f>
        <v>Priya</v>
      </c>
      <c r="Z201" s="15" t="str">
        <f t="shared" si="23"/>
        <v>Achived</v>
      </c>
    </row>
    <row r="202" spans="1:26">
      <c r="A202" s="13" t="s">
        <v>293</v>
      </c>
      <c r="B202" s="14">
        <v>45711</v>
      </c>
      <c r="C202" s="13" t="s">
        <v>36</v>
      </c>
      <c r="D202" s="13" t="s">
        <v>80</v>
      </c>
      <c r="E202" s="13" t="s">
        <v>191</v>
      </c>
      <c r="F202" s="13" t="s">
        <v>67</v>
      </c>
      <c r="G202" s="13" t="s">
        <v>68</v>
      </c>
      <c r="H202" s="13" t="s">
        <v>69</v>
      </c>
      <c r="I202" s="13" t="s">
        <v>96</v>
      </c>
      <c r="J202" s="13">
        <v>6</v>
      </c>
      <c r="K202" s="13">
        <v>77.47</v>
      </c>
      <c r="L202" s="13">
        <v>0.05</v>
      </c>
      <c r="M202" s="13">
        <v>441.58</v>
      </c>
      <c r="N202" s="13">
        <v>344.84</v>
      </c>
      <c r="O202" s="13">
        <v>96.74</v>
      </c>
      <c r="P202" s="13">
        <v>4.9</v>
      </c>
      <c r="Q202" s="13" t="s">
        <v>105</v>
      </c>
      <c r="R202" s="13">
        <v>2025</v>
      </c>
      <c r="S202" s="15" t="str">
        <f t="shared" si="18"/>
        <v>Low Profit</v>
      </c>
      <c r="T202" s="15" t="str">
        <f t="shared" si="19"/>
        <v>Low Sales</v>
      </c>
      <c r="U202" s="15" t="str">
        <f t="shared" si="20"/>
        <v>Good</v>
      </c>
      <c r="V202" s="15" t="str">
        <f t="shared" si="21"/>
        <v>Normal Discount</v>
      </c>
      <c r="W202" s="15">
        <f>VLOOKUP(D202,Lookup_Table!$A:$C,2,FALSE)</f>
        <v>0.12</v>
      </c>
      <c r="X202" s="15">
        <f t="shared" si="22"/>
        <v>0.219076950948865</v>
      </c>
      <c r="Y202" s="15" t="str">
        <f>VLOOKUP(D202,Lookup_Table!A:C,3,0)</f>
        <v>Rahul</v>
      </c>
      <c r="Z202" s="15" t="str">
        <f t="shared" si="23"/>
        <v>Achived</v>
      </c>
    </row>
    <row r="203" spans="1:26">
      <c r="A203" s="13" t="s">
        <v>294</v>
      </c>
      <c r="B203" s="14">
        <v>45686</v>
      </c>
      <c r="C203" s="13" t="s">
        <v>55</v>
      </c>
      <c r="D203" s="13" t="s">
        <v>60</v>
      </c>
      <c r="E203" s="13" t="s">
        <v>66</v>
      </c>
      <c r="F203" s="13" t="s">
        <v>98</v>
      </c>
      <c r="G203" s="13" t="s">
        <v>99</v>
      </c>
      <c r="H203" s="13" t="s">
        <v>77</v>
      </c>
      <c r="I203" s="13" t="s">
        <v>52</v>
      </c>
      <c r="J203" s="13">
        <v>2</v>
      </c>
      <c r="K203" s="13">
        <v>825.88</v>
      </c>
      <c r="L203" s="13">
        <v>0</v>
      </c>
      <c r="M203" s="13">
        <v>1651.76</v>
      </c>
      <c r="N203" s="13">
        <v>1289.08</v>
      </c>
      <c r="O203" s="13">
        <v>362.68</v>
      </c>
      <c r="P203" s="13">
        <v>4</v>
      </c>
      <c r="Q203" s="13" t="s">
        <v>64</v>
      </c>
      <c r="R203" s="13">
        <v>2025</v>
      </c>
      <c r="S203" s="15" t="str">
        <f t="shared" si="18"/>
        <v>Low Profit</v>
      </c>
      <c r="T203" s="15" t="str">
        <f t="shared" si="19"/>
        <v>High Sales</v>
      </c>
      <c r="U203" s="15" t="str">
        <f t="shared" si="20"/>
        <v>Good</v>
      </c>
      <c r="V203" s="15" t="str">
        <f t="shared" si="21"/>
        <v>Normal Discount</v>
      </c>
      <c r="W203" s="15">
        <f>VLOOKUP(D203,Lookup_Table!$A:$C,2,FALSE)</f>
        <v>0.15</v>
      </c>
      <c r="X203" s="15">
        <f t="shared" si="22"/>
        <v>0.219571850632053</v>
      </c>
      <c r="Y203" s="15" t="str">
        <f>VLOOKUP(D203,Lookup_Table!A:C,3,0)</f>
        <v>Priya</v>
      </c>
      <c r="Z203" s="15" t="str">
        <f t="shared" si="23"/>
        <v>Achived</v>
      </c>
    </row>
    <row r="204" spans="1:26">
      <c r="A204" s="13" t="s">
        <v>295</v>
      </c>
      <c r="B204" s="14">
        <v>45713</v>
      </c>
      <c r="C204" s="13" t="s">
        <v>36</v>
      </c>
      <c r="D204" s="13" t="s">
        <v>80</v>
      </c>
      <c r="E204" s="13" t="s">
        <v>101</v>
      </c>
      <c r="F204" s="13" t="s">
        <v>111</v>
      </c>
      <c r="G204" s="13" t="s">
        <v>76</v>
      </c>
      <c r="H204" s="13" t="s">
        <v>77</v>
      </c>
      <c r="I204" s="13" t="s">
        <v>52</v>
      </c>
      <c r="J204" s="13">
        <v>6</v>
      </c>
      <c r="K204" s="13">
        <v>21.85</v>
      </c>
      <c r="L204" s="13">
        <v>0.1</v>
      </c>
      <c r="M204" s="13">
        <v>117.99</v>
      </c>
      <c r="N204" s="13">
        <v>92.04</v>
      </c>
      <c r="O204" s="13">
        <v>25.95</v>
      </c>
      <c r="P204" s="13">
        <v>4.8</v>
      </c>
      <c r="Q204" s="13" t="s">
        <v>105</v>
      </c>
      <c r="R204" s="13">
        <v>2025</v>
      </c>
      <c r="S204" s="15" t="str">
        <f t="shared" si="18"/>
        <v>Low Profit</v>
      </c>
      <c r="T204" s="15" t="str">
        <f t="shared" si="19"/>
        <v>Low Sales</v>
      </c>
      <c r="U204" s="15" t="str">
        <f t="shared" si="20"/>
        <v>Good</v>
      </c>
      <c r="V204" s="15" t="str">
        <f t="shared" si="21"/>
        <v>Normal Discount</v>
      </c>
      <c r="W204" s="15">
        <f>VLOOKUP(D204,Lookup_Table!$A:$C,2,FALSE)</f>
        <v>0.12</v>
      </c>
      <c r="X204" s="15">
        <f t="shared" si="22"/>
        <v>0.219933892702771</v>
      </c>
      <c r="Y204" s="15" t="str">
        <f>VLOOKUP(D204,Lookup_Table!A:C,3,0)</f>
        <v>Rahul</v>
      </c>
      <c r="Z204" s="15" t="str">
        <f t="shared" si="23"/>
        <v>Achived</v>
      </c>
    </row>
    <row r="205" spans="1:26">
      <c r="A205" s="13" t="s">
        <v>296</v>
      </c>
      <c r="B205" s="14">
        <v>45972</v>
      </c>
      <c r="C205" s="13" t="s">
        <v>27</v>
      </c>
      <c r="D205" s="13" t="s">
        <v>44</v>
      </c>
      <c r="E205" s="13" t="s">
        <v>45</v>
      </c>
      <c r="F205" s="13" t="s">
        <v>116</v>
      </c>
      <c r="G205" s="13" t="s">
        <v>117</v>
      </c>
      <c r="H205" s="13" t="s">
        <v>32</v>
      </c>
      <c r="I205" s="13" t="s">
        <v>33</v>
      </c>
      <c r="J205" s="13">
        <v>4</v>
      </c>
      <c r="K205" s="13">
        <v>623.55</v>
      </c>
      <c r="L205" s="13">
        <v>0</v>
      </c>
      <c r="M205" s="13">
        <v>2494.2</v>
      </c>
      <c r="N205" s="13">
        <v>1945.2</v>
      </c>
      <c r="O205" s="13">
        <v>549</v>
      </c>
      <c r="P205" s="13">
        <v>4</v>
      </c>
      <c r="Q205" s="13" t="s">
        <v>71</v>
      </c>
      <c r="R205" s="13">
        <v>2025</v>
      </c>
      <c r="S205" s="15" t="str">
        <f t="shared" si="18"/>
        <v>High Profit</v>
      </c>
      <c r="T205" s="15" t="str">
        <f t="shared" si="19"/>
        <v>High Sales</v>
      </c>
      <c r="U205" s="15" t="str">
        <f t="shared" si="20"/>
        <v>Good</v>
      </c>
      <c r="V205" s="15" t="str">
        <f t="shared" si="21"/>
        <v>Normal Discount</v>
      </c>
      <c r="W205" s="15">
        <f>VLOOKUP(D205,Lookup_Table!$A:$C,2,FALSE)</f>
        <v>0.18</v>
      </c>
      <c r="X205" s="15">
        <f t="shared" si="22"/>
        <v>0.220110656723599</v>
      </c>
      <c r="Y205" s="15" t="str">
        <f>VLOOKUP(D205,Lookup_Table!A:C,3,0)</f>
        <v>Amit</v>
      </c>
      <c r="Z205" s="15" t="str">
        <f t="shared" si="23"/>
        <v>Achived</v>
      </c>
    </row>
    <row r="206" spans="1:26">
      <c r="A206" s="13" t="s">
        <v>297</v>
      </c>
      <c r="B206" s="14">
        <v>45896</v>
      </c>
      <c r="C206" s="13" t="s">
        <v>55</v>
      </c>
      <c r="D206" s="13" t="s">
        <v>28</v>
      </c>
      <c r="E206" s="13" t="s">
        <v>49</v>
      </c>
      <c r="F206" s="13" t="s">
        <v>111</v>
      </c>
      <c r="G206" s="13" t="s">
        <v>76</v>
      </c>
      <c r="H206" s="13" t="s">
        <v>77</v>
      </c>
      <c r="I206" s="13" t="s">
        <v>52</v>
      </c>
      <c r="J206" s="13">
        <v>3</v>
      </c>
      <c r="K206" s="13">
        <v>69.26</v>
      </c>
      <c r="L206" s="13">
        <v>0.15</v>
      </c>
      <c r="M206" s="13">
        <v>176.61</v>
      </c>
      <c r="N206" s="13">
        <v>137.73</v>
      </c>
      <c r="O206" s="13">
        <v>38.88</v>
      </c>
      <c r="P206" s="13">
        <v>3.2</v>
      </c>
      <c r="Q206" s="13" t="s">
        <v>47</v>
      </c>
      <c r="R206" s="13">
        <v>2025</v>
      </c>
      <c r="S206" s="15" t="str">
        <f t="shared" si="18"/>
        <v>Low Profit</v>
      </c>
      <c r="T206" s="15" t="str">
        <f t="shared" si="19"/>
        <v>Low Sales</v>
      </c>
      <c r="U206" s="15" t="str">
        <f t="shared" si="20"/>
        <v>Needs Improvement</v>
      </c>
      <c r="V206" s="15" t="str">
        <f t="shared" si="21"/>
        <v>High Discount</v>
      </c>
      <c r="W206" s="15">
        <f>VLOOKUP(D206,Lookup_Table!$A:$C,2,FALSE)</f>
        <v>0.2</v>
      </c>
      <c r="X206" s="15">
        <f t="shared" si="22"/>
        <v>0.220146084593171</v>
      </c>
      <c r="Y206" s="15" t="str">
        <f>VLOOKUP(D206,Lookup_Table!A:C,3,0)</f>
        <v>Sneha</v>
      </c>
      <c r="Z206" s="15" t="str">
        <f t="shared" si="23"/>
        <v>Achived</v>
      </c>
    </row>
    <row r="207" spans="1:26">
      <c r="A207" s="13" t="s">
        <v>298</v>
      </c>
      <c r="B207" s="14">
        <v>45820</v>
      </c>
      <c r="C207" s="13" t="s">
        <v>55</v>
      </c>
      <c r="D207" s="13" t="s">
        <v>80</v>
      </c>
      <c r="E207" s="13" t="s">
        <v>191</v>
      </c>
      <c r="F207" s="13" t="s">
        <v>75</v>
      </c>
      <c r="G207" s="13" t="s">
        <v>76</v>
      </c>
      <c r="H207" s="13" t="s">
        <v>77</v>
      </c>
      <c r="I207" s="13" t="s">
        <v>96</v>
      </c>
      <c r="J207" s="13">
        <v>6</v>
      </c>
      <c r="K207" s="13">
        <v>69.62</v>
      </c>
      <c r="L207" s="13">
        <v>0.2</v>
      </c>
      <c r="M207" s="13">
        <v>334.18</v>
      </c>
      <c r="N207" s="13">
        <v>260.5</v>
      </c>
      <c r="O207" s="13">
        <v>73.68</v>
      </c>
      <c r="P207" s="13">
        <v>2.9</v>
      </c>
      <c r="Q207" s="13" t="s">
        <v>58</v>
      </c>
      <c r="R207" s="13">
        <v>2025</v>
      </c>
      <c r="S207" s="15" t="str">
        <f t="shared" si="18"/>
        <v>Low Profit</v>
      </c>
      <c r="T207" s="15" t="str">
        <f t="shared" si="19"/>
        <v>Low Sales</v>
      </c>
      <c r="U207" s="15" t="str">
        <f t="shared" si="20"/>
        <v>Needs Improvement</v>
      </c>
      <c r="V207" s="15" t="str">
        <f t="shared" si="21"/>
        <v>High Discount</v>
      </c>
      <c r="W207" s="15">
        <f>VLOOKUP(D207,Lookup_Table!$A:$C,2,FALSE)</f>
        <v>0.12</v>
      </c>
      <c r="X207" s="15">
        <f t="shared" si="22"/>
        <v>0.220479980848644</v>
      </c>
      <c r="Y207" s="15" t="str">
        <f>VLOOKUP(D207,Lookup_Table!A:C,3,0)</f>
        <v>Rahul</v>
      </c>
      <c r="Z207" s="15" t="str">
        <f t="shared" si="23"/>
        <v>Achived</v>
      </c>
    </row>
    <row r="208" spans="1:26">
      <c r="A208" s="13" t="s">
        <v>299</v>
      </c>
      <c r="B208" s="14">
        <v>45659</v>
      </c>
      <c r="C208" s="13" t="s">
        <v>55</v>
      </c>
      <c r="D208" s="13" t="s">
        <v>37</v>
      </c>
      <c r="E208" s="13" t="s">
        <v>38</v>
      </c>
      <c r="F208" s="13" t="s">
        <v>82</v>
      </c>
      <c r="G208" s="13" t="s">
        <v>83</v>
      </c>
      <c r="H208" s="13" t="s">
        <v>77</v>
      </c>
      <c r="I208" s="13" t="s">
        <v>52</v>
      </c>
      <c r="J208" s="13">
        <v>4</v>
      </c>
      <c r="K208" s="13">
        <v>442.07</v>
      </c>
      <c r="L208" s="13">
        <v>0.05</v>
      </c>
      <c r="M208" s="13">
        <v>1679.87</v>
      </c>
      <c r="N208" s="13">
        <v>1308.6</v>
      </c>
      <c r="O208" s="13">
        <v>371.27</v>
      </c>
      <c r="P208" s="13">
        <v>2.9</v>
      </c>
      <c r="Q208" s="13" t="s">
        <v>64</v>
      </c>
      <c r="R208" s="13">
        <v>2025</v>
      </c>
      <c r="S208" s="15" t="str">
        <f t="shared" si="18"/>
        <v>Low Profit</v>
      </c>
      <c r="T208" s="15" t="str">
        <f t="shared" si="19"/>
        <v>High Sales</v>
      </c>
      <c r="U208" s="15" t="str">
        <f t="shared" si="20"/>
        <v>Needs Improvement</v>
      </c>
      <c r="V208" s="15" t="str">
        <f t="shared" si="21"/>
        <v>Normal Discount</v>
      </c>
      <c r="W208" s="15">
        <f>VLOOKUP(D208,Lookup_Table!$A:$C,2,FALSE)</f>
        <v>0.16</v>
      </c>
      <c r="X208" s="15">
        <f t="shared" si="22"/>
        <v>0.221011149672296</v>
      </c>
      <c r="Y208" s="15" t="str">
        <f>VLOOKUP(D208,Lookup_Table!A:C,3,0)</f>
        <v>Vikram</v>
      </c>
      <c r="Z208" s="15" t="str">
        <f t="shared" si="23"/>
        <v>Achived</v>
      </c>
    </row>
    <row r="209" spans="1:26">
      <c r="A209" s="13" t="s">
        <v>300</v>
      </c>
      <c r="B209" s="14">
        <v>45743</v>
      </c>
      <c r="C209" s="13" t="s">
        <v>55</v>
      </c>
      <c r="D209" s="13" t="s">
        <v>28</v>
      </c>
      <c r="E209" s="13" t="s">
        <v>49</v>
      </c>
      <c r="F209" s="13" t="s">
        <v>75</v>
      </c>
      <c r="G209" s="13" t="s">
        <v>76</v>
      </c>
      <c r="H209" s="13" t="s">
        <v>77</v>
      </c>
      <c r="I209" s="13" t="s">
        <v>96</v>
      </c>
      <c r="J209" s="13">
        <v>6</v>
      </c>
      <c r="K209" s="13">
        <v>122.03</v>
      </c>
      <c r="L209" s="13">
        <v>0.1</v>
      </c>
      <c r="M209" s="13">
        <v>658.96</v>
      </c>
      <c r="N209" s="13">
        <v>513.07</v>
      </c>
      <c r="O209" s="13">
        <v>145.89</v>
      </c>
      <c r="P209" s="13">
        <v>3.8</v>
      </c>
      <c r="Q209" s="13" t="s">
        <v>94</v>
      </c>
      <c r="R209" s="13">
        <v>2025</v>
      </c>
      <c r="S209" s="15" t="str">
        <f t="shared" si="18"/>
        <v>Low Profit</v>
      </c>
      <c r="T209" s="15" t="str">
        <f t="shared" si="19"/>
        <v>Low Sales</v>
      </c>
      <c r="U209" s="15" t="str">
        <f t="shared" si="20"/>
        <v>Needs Improvement</v>
      </c>
      <c r="V209" s="15" t="str">
        <f t="shared" si="21"/>
        <v>Normal Discount</v>
      </c>
      <c r="W209" s="15">
        <f>VLOOKUP(D209,Lookup_Table!$A:$C,2,FALSE)</f>
        <v>0.2</v>
      </c>
      <c r="X209" s="15">
        <f t="shared" si="22"/>
        <v>0.221394318319777</v>
      </c>
      <c r="Y209" s="15" t="str">
        <f>VLOOKUP(D209,Lookup_Table!A:C,3,0)</f>
        <v>Sneha</v>
      </c>
      <c r="Z209" s="15" t="str">
        <f t="shared" si="23"/>
        <v>Achived</v>
      </c>
    </row>
    <row r="210" spans="1:26">
      <c r="A210" s="13" t="s">
        <v>301</v>
      </c>
      <c r="B210" s="14">
        <v>45871</v>
      </c>
      <c r="C210" s="13" t="s">
        <v>27</v>
      </c>
      <c r="D210" s="13" t="s">
        <v>60</v>
      </c>
      <c r="E210" s="13" t="s">
        <v>127</v>
      </c>
      <c r="F210" s="13" t="s">
        <v>50</v>
      </c>
      <c r="G210" s="13" t="s">
        <v>51</v>
      </c>
      <c r="H210" s="13" t="s">
        <v>32</v>
      </c>
      <c r="I210" s="13" t="s">
        <v>96</v>
      </c>
      <c r="J210" s="13">
        <v>2</v>
      </c>
      <c r="K210" s="13">
        <v>303.36</v>
      </c>
      <c r="L210" s="13">
        <v>0.2</v>
      </c>
      <c r="M210" s="13">
        <v>485.38</v>
      </c>
      <c r="N210" s="13">
        <v>377.69</v>
      </c>
      <c r="O210" s="13">
        <v>107.69</v>
      </c>
      <c r="P210" s="13">
        <v>3.3</v>
      </c>
      <c r="Q210" s="13" t="s">
        <v>47</v>
      </c>
      <c r="R210" s="13">
        <v>2025</v>
      </c>
      <c r="S210" s="15" t="str">
        <f t="shared" si="18"/>
        <v>Low Profit</v>
      </c>
      <c r="T210" s="15" t="str">
        <f t="shared" si="19"/>
        <v>Low Sales</v>
      </c>
      <c r="U210" s="15" t="str">
        <f t="shared" si="20"/>
        <v>Needs Improvement</v>
      </c>
      <c r="V210" s="15" t="str">
        <f t="shared" si="21"/>
        <v>High Discount</v>
      </c>
      <c r="W210" s="15">
        <f>VLOOKUP(D210,Lookup_Table!$A:$C,2,FALSE)</f>
        <v>0.15</v>
      </c>
      <c r="X210" s="15">
        <f t="shared" si="22"/>
        <v>0.221867402859615</v>
      </c>
      <c r="Y210" s="15" t="str">
        <f>VLOOKUP(D210,Lookup_Table!A:C,3,0)</f>
        <v>Priya</v>
      </c>
      <c r="Z210" s="15" t="str">
        <f t="shared" si="23"/>
        <v>Achived</v>
      </c>
    </row>
    <row r="211" spans="1:26">
      <c r="A211" s="13" t="s">
        <v>302</v>
      </c>
      <c r="B211" s="14">
        <v>45878</v>
      </c>
      <c r="C211" s="13" t="s">
        <v>27</v>
      </c>
      <c r="D211" s="13" t="s">
        <v>60</v>
      </c>
      <c r="E211" s="13" t="s">
        <v>127</v>
      </c>
      <c r="F211" s="13" t="s">
        <v>39</v>
      </c>
      <c r="G211" s="13" t="s">
        <v>40</v>
      </c>
      <c r="H211" s="13" t="s">
        <v>41</v>
      </c>
      <c r="I211" s="13" t="s">
        <v>96</v>
      </c>
      <c r="J211" s="13">
        <v>3</v>
      </c>
      <c r="K211" s="13">
        <v>896.37</v>
      </c>
      <c r="L211" s="13">
        <v>0.15</v>
      </c>
      <c r="M211" s="13">
        <v>2285.74</v>
      </c>
      <c r="N211" s="13">
        <v>1777.2</v>
      </c>
      <c r="O211" s="13">
        <v>508.54</v>
      </c>
      <c r="P211" s="13">
        <v>3.5</v>
      </c>
      <c r="Q211" s="13" t="s">
        <v>47</v>
      </c>
      <c r="R211" s="13">
        <v>2025</v>
      </c>
      <c r="S211" s="15" t="str">
        <f t="shared" si="18"/>
        <v>High Profit</v>
      </c>
      <c r="T211" s="15" t="str">
        <f t="shared" si="19"/>
        <v>High Sales</v>
      </c>
      <c r="U211" s="15" t="str">
        <f t="shared" si="20"/>
        <v>Needs Improvement</v>
      </c>
      <c r="V211" s="15" t="str">
        <f t="shared" si="21"/>
        <v>High Discount</v>
      </c>
      <c r="W211" s="15">
        <f>VLOOKUP(D211,Lookup_Table!$A:$C,2,FALSE)</f>
        <v>0.15</v>
      </c>
      <c r="X211" s="15">
        <f t="shared" si="22"/>
        <v>0.222483747057846</v>
      </c>
      <c r="Y211" s="15" t="str">
        <f>VLOOKUP(D211,Lookup_Table!A:C,3,0)</f>
        <v>Priya</v>
      </c>
      <c r="Z211" s="15" t="str">
        <f t="shared" si="23"/>
        <v>Achived</v>
      </c>
    </row>
    <row r="212" spans="1:26">
      <c r="A212" s="13" t="s">
        <v>303</v>
      </c>
      <c r="B212" s="14">
        <v>45897</v>
      </c>
      <c r="C212" s="13" t="s">
        <v>36</v>
      </c>
      <c r="D212" s="13" t="s">
        <v>44</v>
      </c>
      <c r="E212" s="13" t="s">
        <v>104</v>
      </c>
      <c r="F212" s="13" t="s">
        <v>39</v>
      </c>
      <c r="G212" s="13" t="s">
        <v>40</v>
      </c>
      <c r="H212" s="13" t="s">
        <v>41</v>
      </c>
      <c r="I212" s="13" t="s">
        <v>33</v>
      </c>
      <c r="J212" s="13">
        <v>1</v>
      </c>
      <c r="K212" s="13">
        <v>1451.21</v>
      </c>
      <c r="L212" s="13">
        <v>0.1</v>
      </c>
      <c r="M212" s="13">
        <v>1306.09</v>
      </c>
      <c r="N212" s="13">
        <v>1013.71</v>
      </c>
      <c r="O212" s="13">
        <v>292.38</v>
      </c>
      <c r="P212" s="13">
        <v>3.3</v>
      </c>
      <c r="Q212" s="13" t="s">
        <v>47</v>
      </c>
      <c r="R212" s="13">
        <v>2025</v>
      </c>
      <c r="S212" s="15" t="str">
        <f t="shared" si="18"/>
        <v>Low Profit</v>
      </c>
      <c r="T212" s="15" t="str">
        <f t="shared" si="19"/>
        <v>High Sales</v>
      </c>
      <c r="U212" s="15" t="str">
        <f t="shared" si="20"/>
        <v>Needs Improvement</v>
      </c>
      <c r="V212" s="15" t="str">
        <f t="shared" si="21"/>
        <v>Normal Discount</v>
      </c>
      <c r="W212" s="15">
        <f>VLOOKUP(D212,Lookup_Table!$A:$C,2,FALSE)</f>
        <v>0.18</v>
      </c>
      <c r="X212" s="15">
        <f t="shared" si="22"/>
        <v>0.223858998997006</v>
      </c>
      <c r="Y212" s="15" t="str">
        <f>VLOOKUP(D212,Lookup_Table!A:C,3,0)</f>
        <v>Amit</v>
      </c>
      <c r="Z212" s="15" t="str">
        <f t="shared" si="23"/>
        <v>Achived</v>
      </c>
    </row>
    <row r="213" spans="1:26">
      <c r="A213" s="13" t="s">
        <v>304</v>
      </c>
      <c r="B213" s="14">
        <v>45983</v>
      </c>
      <c r="C213" s="13" t="s">
        <v>27</v>
      </c>
      <c r="D213" s="13" t="s">
        <v>37</v>
      </c>
      <c r="E213" s="13" t="s">
        <v>38</v>
      </c>
      <c r="F213" s="13" t="s">
        <v>111</v>
      </c>
      <c r="G213" s="13" t="s">
        <v>76</v>
      </c>
      <c r="H213" s="13" t="s">
        <v>77</v>
      </c>
      <c r="I213" s="13" t="s">
        <v>52</v>
      </c>
      <c r="J213" s="13">
        <v>2</v>
      </c>
      <c r="K213" s="13">
        <v>46.45</v>
      </c>
      <c r="L213" s="13">
        <v>0.05</v>
      </c>
      <c r="M213" s="13">
        <v>88.26</v>
      </c>
      <c r="N213" s="13">
        <v>68.49</v>
      </c>
      <c r="O213" s="13">
        <v>19.77</v>
      </c>
      <c r="P213" s="13">
        <v>3.6</v>
      </c>
      <c r="Q213" s="13" t="s">
        <v>71</v>
      </c>
      <c r="R213" s="13">
        <v>2025</v>
      </c>
      <c r="S213" s="15" t="str">
        <f t="shared" si="18"/>
        <v>Low Profit</v>
      </c>
      <c r="T213" s="15" t="str">
        <f t="shared" si="19"/>
        <v>Low Sales</v>
      </c>
      <c r="U213" s="15" t="str">
        <f t="shared" si="20"/>
        <v>Needs Improvement</v>
      </c>
      <c r="V213" s="15" t="str">
        <f t="shared" si="21"/>
        <v>Normal Discount</v>
      </c>
      <c r="W213" s="15">
        <f>VLOOKUP(D213,Lookup_Table!$A:$C,2,FALSE)</f>
        <v>0.16</v>
      </c>
      <c r="X213" s="15">
        <f t="shared" si="22"/>
        <v>0.223997280761387</v>
      </c>
      <c r="Y213" s="15" t="str">
        <f>VLOOKUP(D213,Lookup_Table!A:C,3,0)</f>
        <v>Vikram</v>
      </c>
      <c r="Z213" s="15" t="str">
        <f t="shared" si="23"/>
        <v>Achived</v>
      </c>
    </row>
    <row r="214" spans="1:26">
      <c r="A214" s="13" t="s">
        <v>305</v>
      </c>
      <c r="B214" s="14">
        <v>45670</v>
      </c>
      <c r="C214" s="13" t="s">
        <v>27</v>
      </c>
      <c r="D214" s="13" t="s">
        <v>28</v>
      </c>
      <c r="E214" s="13" t="s">
        <v>49</v>
      </c>
      <c r="F214" s="13" t="s">
        <v>62</v>
      </c>
      <c r="G214" s="13" t="s">
        <v>63</v>
      </c>
      <c r="H214" s="13" t="s">
        <v>32</v>
      </c>
      <c r="I214" s="13" t="s">
        <v>33</v>
      </c>
      <c r="J214" s="13">
        <v>6</v>
      </c>
      <c r="K214" s="13">
        <v>22.27</v>
      </c>
      <c r="L214" s="13">
        <v>0</v>
      </c>
      <c r="M214" s="13">
        <v>133.62</v>
      </c>
      <c r="N214" s="13">
        <v>103.66</v>
      </c>
      <c r="O214" s="13">
        <v>29.96</v>
      </c>
      <c r="P214" s="13">
        <v>4.9</v>
      </c>
      <c r="Q214" s="13" t="s">
        <v>64</v>
      </c>
      <c r="R214" s="13">
        <v>2025</v>
      </c>
      <c r="S214" s="15" t="str">
        <f t="shared" si="18"/>
        <v>Low Profit</v>
      </c>
      <c r="T214" s="15" t="str">
        <f t="shared" si="19"/>
        <v>Low Sales</v>
      </c>
      <c r="U214" s="15" t="str">
        <f t="shared" si="20"/>
        <v>Good</v>
      </c>
      <c r="V214" s="15" t="str">
        <f t="shared" si="21"/>
        <v>Normal Discount</v>
      </c>
      <c r="W214" s="15">
        <f>VLOOKUP(D214,Lookup_Table!$A:$C,2,FALSE)</f>
        <v>0.2</v>
      </c>
      <c r="X214" s="15">
        <f t="shared" si="22"/>
        <v>0.224217931447388</v>
      </c>
      <c r="Y214" s="15" t="str">
        <f>VLOOKUP(D214,Lookup_Table!A:C,3,0)</f>
        <v>Sneha</v>
      </c>
      <c r="Z214" s="15" t="str">
        <f t="shared" si="23"/>
        <v>Achived</v>
      </c>
    </row>
    <row r="215" spans="1:26">
      <c r="A215" s="13" t="s">
        <v>306</v>
      </c>
      <c r="B215" s="14">
        <v>45942</v>
      </c>
      <c r="C215" s="13" t="s">
        <v>27</v>
      </c>
      <c r="D215" s="13" t="s">
        <v>37</v>
      </c>
      <c r="E215" s="13" t="s">
        <v>109</v>
      </c>
      <c r="F215" s="13" t="s">
        <v>75</v>
      </c>
      <c r="G215" s="13" t="s">
        <v>76</v>
      </c>
      <c r="H215" s="13" t="s">
        <v>77</v>
      </c>
      <c r="I215" s="13" t="s">
        <v>52</v>
      </c>
      <c r="J215" s="13">
        <v>1</v>
      </c>
      <c r="K215" s="13">
        <v>81.04</v>
      </c>
      <c r="L215" s="13">
        <v>0</v>
      </c>
      <c r="M215" s="13">
        <v>81.04</v>
      </c>
      <c r="N215" s="13">
        <v>62.86</v>
      </c>
      <c r="O215" s="13">
        <v>18.18</v>
      </c>
      <c r="P215" s="13">
        <v>3.4</v>
      </c>
      <c r="Q215" s="13" t="s">
        <v>87</v>
      </c>
      <c r="R215" s="13">
        <v>2025</v>
      </c>
      <c r="S215" s="15" t="str">
        <f t="shared" si="18"/>
        <v>Low Profit</v>
      </c>
      <c r="T215" s="15" t="str">
        <f t="shared" si="19"/>
        <v>Low Sales</v>
      </c>
      <c r="U215" s="15" t="str">
        <f t="shared" si="20"/>
        <v>Needs Improvement</v>
      </c>
      <c r="V215" s="15" t="str">
        <f t="shared" si="21"/>
        <v>Normal Discount</v>
      </c>
      <c r="W215" s="15">
        <f>VLOOKUP(D215,Lookup_Table!$A:$C,2,FALSE)</f>
        <v>0.16</v>
      </c>
      <c r="X215" s="15">
        <f t="shared" si="22"/>
        <v>0.224333662388944</v>
      </c>
      <c r="Y215" s="15" t="str">
        <f>VLOOKUP(D215,Lookup_Table!A:C,3,0)</f>
        <v>Vikram</v>
      </c>
      <c r="Z215" s="15" t="str">
        <f t="shared" si="23"/>
        <v>Achived</v>
      </c>
    </row>
    <row r="216" spans="1:26">
      <c r="A216" s="13" t="s">
        <v>307</v>
      </c>
      <c r="B216" s="14">
        <v>45932</v>
      </c>
      <c r="C216" s="13" t="s">
        <v>55</v>
      </c>
      <c r="D216" s="13" t="s">
        <v>37</v>
      </c>
      <c r="E216" s="13" t="s">
        <v>93</v>
      </c>
      <c r="F216" s="13" t="s">
        <v>98</v>
      </c>
      <c r="G216" s="13" t="s">
        <v>99</v>
      </c>
      <c r="H216" s="13" t="s">
        <v>77</v>
      </c>
      <c r="I216" s="13" t="s">
        <v>46</v>
      </c>
      <c r="J216" s="13">
        <v>2</v>
      </c>
      <c r="K216" s="13">
        <v>298.44</v>
      </c>
      <c r="L216" s="13">
        <v>0.1</v>
      </c>
      <c r="M216" s="13">
        <v>537.19</v>
      </c>
      <c r="N216" s="13">
        <v>416.45</v>
      </c>
      <c r="O216" s="13">
        <v>120.74</v>
      </c>
      <c r="P216" s="13">
        <v>4.6</v>
      </c>
      <c r="Q216" s="13" t="s">
        <v>87</v>
      </c>
      <c r="R216" s="13">
        <v>2025</v>
      </c>
      <c r="S216" s="15" t="str">
        <f t="shared" si="18"/>
        <v>Low Profit</v>
      </c>
      <c r="T216" s="15" t="str">
        <f t="shared" si="19"/>
        <v>Low Sales</v>
      </c>
      <c r="U216" s="15" t="str">
        <f t="shared" si="20"/>
        <v>Good</v>
      </c>
      <c r="V216" s="15" t="str">
        <f t="shared" si="21"/>
        <v>Normal Discount</v>
      </c>
      <c r="W216" s="15">
        <f>VLOOKUP(D216,Lookup_Table!$A:$C,2,FALSE)</f>
        <v>0.16</v>
      </c>
      <c r="X216" s="15">
        <f t="shared" si="22"/>
        <v>0.224762188424952</v>
      </c>
      <c r="Y216" s="15" t="str">
        <f>VLOOKUP(D216,Lookup_Table!A:C,3,0)</f>
        <v>Vikram</v>
      </c>
      <c r="Z216" s="15" t="str">
        <f t="shared" si="23"/>
        <v>Achived</v>
      </c>
    </row>
    <row r="217" spans="1:26">
      <c r="A217" s="13" t="s">
        <v>308</v>
      </c>
      <c r="B217" s="14">
        <v>45701</v>
      </c>
      <c r="C217" s="13" t="s">
        <v>36</v>
      </c>
      <c r="D217" s="13" t="s">
        <v>28</v>
      </c>
      <c r="E217" s="13" t="s">
        <v>90</v>
      </c>
      <c r="F217" s="13" t="s">
        <v>111</v>
      </c>
      <c r="G217" s="13" t="s">
        <v>76</v>
      </c>
      <c r="H217" s="13" t="s">
        <v>77</v>
      </c>
      <c r="I217" s="13" t="s">
        <v>52</v>
      </c>
      <c r="J217" s="13">
        <v>3</v>
      </c>
      <c r="K217" s="13">
        <v>166.89</v>
      </c>
      <c r="L217" s="13">
        <v>0.1</v>
      </c>
      <c r="M217" s="13">
        <v>450.6</v>
      </c>
      <c r="N217" s="13">
        <v>349.31</v>
      </c>
      <c r="O217" s="13">
        <v>101.29</v>
      </c>
      <c r="P217" s="13">
        <v>4.2</v>
      </c>
      <c r="Q217" s="13" t="s">
        <v>105</v>
      </c>
      <c r="R217" s="13">
        <v>2025</v>
      </c>
      <c r="S217" s="15" t="str">
        <f t="shared" si="18"/>
        <v>Low Profit</v>
      </c>
      <c r="T217" s="15" t="str">
        <f t="shared" si="19"/>
        <v>Low Sales</v>
      </c>
      <c r="U217" s="15" t="str">
        <f t="shared" si="20"/>
        <v>Good</v>
      </c>
      <c r="V217" s="15" t="str">
        <f t="shared" si="21"/>
        <v>Normal Discount</v>
      </c>
      <c r="W217" s="15">
        <f>VLOOKUP(D217,Lookup_Table!$A:$C,2,FALSE)</f>
        <v>0.2</v>
      </c>
      <c r="X217" s="15">
        <f t="shared" si="22"/>
        <v>0.224789169995561</v>
      </c>
      <c r="Y217" s="15" t="str">
        <f>VLOOKUP(D217,Lookup_Table!A:C,3,0)</f>
        <v>Sneha</v>
      </c>
      <c r="Z217" s="15" t="str">
        <f t="shared" si="23"/>
        <v>Achived</v>
      </c>
    </row>
    <row r="218" spans="1:26">
      <c r="A218" s="13" t="s">
        <v>309</v>
      </c>
      <c r="B218" s="14">
        <v>45978</v>
      </c>
      <c r="C218" s="13" t="s">
        <v>27</v>
      </c>
      <c r="D218" s="13" t="s">
        <v>37</v>
      </c>
      <c r="E218" s="13" t="s">
        <v>109</v>
      </c>
      <c r="F218" s="13" t="s">
        <v>111</v>
      </c>
      <c r="G218" s="13" t="s">
        <v>76</v>
      </c>
      <c r="H218" s="13" t="s">
        <v>77</v>
      </c>
      <c r="I218" s="13" t="s">
        <v>46</v>
      </c>
      <c r="J218" s="13">
        <v>1</v>
      </c>
      <c r="K218" s="13">
        <v>255.93</v>
      </c>
      <c r="L218" s="13">
        <v>0.15</v>
      </c>
      <c r="M218" s="13">
        <v>217.54</v>
      </c>
      <c r="N218" s="13">
        <v>168.58</v>
      </c>
      <c r="O218" s="13">
        <v>48.96</v>
      </c>
      <c r="P218" s="13">
        <v>3.2</v>
      </c>
      <c r="Q218" s="13" t="s">
        <v>71</v>
      </c>
      <c r="R218" s="13">
        <v>2025</v>
      </c>
      <c r="S218" s="15" t="str">
        <f t="shared" si="18"/>
        <v>Low Profit</v>
      </c>
      <c r="T218" s="15" t="str">
        <f t="shared" si="19"/>
        <v>Low Sales</v>
      </c>
      <c r="U218" s="15" t="str">
        <f t="shared" si="20"/>
        <v>Needs Improvement</v>
      </c>
      <c r="V218" s="15" t="str">
        <f t="shared" si="21"/>
        <v>High Discount</v>
      </c>
      <c r="W218" s="15">
        <f>VLOOKUP(D218,Lookup_Table!$A:$C,2,FALSE)</f>
        <v>0.16</v>
      </c>
      <c r="X218" s="15">
        <f t="shared" si="22"/>
        <v>0.225062057552634</v>
      </c>
      <c r="Y218" s="15" t="str">
        <f>VLOOKUP(D218,Lookup_Table!A:C,3,0)</f>
        <v>Vikram</v>
      </c>
      <c r="Z218" s="15" t="str">
        <f t="shared" si="23"/>
        <v>Achived</v>
      </c>
    </row>
    <row r="219" spans="1:26">
      <c r="A219" s="13" t="s">
        <v>310</v>
      </c>
      <c r="B219" s="14">
        <v>45850</v>
      </c>
      <c r="C219" s="13" t="s">
        <v>55</v>
      </c>
      <c r="D219" s="13" t="s">
        <v>37</v>
      </c>
      <c r="E219" s="13" t="s">
        <v>38</v>
      </c>
      <c r="F219" s="13" t="s">
        <v>30</v>
      </c>
      <c r="G219" s="13" t="s">
        <v>31</v>
      </c>
      <c r="H219" s="13" t="s">
        <v>32</v>
      </c>
      <c r="I219" s="13" t="s">
        <v>52</v>
      </c>
      <c r="J219" s="13">
        <v>1</v>
      </c>
      <c r="K219" s="13">
        <v>324.62</v>
      </c>
      <c r="L219" s="13">
        <v>0.1</v>
      </c>
      <c r="M219" s="13">
        <v>292.16</v>
      </c>
      <c r="N219" s="13">
        <v>226.36</v>
      </c>
      <c r="O219" s="13">
        <v>65.8</v>
      </c>
      <c r="P219" s="13">
        <v>2.9</v>
      </c>
      <c r="Q219" s="13" t="s">
        <v>56</v>
      </c>
      <c r="R219" s="13">
        <v>2025</v>
      </c>
      <c r="S219" s="15" t="str">
        <f t="shared" si="18"/>
        <v>Low Profit</v>
      </c>
      <c r="T219" s="15" t="str">
        <f t="shared" si="19"/>
        <v>Low Sales</v>
      </c>
      <c r="U219" s="15" t="str">
        <f t="shared" si="20"/>
        <v>Needs Improvement</v>
      </c>
      <c r="V219" s="15" t="str">
        <f t="shared" si="21"/>
        <v>Normal Discount</v>
      </c>
      <c r="W219" s="15">
        <f>VLOOKUP(D219,Lookup_Table!$A:$C,2,FALSE)</f>
        <v>0.16</v>
      </c>
      <c r="X219" s="15">
        <f t="shared" si="22"/>
        <v>0.225219058050383</v>
      </c>
      <c r="Y219" s="15" t="str">
        <f>VLOOKUP(D219,Lookup_Table!A:C,3,0)</f>
        <v>Vikram</v>
      </c>
      <c r="Z219" s="15" t="str">
        <f t="shared" si="23"/>
        <v>Achived</v>
      </c>
    </row>
    <row r="220" spans="1:26">
      <c r="A220" s="13" t="s">
        <v>311</v>
      </c>
      <c r="B220" s="14">
        <v>45701</v>
      </c>
      <c r="C220" s="13" t="s">
        <v>55</v>
      </c>
      <c r="D220" s="13" t="s">
        <v>44</v>
      </c>
      <c r="E220" s="13" t="s">
        <v>137</v>
      </c>
      <c r="F220" s="13" t="s">
        <v>39</v>
      </c>
      <c r="G220" s="13" t="s">
        <v>40</v>
      </c>
      <c r="H220" s="13" t="s">
        <v>41</v>
      </c>
      <c r="I220" s="13" t="s">
        <v>33</v>
      </c>
      <c r="J220" s="13">
        <v>5</v>
      </c>
      <c r="K220" s="13">
        <v>775.29</v>
      </c>
      <c r="L220" s="13">
        <v>0</v>
      </c>
      <c r="M220" s="13">
        <v>3876.45</v>
      </c>
      <c r="N220" s="13">
        <v>3002.7</v>
      </c>
      <c r="O220" s="13">
        <v>873.75</v>
      </c>
      <c r="P220" s="13">
        <v>4.8</v>
      </c>
      <c r="Q220" s="13" t="s">
        <v>105</v>
      </c>
      <c r="R220" s="13">
        <v>2025</v>
      </c>
      <c r="S220" s="15" t="str">
        <f t="shared" si="18"/>
        <v>High Profit</v>
      </c>
      <c r="T220" s="15" t="str">
        <f t="shared" si="19"/>
        <v>High Sales</v>
      </c>
      <c r="U220" s="15" t="str">
        <f t="shared" si="20"/>
        <v>Good</v>
      </c>
      <c r="V220" s="15" t="str">
        <f t="shared" si="21"/>
        <v>Normal Discount</v>
      </c>
      <c r="W220" s="15">
        <f>VLOOKUP(D220,Lookup_Table!$A:$C,2,FALSE)</f>
        <v>0.18</v>
      </c>
      <c r="X220" s="15">
        <f t="shared" si="22"/>
        <v>0.225399527918585</v>
      </c>
      <c r="Y220" s="15" t="str">
        <f>VLOOKUP(D220,Lookup_Table!A:C,3,0)</f>
        <v>Amit</v>
      </c>
      <c r="Z220" s="15" t="str">
        <f t="shared" si="23"/>
        <v>Achived</v>
      </c>
    </row>
    <row r="221" spans="1:26">
      <c r="A221" s="13" t="s">
        <v>312</v>
      </c>
      <c r="B221" s="14">
        <v>45745</v>
      </c>
      <c r="C221" s="13" t="s">
        <v>27</v>
      </c>
      <c r="D221" s="13" t="s">
        <v>60</v>
      </c>
      <c r="E221" s="13" t="s">
        <v>150</v>
      </c>
      <c r="F221" s="13" t="s">
        <v>50</v>
      </c>
      <c r="G221" s="13" t="s">
        <v>51</v>
      </c>
      <c r="H221" s="13" t="s">
        <v>32</v>
      </c>
      <c r="I221" s="13" t="s">
        <v>52</v>
      </c>
      <c r="J221" s="13">
        <v>5</v>
      </c>
      <c r="K221" s="13">
        <v>224.08</v>
      </c>
      <c r="L221" s="13">
        <v>0.05</v>
      </c>
      <c r="M221" s="13">
        <v>1064.38</v>
      </c>
      <c r="N221" s="13">
        <v>824.38</v>
      </c>
      <c r="O221" s="13">
        <v>240</v>
      </c>
      <c r="P221" s="13">
        <v>4.6</v>
      </c>
      <c r="Q221" s="13" t="s">
        <v>94</v>
      </c>
      <c r="R221" s="13">
        <v>2025</v>
      </c>
      <c r="S221" s="15" t="str">
        <f t="shared" si="18"/>
        <v>Low Profit</v>
      </c>
      <c r="T221" s="15" t="str">
        <f t="shared" si="19"/>
        <v>High Sales</v>
      </c>
      <c r="U221" s="15" t="str">
        <f t="shared" si="20"/>
        <v>Good</v>
      </c>
      <c r="V221" s="15" t="str">
        <f t="shared" si="21"/>
        <v>Normal Discount</v>
      </c>
      <c r="W221" s="15">
        <f>VLOOKUP(D221,Lookup_Table!$A:$C,2,FALSE)</f>
        <v>0.15</v>
      </c>
      <c r="X221" s="15">
        <f t="shared" si="22"/>
        <v>0.225483379995866</v>
      </c>
      <c r="Y221" s="15" t="str">
        <f>VLOOKUP(D221,Lookup_Table!A:C,3,0)</f>
        <v>Priya</v>
      </c>
      <c r="Z221" s="15" t="str">
        <f t="shared" si="23"/>
        <v>Achived</v>
      </c>
    </row>
    <row r="222" spans="1:26">
      <c r="A222" s="13" t="s">
        <v>313</v>
      </c>
      <c r="B222" s="14">
        <v>45677</v>
      </c>
      <c r="C222" s="13" t="s">
        <v>55</v>
      </c>
      <c r="D222" s="13" t="s">
        <v>80</v>
      </c>
      <c r="E222" s="13" t="s">
        <v>81</v>
      </c>
      <c r="F222" s="13" t="s">
        <v>111</v>
      </c>
      <c r="G222" s="13" t="s">
        <v>76</v>
      </c>
      <c r="H222" s="13" t="s">
        <v>77</v>
      </c>
      <c r="I222" s="13" t="s">
        <v>33</v>
      </c>
      <c r="J222" s="13">
        <v>5</v>
      </c>
      <c r="K222" s="13">
        <v>29.46</v>
      </c>
      <c r="L222" s="13">
        <v>0.05</v>
      </c>
      <c r="M222" s="13">
        <v>139.94</v>
      </c>
      <c r="N222" s="13">
        <v>108.38</v>
      </c>
      <c r="O222" s="13">
        <v>31.56</v>
      </c>
      <c r="P222" s="13">
        <v>3.5</v>
      </c>
      <c r="Q222" s="13" t="s">
        <v>64</v>
      </c>
      <c r="R222" s="13">
        <v>2025</v>
      </c>
      <c r="S222" s="15" t="str">
        <f t="shared" si="18"/>
        <v>Low Profit</v>
      </c>
      <c r="T222" s="15" t="str">
        <f t="shared" si="19"/>
        <v>Low Sales</v>
      </c>
      <c r="U222" s="15" t="str">
        <f t="shared" si="20"/>
        <v>Needs Improvement</v>
      </c>
      <c r="V222" s="15" t="str">
        <f t="shared" si="21"/>
        <v>Normal Discount</v>
      </c>
      <c r="W222" s="15">
        <f>VLOOKUP(D222,Lookup_Table!$A:$C,2,FALSE)</f>
        <v>0.12</v>
      </c>
      <c r="X222" s="15">
        <f t="shared" si="22"/>
        <v>0.22552522509647</v>
      </c>
      <c r="Y222" s="15" t="str">
        <f>VLOOKUP(D222,Lookup_Table!A:C,3,0)</f>
        <v>Rahul</v>
      </c>
      <c r="Z222" s="15" t="str">
        <f t="shared" si="23"/>
        <v>Achived</v>
      </c>
    </row>
    <row r="223" spans="1:26">
      <c r="A223" s="13" t="s">
        <v>314</v>
      </c>
      <c r="B223" s="14">
        <v>46016</v>
      </c>
      <c r="C223" s="13" t="s">
        <v>55</v>
      </c>
      <c r="D223" s="13" t="s">
        <v>28</v>
      </c>
      <c r="E223" s="13" t="s">
        <v>73</v>
      </c>
      <c r="F223" s="13" t="s">
        <v>50</v>
      </c>
      <c r="G223" s="13" t="s">
        <v>51</v>
      </c>
      <c r="H223" s="13" t="s">
        <v>32</v>
      </c>
      <c r="I223" s="13" t="s">
        <v>96</v>
      </c>
      <c r="J223" s="13">
        <v>3</v>
      </c>
      <c r="K223" s="13">
        <v>83.61</v>
      </c>
      <c r="L223" s="13">
        <v>0</v>
      </c>
      <c r="M223" s="13">
        <v>250.83</v>
      </c>
      <c r="N223" s="13">
        <v>194.22</v>
      </c>
      <c r="O223" s="13">
        <v>56.61</v>
      </c>
      <c r="P223" s="13">
        <v>4.7</v>
      </c>
      <c r="Q223" s="13" t="s">
        <v>34</v>
      </c>
      <c r="R223" s="13">
        <v>2025</v>
      </c>
      <c r="S223" s="15" t="str">
        <f t="shared" si="18"/>
        <v>Low Profit</v>
      </c>
      <c r="T223" s="15" t="str">
        <f t="shared" si="19"/>
        <v>Low Sales</v>
      </c>
      <c r="U223" s="15" t="str">
        <f t="shared" si="20"/>
        <v>Good</v>
      </c>
      <c r="V223" s="15" t="str">
        <f t="shared" si="21"/>
        <v>Normal Discount</v>
      </c>
      <c r="W223" s="15">
        <f>VLOOKUP(D223,Lookup_Table!$A:$C,2,FALSE)</f>
        <v>0.2</v>
      </c>
      <c r="X223" s="15">
        <f t="shared" si="22"/>
        <v>0.225690706853247</v>
      </c>
      <c r="Y223" s="15" t="str">
        <f>VLOOKUP(D223,Lookup_Table!A:C,3,0)</f>
        <v>Sneha</v>
      </c>
      <c r="Z223" s="15" t="str">
        <f t="shared" si="23"/>
        <v>Achived</v>
      </c>
    </row>
    <row r="224" spans="1:26">
      <c r="A224" s="13" t="s">
        <v>315</v>
      </c>
      <c r="B224" s="14">
        <v>45769</v>
      </c>
      <c r="C224" s="13" t="s">
        <v>27</v>
      </c>
      <c r="D224" s="13" t="s">
        <v>28</v>
      </c>
      <c r="E224" s="13" t="s">
        <v>90</v>
      </c>
      <c r="F224" s="13" t="s">
        <v>116</v>
      </c>
      <c r="G224" s="13" t="s">
        <v>117</v>
      </c>
      <c r="H224" s="13" t="s">
        <v>32</v>
      </c>
      <c r="I224" s="13" t="s">
        <v>33</v>
      </c>
      <c r="J224" s="13">
        <v>1</v>
      </c>
      <c r="K224" s="13">
        <v>115.71</v>
      </c>
      <c r="L224" s="13">
        <v>0.05</v>
      </c>
      <c r="M224" s="13">
        <v>109.92</v>
      </c>
      <c r="N224" s="13">
        <v>85.1</v>
      </c>
      <c r="O224" s="13">
        <v>24.82</v>
      </c>
      <c r="P224" s="13">
        <v>3.3</v>
      </c>
      <c r="Q224" s="13" t="s">
        <v>84</v>
      </c>
      <c r="R224" s="13">
        <v>2025</v>
      </c>
      <c r="S224" s="15" t="str">
        <f t="shared" si="18"/>
        <v>Low Profit</v>
      </c>
      <c r="T224" s="15" t="str">
        <f t="shared" si="19"/>
        <v>Low Sales</v>
      </c>
      <c r="U224" s="15" t="str">
        <f t="shared" si="20"/>
        <v>Needs Improvement</v>
      </c>
      <c r="V224" s="15" t="str">
        <f t="shared" si="21"/>
        <v>Normal Discount</v>
      </c>
      <c r="W224" s="15">
        <f>VLOOKUP(D224,Lookup_Table!$A:$C,2,FALSE)</f>
        <v>0.2</v>
      </c>
      <c r="X224" s="15">
        <f t="shared" si="22"/>
        <v>0.22580058224163</v>
      </c>
      <c r="Y224" s="15" t="str">
        <f>VLOOKUP(D224,Lookup_Table!A:C,3,0)</f>
        <v>Sneha</v>
      </c>
      <c r="Z224" s="15" t="str">
        <f t="shared" si="23"/>
        <v>Achived</v>
      </c>
    </row>
    <row r="225" spans="1:26">
      <c r="A225" s="13" t="s">
        <v>316</v>
      </c>
      <c r="B225" s="14">
        <v>45735</v>
      </c>
      <c r="C225" s="13" t="s">
        <v>55</v>
      </c>
      <c r="D225" s="13" t="s">
        <v>37</v>
      </c>
      <c r="E225" s="13" t="s">
        <v>109</v>
      </c>
      <c r="F225" s="13" t="s">
        <v>62</v>
      </c>
      <c r="G225" s="13" t="s">
        <v>63</v>
      </c>
      <c r="H225" s="13" t="s">
        <v>32</v>
      </c>
      <c r="I225" s="13" t="s">
        <v>46</v>
      </c>
      <c r="J225" s="13">
        <v>5</v>
      </c>
      <c r="K225" s="13">
        <v>279.29</v>
      </c>
      <c r="L225" s="13">
        <v>0.15</v>
      </c>
      <c r="M225" s="13">
        <v>1186.98</v>
      </c>
      <c r="N225" s="13">
        <v>918.6</v>
      </c>
      <c r="O225" s="13">
        <v>268.38</v>
      </c>
      <c r="P225" s="13">
        <v>3.2</v>
      </c>
      <c r="Q225" s="13" t="s">
        <v>94</v>
      </c>
      <c r="R225" s="13">
        <v>2025</v>
      </c>
      <c r="S225" s="15" t="str">
        <f t="shared" si="18"/>
        <v>Low Profit</v>
      </c>
      <c r="T225" s="15" t="str">
        <f t="shared" si="19"/>
        <v>High Sales</v>
      </c>
      <c r="U225" s="15" t="str">
        <f t="shared" si="20"/>
        <v>Needs Improvement</v>
      </c>
      <c r="V225" s="15" t="str">
        <f t="shared" si="21"/>
        <v>High Discount</v>
      </c>
      <c r="W225" s="15">
        <f>VLOOKUP(D225,Lookup_Table!$A:$C,2,FALSE)</f>
        <v>0.16</v>
      </c>
      <c r="X225" s="15">
        <f t="shared" si="22"/>
        <v>0.226103219936309</v>
      </c>
      <c r="Y225" s="15" t="str">
        <f>VLOOKUP(D225,Lookup_Table!A:C,3,0)</f>
        <v>Vikram</v>
      </c>
      <c r="Z225" s="15" t="str">
        <f t="shared" si="23"/>
        <v>Achived</v>
      </c>
    </row>
    <row r="226" spans="1:26">
      <c r="A226" s="13" t="s">
        <v>317</v>
      </c>
      <c r="B226" s="14">
        <v>45855</v>
      </c>
      <c r="C226" s="13" t="s">
        <v>27</v>
      </c>
      <c r="D226" s="13" t="s">
        <v>44</v>
      </c>
      <c r="E226" s="13" t="s">
        <v>45</v>
      </c>
      <c r="F226" s="13" t="s">
        <v>75</v>
      </c>
      <c r="G226" s="13" t="s">
        <v>76</v>
      </c>
      <c r="H226" s="13" t="s">
        <v>77</v>
      </c>
      <c r="I226" s="13" t="s">
        <v>52</v>
      </c>
      <c r="J226" s="13">
        <v>4</v>
      </c>
      <c r="K226" s="13">
        <v>701.56</v>
      </c>
      <c r="L226" s="13">
        <v>0.05</v>
      </c>
      <c r="M226" s="13">
        <v>2665.93</v>
      </c>
      <c r="N226" s="13">
        <v>2061.63</v>
      </c>
      <c r="O226" s="13">
        <v>604.3</v>
      </c>
      <c r="P226" s="13">
        <v>2.7</v>
      </c>
      <c r="Q226" s="13" t="s">
        <v>56</v>
      </c>
      <c r="R226" s="13">
        <v>2025</v>
      </c>
      <c r="S226" s="15" t="str">
        <f t="shared" si="18"/>
        <v>High Profit</v>
      </c>
      <c r="T226" s="15" t="str">
        <f t="shared" si="19"/>
        <v>High Sales</v>
      </c>
      <c r="U226" s="15" t="str">
        <f t="shared" si="20"/>
        <v>Needs Improvement</v>
      </c>
      <c r="V226" s="15" t="str">
        <f t="shared" si="21"/>
        <v>Normal Discount</v>
      </c>
      <c r="W226" s="15">
        <f>VLOOKUP(D226,Lookup_Table!$A:$C,2,FALSE)</f>
        <v>0.18</v>
      </c>
      <c r="X226" s="15">
        <f t="shared" si="22"/>
        <v>0.226675119001624</v>
      </c>
      <c r="Y226" s="15" t="str">
        <f>VLOOKUP(D226,Lookup_Table!A:C,3,0)</f>
        <v>Amit</v>
      </c>
      <c r="Z226" s="15" t="str">
        <f t="shared" si="23"/>
        <v>Achived</v>
      </c>
    </row>
    <row r="227" spans="1:26">
      <c r="A227" s="13" t="s">
        <v>318</v>
      </c>
      <c r="B227" s="14">
        <v>45981</v>
      </c>
      <c r="C227" s="13" t="s">
        <v>55</v>
      </c>
      <c r="D227" s="13" t="s">
        <v>28</v>
      </c>
      <c r="E227" s="13" t="s">
        <v>49</v>
      </c>
      <c r="F227" s="13" t="s">
        <v>111</v>
      </c>
      <c r="G227" s="13" t="s">
        <v>76</v>
      </c>
      <c r="H227" s="13" t="s">
        <v>77</v>
      </c>
      <c r="I227" s="13" t="s">
        <v>52</v>
      </c>
      <c r="J227" s="13">
        <v>5</v>
      </c>
      <c r="K227" s="13">
        <v>126.64</v>
      </c>
      <c r="L227" s="13">
        <v>0</v>
      </c>
      <c r="M227" s="13">
        <v>633.2</v>
      </c>
      <c r="N227" s="13">
        <v>489.14</v>
      </c>
      <c r="O227" s="13">
        <v>144.06</v>
      </c>
      <c r="P227" s="13">
        <v>2.8</v>
      </c>
      <c r="Q227" s="13" t="s">
        <v>71</v>
      </c>
      <c r="R227" s="13">
        <v>2025</v>
      </c>
      <c r="S227" s="15" t="str">
        <f t="shared" si="18"/>
        <v>Low Profit</v>
      </c>
      <c r="T227" s="15" t="str">
        <f t="shared" si="19"/>
        <v>Low Sales</v>
      </c>
      <c r="U227" s="15" t="str">
        <f t="shared" si="20"/>
        <v>Needs Improvement</v>
      </c>
      <c r="V227" s="15" t="str">
        <f t="shared" si="21"/>
        <v>Normal Discount</v>
      </c>
      <c r="W227" s="15">
        <f>VLOOKUP(D227,Lookup_Table!$A:$C,2,FALSE)</f>
        <v>0.2</v>
      </c>
      <c r="X227" s="15">
        <f t="shared" si="22"/>
        <v>0.227511054958939</v>
      </c>
      <c r="Y227" s="15" t="str">
        <f>VLOOKUP(D227,Lookup_Table!A:C,3,0)</f>
        <v>Sneha</v>
      </c>
      <c r="Z227" s="15" t="str">
        <f t="shared" si="23"/>
        <v>Achived</v>
      </c>
    </row>
    <row r="228" spans="1:26">
      <c r="A228" s="13" t="s">
        <v>319</v>
      </c>
      <c r="B228" s="14">
        <v>45894</v>
      </c>
      <c r="C228" s="13" t="s">
        <v>27</v>
      </c>
      <c r="D228" s="13" t="s">
        <v>80</v>
      </c>
      <c r="E228" s="13" t="s">
        <v>115</v>
      </c>
      <c r="F228" s="13" t="s">
        <v>82</v>
      </c>
      <c r="G228" s="13" t="s">
        <v>83</v>
      </c>
      <c r="H228" s="13" t="s">
        <v>77</v>
      </c>
      <c r="I228" s="13" t="s">
        <v>96</v>
      </c>
      <c r="J228" s="13">
        <v>5</v>
      </c>
      <c r="K228" s="13">
        <v>62</v>
      </c>
      <c r="L228" s="13">
        <v>0</v>
      </c>
      <c r="M228" s="13">
        <v>310</v>
      </c>
      <c r="N228" s="13">
        <v>239.18</v>
      </c>
      <c r="O228" s="13">
        <v>70.82</v>
      </c>
      <c r="P228" s="13">
        <v>2.7</v>
      </c>
      <c r="Q228" s="13" t="s">
        <v>47</v>
      </c>
      <c r="R228" s="13">
        <v>2025</v>
      </c>
      <c r="S228" s="15" t="str">
        <f t="shared" si="18"/>
        <v>Low Profit</v>
      </c>
      <c r="T228" s="15" t="str">
        <f t="shared" si="19"/>
        <v>Low Sales</v>
      </c>
      <c r="U228" s="15" t="str">
        <f t="shared" si="20"/>
        <v>Needs Improvement</v>
      </c>
      <c r="V228" s="15" t="str">
        <f t="shared" si="21"/>
        <v>Normal Discount</v>
      </c>
      <c r="W228" s="15">
        <f>VLOOKUP(D228,Lookup_Table!$A:$C,2,FALSE)</f>
        <v>0.12</v>
      </c>
      <c r="X228" s="15">
        <f t="shared" si="22"/>
        <v>0.228451612903226</v>
      </c>
      <c r="Y228" s="15" t="str">
        <f>VLOOKUP(D228,Lookup_Table!A:C,3,0)</f>
        <v>Rahul</v>
      </c>
      <c r="Z228" s="15" t="str">
        <f t="shared" si="23"/>
        <v>Achived</v>
      </c>
    </row>
    <row r="229" spans="1:26">
      <c r="A229" s="13" t="s">
        <v>320</v>
      </c>
      <c r="B229" s="14">
        <v>45770</v>
      </c>
      <c r="C229" s="13" t="s">
        <v>55</v>
      </c>
      <c r="D229" s="13" t="s">
        <v>44</v>
      </c>
      <c r="E229" s="13" t="s">
        <v>104</v>
      </c>
      <c r="F229" s="13" t="s">
        <v>39</v>
      </c>
      <c r="G229" s="13" t="s">
        <v>40</v>
      </c>
      <c r="H229" s="13" t="s">
        <v>41</v>
      </c>
      <c r="I229" s="13" t="s">
        <v>46</v>
      </c>
      <c r="J229" s="13">
        <v>6</v>
      </c>
      <c r="K229" s="13">
        <v>358.74</v>
      </c>
      <c r="L229" s="13">
        <v>0.05</v>
      </c>
      <c r="M229" s="13">
        <v>2044.82</v>
      </c>
      <c r="N229" s="13">
        <v>1577.56</v>
      </c>
      <c r="O229" s="13">
        <v>467.26</v>
      </c>
      <c r="P229" s="13">
        <v>3.7</v>
      </c>
      <c r="Q229" s="13" t="s">
        <v>84</v>
      </c>
      <c r="R229" s="13">
        <v>2025</v>
      </c>
      <c r="S229" s="15" t="str">
        <f t="shared" si="18"/>
        <v>Low Profit</v>
      </c>
      <c r="T229" s="15" t="str">
        <f t="shared" si="19"/>
        <v>High Sales</v>
      </c>
      <c r="U229" s="15" t="str">
        <f t="shared" si="20"/>
        <v>Needs Improvement</v>
      </c>
      <c r="V229" s="15" t="str">
        <f t="shared" si="21"/>
        <v>Normal Discount</v>
      </c>
      <c r="W229" s="15">
        <f>VLOOKUP(D229,Lookup_Table!$A:$C,2,FALSE)</f>
        <v>0.18</v>
      </c>
      <c r="X229" s="15">
        <f t="shared" si="22"/>
        <v>0.228509110826381</v>
      </c>
      <c r="Y229" s="15" t="str">
        <f>VLOOKUP(D229,Lookup_Table!A:C,3,0)</f>
        <v>Amit</v>
      </c>
      <c r="Z229" s="15" t="str">
        <f t="shared" si="23"/>
        <v>Achived</v>
      </c>
    </row>
    <row r="230" spans="1:26">
      <c r="A230" s="13" t="s">
        <v>321</v>
      </c>
      <c r="B230" s="14">
        <v>45859</v>
      </c>
      <c r="C230" s="13" t="s">
        <v>27</v>
      </c>
      <c r="D230" s="13" t="s">
        <v>28</v>
      </c>
      <c r="E230" s="13" t="s">
        <v>29</v>
      </c>
      <c r="F230" s="13" t="s">
        <v>67</v>
      </c>
      <c r="G230" s="13" t="s">
        <v>68</v>
      </c>
      <c r="H230" s="13" t="s">
        <v>69</v>
      </c>
      <c r="I230" s="13" t="s">
        <v>33</v>
      </c>
      <c r="J230" s="13">
        <v>7</v>
      </c>
      <c r="K230" s="13">
        <v>156.49</v>
      </c>
      <c r="L230" s="13">
        <v>0.05</v>
      </c>
      <c r="M230" s="13">
        <v>1040.66</v>
      </c>
      <c r="N230" s="13">
        <v>802.81</v>
      </c>
      <c r="O230" s="13">
        <v>237.85</v>
      </c>
      <c r="P230" s="13">
        <v>4.8</v>
      </c>
      <c r="Q230" s="13" t="s">
        <v>56</v>
      </c>
      <c r="R230" s="13">
        <v>2025</v>
      </c>
      <c r="S230" s="15" t="str">
        <f t="shared" si="18"/>
        <v>Low Profit</v>
      </c>
      <c r="T230" s="15" t="str">
        <f t="shared" si="19"/>
        <v>High Sales</v>
      </c>
      <c r="U230" s="15" t="str">
        <f t="shared" si="20"/>
        <v>Good</v>
      </c>
      <c r="V230" s="15" t="str">
        <f t="shared" si="21"/>
        <v>Normal Discount</v>
      </c>
      <c r="W230" s="15">
        <f>VLOOKUP(D230,Lookup_Table!$A:$C,2,FALSE)</f>
        <v>0.2</v>
      </c>
      <c r="X230" s="15">
        <f t="shared" si="22"/>
        <v>0.228556877366287</v>
      </c>
      <c r="Y230" s="15" t="str">
        <f>VLOOKUP(D230,Lookup_Table!A:C,3,0)</f>
        <v>Sneha</v>
      </c>
      <c r="Z230" s="15" t="str">
        <f t="shared" si="23"/>
        <v>Achived</v>
      </c>
    </row>
    <row r="231" spans="1:26">
      <c r="A231" s="13" t="s">
        <v>322</v>
      </c>
      <c r="B231" s="14">
        <v>45709</v>
      </c>
      <c r="C231" s="13" t="s">
        <v>27</v>
      </c>
      <c r="D231" s="13" t="s">
        <v>80</v>
      </c>
      <c r="E231" s="13" t="s">
        <v>191</v>
      </c>
      <c r="F231" s="13" t="s">
        <v>67</v>
      </c>
      <c r="G231" s="13" t="s">
        <v>68</v>
      </c>
      <c r="H231" s="13" t="s">
        <v>69</v>
      </c>
      <c r="I231" s="13" t="s">
        <v>52</v>
      </c>
      <c r="J231" s="13">
        <v>3</v>
      </c>
      <c r="K231" s="13">
        <v>67.22</v>
      </c>
      <c r="L231" s="13">
        <v>0.1</v>
      </c>
      <c r="M231" s="13">
        <v>181.49</v>
      </c>
      <c r="N231" s="13">
        <v>139.89</v>
      </c>
      <c r="O231" s="13">
        <v>41.6</v>
      </c>
      <c r="P231" s="13">
        <v>3.6</v>
      </c>
      <c r="Q231" s="13" t="s">
        <v>105</v>
      </c>
      <c r="R231" s="13">
        <v>2025</v>
      </c>
      <c r="S231" s="15" t="str">
        <f t="shared" si="18"/>
        <v>Low Profit</v>
      </c>
      <c r="T231" s="15" t="str">
        <f t="shared" si="19"/>
        <v>Low Sales</v>
      </c>
      <c r="U231" s="15" t="str">
        <f t="shared" si="20"/>
        <v>Needs Improvement</v>
      </c>
      <c r="V231" s="15" t="str">
        <f t="shared" si="21"/>
        <v>Normal Discount</v>
      </c>
      <c r="W231" s="15">
        <f>VLOOKUP(D231,Lookup_Table!$A:$C,2,FALSE)</f>
        <v>0.12</v>
      </c>
      <c r="X231" s="15">
        <f t="shared" si="22"/>
        <v>0.229213730784065</v>
      </c>
      <c r="Y231" s="15" t="str">
        <f>VLOOKUP(D231,Lookup_Table!A:C,3,0)</f>
        <v>Rahul</v>
      </c>
      <c r="Z231" s="15" t="str">
        <f t="shared" si="23"/>
        <v>Achived</v>
      </c>
    </row>
    <row r="232" spans="1:26">
      <c r="A232" s="13" t="s">
        <v>323</v>
      </c>
      <c r="B232" s="14">
        <v>45667</v>
      </c>
      <c r="C232" s="13" t="s">
        <v>27</v>
      </c>
      <c r="D232" s="13" t="s">
        <v>60</v>
      </c>
      <c r="E232" s="13" t="s">
        <v>150</v>
      </c>
      <c r="F232" s="13" t="s">
        <v>50</v>
      </c>
      <c r="G232" s="13" t="s">
        <v>51</v>
      </c>
      <c r="H232" s="13" t="s">
        <v>32</v>
      </c>
      <c r="I232" s="13" t="s">
        <v>33</v>
      </c>
      <c r="J232" s="13">
        <v>1</v>
      </c>
      <c r="K232" s="13">
        <v>557.72</v>
      </c>
      <c r="L232" s="13">
        <v>0</v>
      </c>
      <c r="M232" s="13">
        <v>557.72</v>
      </c>
      <c r="N232" s="13">
        <v>429.81</v>
      </c>
      <c r="O232" s="13">
        <v>127.91</v>
      </c>
      <c r="P232" s="13">
        <v>2.9</v>
      </c>
      <c r="Q232" s="13" t="s">
        <v>64</v>
      </c>
      <c r="R232" s="13">
        <v>2025</v>
      </c>
      <c r="S232" s="15" t="str">
        <f t="shared" si="18"/>
        <v>Low Profit</v>
      </c>
      <c r="T232" s="15" t="str">
        <f t="shared" si="19"/>
        <v>Low Sales</v>
      </c>
      <c r="U232" s="15" t="str">
        <f t="shared" si="20"/>
        <v>Needs Improvement</v>
      </c>
      <c r="V232" s="15" t="str">
        <f t="shared" si="21"/>
        <v>Normal Discount</v>
      </c>
      <c r="W232" s="15">
        <f>VLOOKUP(D232,Lookup_Table!$A:$C,2,FALSE)</f>
        <v>0.15</v>
      </c>
      <c r="X232" s="15">
        <f t="shared" si="22"/>
        <v>0.22934447392957</v>
      </c>
      <c r="Y232" s="15" t="str">
        <f>VLOOKUP(D232,Lookup_Table!A:C,3,0)</f>
        <v>Priya</v>
      </c>
      <c r="Z232" s="15" t="str">
        <f t="shared" si="23"/>
        <v>Achived</v>
      </c>
    </row>
    <row r="233" spans="1:26">
      <c r="A233" s="13" t="s">
        <v>324</v>
      </c>
      <c r="B233" s="14">
        <v>45803</v>
      </c>
      <c r="C233" s="13" t="s">
        <v>55</v>
      </c>
      <c r="D233" s="13" t="s">
        <v>60</v>
      </c>
      <c r="E233" s="13" t="s">
        <v>150</v>
      </c>
      <c r="F233" s="13" t="s">
        <v>62</v>
      </c>
      <c r="G233" s="13" t="s">
        <v>63</v>
      </c>
      <c r="H233" s="13" t="s">
        <v>32</v>
      </c>
      <c r="I233" s="13" t="s">
        <v>52</v>
      </c>
      <c r="J233" s="13">
        <v>3</v>
      </c>
      <c r="K233" s="13">
        <v>270.07</v>
      </c>
      <c r="L233" s="13">
        <v>0</v>
      </c>
      <c r="M233" s="13">
        <v>810.21</v>
      </c>
      <c r="N233" s="13">
        <v>623.22</v>
      </c>
      <c r="O233" s="13">
        <v>186.99</v>
      </c>
      <c r="P233" s="13">
        <v>4.4</v>
      </c>
      <c r="Q233" s="13" t="s">
        <v>42</v>
      </c>
      <c r="R233" s="13">
        <v>2025</v>
      </c>
      <c r="S233" s="15" t="str">
        <f t="shared" si="18"/>
        <v>Low Profit</v>
      </c>
      <c r="T233" s="15" t="str">
        <f t="shared" si="19"/>
        <v>Low Sales</v>
      </c>
      <c r="U233" s="15" t="str">
        <f t="shared" si="20"/>
        <v>Good</v>
      </c>
      <c r="V233" s="15" t="str">
        <f t="shared" si="21"/>
        <v>Normal Discount</v>
      </c>
      <c r="W233" s="15">
        <f>VLOOKUP(D233,Lookup_Table!$A:$C,2,FALSE)</f>
        <v>0.15</v>
      </c>
      <c r="X233" s="15">
        <f t="shared" si="22"/>
        <v>0.230792016884511</v>
      </c>
      <c r="Y233" s="15" t="str">
        <f>VLOOKUP(D233,Lookup_Table!A:C,3,0)</f>
        <v>Priya</v>
      </c>
      <c r="Z233" s="15" t="str">
        <f t="shared" si="23"/>
        <v>Achived</v>
      </c>
    </row>
    <row r="234" spans="1:26">
      <c r="A234" s="13" t="s">
        <v>325</v>
      </c>
      <c r="B234" s="14">
        <v>45880</v>
      </c>
      <c r="C234" s="13" t="s">
        <v>36</v>
      </c>
      <c r="D234" s="13" t="s">
        <v>37</v>
      </c>
      <c r="E234" s="13" t="s">
        <v>109</v>
      </c>
      <c r="F234" s="13" t="s">
        <v>30</v>
      </c>
      <c r="G234" s="13" t="s">
        <v>31</v>
      </c>
      <c r="H234" s="13" t="s">
        <v>32</v>
      </c>
      <c r="I234" s="13" t="s">
        <v>46</v>
      </c>
      <c r="J234" s="13">
        <v>3</v>
      </c>
      <c r="K234" s="13">
        <v>152.85</v>
      </c>
      <c r="L234" s="13">
        <v>0</v>
      </c>
      <c r="M234" s="13">
        <v>458.55</v>
      </c>
      <c r="N234" s="13">
        <v>352.61</v>
      </c>
      <c r="O234" s="13">
        <v>105.94</v>
      </c>
      <c r="P234" s="13">
        <v>4.9</v>
      </c>
      <c r="Q234" s="13" t="s">
        <v>47</v>
      </c>
      <c r="R234" s="13">
        <v>2025</v>
      </c>
      <c r="S234" s="15" t="str">
        <f t="shared" si="18"/>
        <v>Low Profit</v>
      </c>
      <c r="T234" s="15" t="str">
        <f t="shared" si="19"/>
        <v>Low Sales</v>
      </c>
      <c r="U234" s="15" t="str">
        <f t="shared" si="20"/>
        <v>Good</v>
      </c>
      <c r="V234" s="15" t="str">
        <f t="shared" si="21"/>
        <v>Normal Discount</v>
      </c>
      <c r="W234" s="15">
        <f>VLOOKUP(D234,Lookup_Table!$A:$C,2,FALSE)</f>
        <v>0.16</v>
      </c>
      <c r="X234" s="15">
        <f t="shared" si="22"/>
        <v>0.2310326027696</v>
      </c>
      <c r="Y234" s="15" t="str">
        <f>VLOOKUP(D234,Lookup_Table!A:C,3,0)</f>
        <v>Vikram</v>
      </c>
      <c r="Z234" s="15" t="str">
        <f t="shared" si="23"/>
        <v>Achived</v>
      </c>
    </row>
    <row r="235" spans="1:26">
      <c r="A235" s="13" t="s">
        <v>326</v>
      </c>
      <c r="B235" s="14">
        <v>45843</v>
      </c>
      <c r="C235" s="13" t="s">
        <v>27</v>
      </c>
      <c r="D235" s="13" t="s">
        <v>80</v>
      </c>
      <c r="E235" s="13" t="s">
        <v>191</v>
      </c>
      <c r="F235" s="13" t="s">
        <v>62</v>
      </c>
      <c r="G235" s="13" t="s">
        <v>63</v>
      </c>
      <c r="H235" s="13" t="s">
        <v>32</v>
      </c>
      <c r="I235" s="13" t="s">
        <v>96</v>
      </c>
      <c r="J235" s="13">
        <v>7</v>
      </c>
      <c r="K235" s="13">
        <v>60.67</v>
      </c>
      <c r="L235" s="13">
        <v>0</v>
      </c>
      <c r="M235" s="13">
        <v>424.69</v>
      </c>
      <c r="N235" s="13">
        <v>326.53</v>
      </c>
      <c r="O235" s="13">
        <v>98.16</v>
      </c>
      <c r="P235" s="13">
        <v>4.3</v>
      </c>
      <c r="Q235" s="13" t="s">
        <v>56</v>
      </c>
      <c r="R235" s="13">
        <v>2025</v>
      </c>
      <c r="S235" s="15" t="str">
        <f t="shared" si="18"/>
        <v>Low Profit</v>
      </c>
      <c r="T235" s="15" t="str">
        <f t="shared" si="19"/>
        <v>Low Sales</v>
      </c>
      <c r="U235" s="15" t="str">
        <f t="shared" si="20"/>
        <v>Good</v>
      </c>
      <c r="V235" s="15" t="str">
        <f t="shared" si="21"/>
        <v>Normal Discount</v>
      </c>
      <c r="W235" s="15">
        <f>VLOOKUP(D235,Lookup_Table!$A:$C,2,FALSE)</f>
        <v>0.12</v>
      </c>
      <c r="X235" s="15">
        <f t="shared" si="22"/>
        <v>0.231133297228567</v>
      </c>
      <c r="Y235" s="15" t="str">
        <f>VLOOKUP(D235,Lookup_Table!A:C,3,0)</f>
        <v>Rahul</v>
      </c>
      <c r="Z235" s="15" t="str">
        <f t="shared" si="23"/>
        <v>Achived</v>
      </c>
    </row>
    <row r="236" spans="1:26">
      <c r="A236" s="13" t="s">
        <v>327</v>
      </c>
      <c r="B236" s="14">
        <v>45962</v>
      </c>
      <c r="C236" s="13" t="s">
        <v>27</v>
      </c>
      <c r="D236" s="13" t="s">
        <v>44</v>
      </c>
      <c r="E236" s="13" t="s">
        <v>45</v>
      </c>
      <c r="F236" s="13" t="s">
        <v>30</v>
      </c>
      <c r="G236" s="13" t="s">
        <v>31</v>
      </c>
      <c r="H236" s="13" t="s">
        <v>32</v>
      </c>
      <c r="I236" s="13" t="s">
        <v>96</v>
      </c>
      <c r="J236" s="13">
        <v>4</v>
      </c>
      <c r="K236" s="13">
        <v>494.51</v>
      </c>
      <c r="L236" s="13">
        <v>0</v>
      </c>
      <c r="M236" s="13">
        <v>1978.04</v>
      </c>
      <c r="N236" s="13">
        <v>1520.29</v>
      </c>
      <c r="O236" s="13">
        <v>457.75</v>
      </c>
      <c r="P236" s="13">
        <v>3.6</v>
      </c>
      <c r="Q236" s="13" t="s">
        <v>71</v>
      </c>
      <c r="R236" s="13">
        <v>2025</v>
      </c>
      <c r="S236" s="15" t="str">
        <f t="shared" si="18"/>
        <v>Low Profit</v>
      </c>
      <c r="T236" s="15" t="str">
        <f t="shared" si="19"/>
        <v>High Sales</v>
      </c>
      <c r="U236" s="15" t="str">
        <f t="shared" si="20"/>
        <v>Needs Improvement</v>
      </c>
      <c r="V236" s="15" t="str">
        <f t="shared" si="21"/>
        <v>Normal Discount</v>
      </c>
      <c r="W236" s="15">
        <f>VLOOKUP(D236,Lookup_Table!$A:$C,2,FALSE)</f>
        <v>0.18</v>
      </c>
      <c r="X236" s="15">
        <f t="shared" si="22"/>
        <v>0.231415947099149</v>
      </c>
      <c r="Y236" s="15" t="str">
        <f>VLOOKUP(D236,Lookup_Table!A:C,3,0)</f>
        <v>Amit</v>
      </c>
      <c r="Z236" s="15" t="str">
        <f t="shared" si="23"/>
        <v>Achived</v>
      </c>
    </row>
    <row r="237" spans="1:26">
      <c r="A237" s="13" t="s">
        <v>328</v>
      </c>
      <c r="B237" s="14">
        <v>45835</v>
      </c>
      <c r="C237" s="13" t="s">
        <v>27</v>
      </c>
      <c r="D237" s="13" t="s">
        <v>44</v>
      </c>
      <c r="E237" s="13" t="s">
        <v>104</v>
      </c>
      <c r="F237" s="13" t="s">
        <v>75</v>
      </c>
      <c r="G237" s="13" t="s">
        <v>76</v>
      </c>
      <c r="H237" s="13" t="s">
        <v>77</v>
      </c>
      <c r="I237" s="13" t="s">
        <v>46</v>
      </c>
      <c r="J237" s="13">
        <v>3</v>
      </c>
      <c r="K237" s="13">
        <v>871.92</v>
      </c>
      <c r="L237" s="13">
        <v>0.2</v>
      </c>
      <c r="M237" s="13">
        <v>2092.61</v>
      </c>
      <c r="N237" s="13">
        <v>1607.7</v>
      </c>
      <c r="O237" s="13">
        <v>484.91</v>
      </c>
      <c r="P237" s="13">
        <v>2.7</v>
      </c>
      <c r="Q237" s="13" t="s">
        <v>58</v>
      </c>
      <c r="R237" s="13">
        <v>2025</v>
      </c>
      <c r="S237" s="15" t="str">
        <f t="shared" si="18"/>
        <v>Low Profit</v>
      </c>
      <c r="T237" s="15" t="str">
        <f t="shared" si="19"/>
        <v>High Sales</v>
      </c>
      <c r="U237" s="15" t="str">
        <f t="shared" si="20"/>
        <v>Needs Improvement</v>
      </c>
      <c r="V237" s="15" t="str">
        <f t="shared" si="21"/>
        <v>High Discount</v>
      </c>
      <c r="W237" s="15">
        <f>VLOOKUP(D237,Lookup_Table!$A:$C,2,FALSE)</f>
        <v>0.18</v>
      </c>
      <c r="X237" s="15">
        <f t="shared" si="22"/>
        <v>0.231724975031181</v>
      </c>
      <c r="Y237" s="15" t="str">
        <f>VLOOKUP(D237,Lookup_Table!A:C,3,0)</f>
        <v>Amit</v>
      </c>
      <c r="Z237" s="15" t="str">
        <f t="shared" si="23"/>
        <v>Achived</v>
      </c>
    </row>
    <row r="238" spans="1:26">
      <c r="A238" s="13" t="s">
        <v>329</v>
      </c>
      <c r="B238" s="14">
        <v>45763</v>
      </c>
      <c r="C238" s="13" t="s">
        <v>27</v>
      </c>
      <c r="D238" s="13" t="s">
        <v>37</v>
      </c>
      <c r="E238" s="13" t="s">
        <v>86</v>
      </c>
      <c r="F238" s="13" t="s">
        <v>98</v>
      </c>
      <c r="G238" s="13" t="s">
        <v>99</v>
      </c>
      <c r="H238" s="13" t="s">
        <v>77</v>
      </c>
      <c r="I238" s="13" t="s">
        <v>33</v>
      </c>
      <c r="J238" s="13">
        <v>2</v>
      </c>
      <c r="K238" s="13">
        <v>220.1</v>
      </c>
      <c r="L238" s="13">
        <v>0.1</v>
      </c>
      <c r="M238" s="13">
        <v>396.18</v>
      </c>
      <c r="N238" s="13">
        <v>304.32</v>
      </c>
      <c r="O238" s="13">
        <v>91.86</v>
      </c>
      <c r="P238" s="13">
        <v>3.6</v>
      </c>
      <c r="Q238" s="13" t="s">
        <v>84</v>
      </c>
      <c r="R238" s="13">
        <v>2025</v>
      </c>
      <c r="S238" s="15" t="str">
        <f t="shared" si="18"/>
        <v>Low Profit</v>
      </c>
      <c r="T238" s="15" t="str">
        <f t="shared" si="19"/>
        <v>Low Sales</v>
      </c>
      <c r="U238" s="15" t="str">
        <f t="shared" si="20"/>
        <v>Needs Improvement</v>
      </c>
      <c r="V238" s="15" t="str">
        <f t="shared" si="21"/>
        <v>Normal Discount</v>
      </c>
      <c r="W238" s="15">
        <f>VLOOKUP(D238,Lookup_Table!$A:$C,2,FALSE)</f>
        <v>0.16</v>
      </c>
      <c r="X238" s="15">
        <f t="shared" si="22"/>
        <v>0.231864304104195</v>
      </c>
      <c r="Y238" s="15" t="str">
        <f>VLOOKUP(D238,Lookup_Table!A:C,3,0)</f>
        <v>Vikram</v>
      </c>
      <c r="Z238" s="15" t="str">
        <f t="shared" si="23"/>
        <v>Achived</v>
      </c>
    </row>
    <row r="239" spans="1:26">
      <c r="A239" s="13" t="s">
        <v>330</v>
      </c>
      <c r="B239" s="14">
        <v>45989</v>
      </c>
      <c r="C239" s="13" t="s">
        <v>36</v>
      </c>
      <c r="D239" s="13" t="s">
        <v>80</v>
      </c>
      <c r="E239" s="13" t="s">
        <v>101</v>
      </c>
      <c r="F239" s="13" t="s">
        <v>50</v>
      </c>
      <c r="G239" s="13" t="s">
        <v>51</v>
      </c>
      <c r="H239" s="13" t="s">
        <v>32</v>
      </c>
      <c r="I239" s="13" t="s">
        <v>46</v>
      </c>
      <c r="J239" s="13">
        <v>5</v>
      </c>
      <c r="K239" s="13">
        <v>44.94</v>
      </c>
      <c r="L239" s="13">
        <v>0.05</v>
      </c>
      <c r="M239" s="13">
        <v>213.46</v>
      </c>
      <c r="N239" s="13">
        <v>163.82</v>
      </c>
      <c r="O239" s="13">
        <v>49.64</v>
      </c>
      <c r="P239" s="13">
        <v>3.5</v>
      </c>
      <c r="Q239" s="13" t="s">
        <v>71</v>
      </c>
      <c r="R239" s="13">
        <v>2025</v>
      </c>
      <c r="S239" s="15" t="str">
        <f t="shared" si="18"/>
        <v>Low Profit</v>
      </c>
      <c r="T239" s="15" t="str">
        <f t="shared" si="19"/>
        <v>Low Sales</v>
      </c>
      <c r="U239" s="15" t="str">
        <f t="shared" si="20"/>
        <v>Needs Improvement</v>
      </c>
      <c r="V239" s="15" t="str">
        <f t="shared" si="21"/>
        <v>Normal Discount</v>
      </c>
      <c r="W239" s="15">
        <f>VLOOKUP(D239,Lookup_Table!$A:$C,2,FALSE)</f>
        <v>0.12</v>
      </c>
      <c r="X239" s="15">
        <f t="shared" si="22"/>
        <v>0.232549423779631</v>
      </c>
      <c r="Y239" s="15" t="str">
        <f>VLOOKUP(D239,Lookup_Table!A:C,3,0)</f>
        <v>Rahul</v>
      </c>
      <c r="Z239" s="15" t="str">
        <f t="shared" si="23"/>
        <v>Achived</v>
      </c>
    </row>
    <row r="240" spans="1:26">
      <c r="A240" s="13" t="s">
        <v>331</v>
      </c>
      <c r="B240" s="14">
        <v>45945</v>
      </c>
      <c r="C240" s="13" t="s">
        <v>55</v>
      </c>
      <c r="D240" s="13" t="s">
        <v>28</v>
      </c>
      <c r="E240" s="13" t="s">
        <v>29</v>
      </c>
      <c r="F240" s="13" t="s">
        <v>75</v>
      </c>
      <c r="G240" s="13" t="s">
        <v>76</v>
      </c>
      <c r="H240" s="13" t="s">
        <v>77</v>
      </c>
      <c r="I240" s="13" t="s">
        <v>52</v>
      </c>
      <c r="J240" s="13">
        <v>5</v>
      </c>
      <c r="K240" s="13">
        <v>42.69</v>
      </c>
      <c r="L240" s="13">
        <v>0</v>
      </c>
      <c r="M240" s="13">
        <v>213.45</v>
      </c>
      <c r="N240" s="13">
        <v>163.65</v>
      </c>
      <c r="O240" s="13">
        <v>49.8</v>
      </c>
      <c r="P240" s="13">
        <v>4.9</v>
      </c>
      <c r="Q240" s="13" t="s">
        <v>87</v>
      </c>
      <c r="R240" s="13">
        <v>2025</v>
      </c>
      <c r="S240" s="15" t="str">
        <f t="shared" si="18"/>
        <v>Low Profit</v>
      </c>
      <c r="T240" s="15" t="str">
        <f t="shared" si="19"/>
        <v>Low Sales</v>
      </c>
      <c r="U240" s="15" t="str">
        <f t="shared" si="20"/>
        <v>Good</v>
      </c>
      <c r="V240" s="15" t="str">
        <f t="shared" si="21"/>
        <v>Normal Discount</v>
      </c>
      <c r="W240" s="15">
        <f>VLOOKUP(D240,Lookup_Table!$A:$C,2,FALSE)</f>
        <v>0.2</v>
      </c>
      <c r="X240" s="15">
        <f t="shared" si="22"/>
        <v>0.23330990864371</v>
      </c>
      <c r="Y240" s="15" t="str">
        <f>VLOOKUP(D240,Lookup_Table!A:C,3,0)</f>
        <v>Sneha</v>
      </c>
      <c r="Z240" s="15" t="str">
        <f t="shared" si="23"/>
        <v>Achived</v>
      </c>
    </row>
    <row r="241" spans="1:26">
      <c r="A241" s="13" t="s">
        <v>332</v>
      </c>
      <c r="B241" s="14">
        <v>45833</v>
      </c>
      <c r="C241" s="13" t="s">
        <v>55</v>
      </c>
      <c r="D241" s="13" t="s">
        <v>44</v>
      </c>
      <c r="E241" s="13" t="s">
        <v>143</v>
      </c>
      <c r="F241" s="13" t="s">
        <v>50</v>
      </c>
      <c r="G241" s="13" t="s">
        <v>51</v>
      </c>
      <c r="H241" s="13" t="s">
        <v>32</v>
      </c>
      <c r="I241" s="13" t="s">
        <v>33</v>
      </c>
      <c r="J241" s="13">
        <v>2</v>
      </c>
      <c r="K241" s="13">
        <v>1293.46</v>
      </c>
      <c r="L241" s="13">
        <v>0.1</v>
      </c>
      <c r="M241" s="13">
        <v>2328.23</v>
      </c>
      <c r="N241" s="13">
        <v>1783.85</v>
      </c>
      <c r="O241" s="13">
        <v>544.38</v>
      </c>
      <c r="P241" s="13">
        <v>4.7</v>
      </c>
      <c r="Q241" s="13" t="s">
        <v>58</v>
      </c>
      <c r="R241" s="13">
        <v>2025</v>
      </c>
      <c r="S241" s="15" t="str">
        <f t="shared" si="18"/>
        <v>High Profit</v>
      </c>
      <c r="T241" s="15" t="str">
        <f t="shared" si="19"/>
        <v>High Sales</v>
      </c>
      <c r="U241" s="15" t="str">
        <f t="shared" si="20"/>
        <v>Good</v>
      </c>
      <c r="V241" s="15" t="str">
        <f t="shared" si="21"/>
        <v>Normal Discount</v>
      </c>
      <c r="W241" s="15">
        <f>VLOOKUP(D241,Lookup_Table!$A:$C,2,FALSE)</f>
        <v>0.18</v>
      </c>
      <c r="X241" s="15">
        <f t="shared" si="22"/>
        <v>0.23381710569832</v>
      </c>
      <c r="Y241" s="15" t="str">
        <f>VLOOKUP(D241,Lookup_Table!A:C,3,0)</f>
        <v>Amit</v>
      </c>
      <c r="Z241" s="15" t="str">
        <f t="shared" si="23"/>
        <v>Achived</v>
      </c>
    </row>
    <row r="242" spans="1:26">
      <c r="A242" s="13" t="s">
        <v>333</v>
      </c>
      <c r="B242" s="14">
        <v>45944</v>
      </c>
      <c r="C242" s="13" t="s">
        <v>36</v>
      </c>
      <c r="D242" s="13" t="s">
        <v>28</v>
      </c>
      <c r="E242" s="13" t="s">
        <v>73</v>
      </c>
      <c r="F242" s="13" t="s">
        <v>75</v>
      </c>
      <c r="G242" s="13" t="s">
        <v>76</v>
      </c>
      <c r="H242" s="13" t="s">
        <v>77</v>
      </c>
      <c r="I242" s="13" t="s">
        <v>52</v>
      </c>
      <c r="J242" s="13">
        <v>3</v>
      </c>
      <c r="K242" s="13">
        <v>98.78</v>
      </c>
      <c r="L242" s="13">
        <v>0.15</v>
      </c>
      <c r="M242" s="13">
        <v>251.89</v>
      </c>
      <c r="N242" s="13">
        <v>192.98</v>
      </c>
      <c r="O242" s="13">
        <v>58.91</v>
      </c>
      <c r="P242" s="13">
        <v>4</v>
      </c>
      <c r="Q242" s="13" t="s">
        <v>87</v>
      </c>
      <c r="R242" s="13">
        <v>2025</v>
      </c>
      <c r="S242" s="15" t="str">
        <f t="shared" si="18"/>
        <v>Low Profit</v>
      </c>
      <c r="T242" s="15" t="str">
        <f t="shared" si="19"/>
        <v>Low Sales</v>
      </c>
      <c r="U242" s="15" t="str">
        <f t="shared" si="20"/>
        <v>Good</v>
      </c>
      <c r="V242" s="15" t="str">
        <f t="shared" si="21"/>
        <v>High Discount</v>
      </c>
      <c r="W242" s="15">
        <f>VLOOKUP(D242,Lookup_Table!$A:$C,2,FALSE)</f>
        <v>0.2</v>
      </c>
      <c r="X242" s="15">
        <f t="shared" si="22"/>
        <v>0.233871928222637</v>
      </c>
      <c r="Y242" s="15" t="str">
        <f>VLOOKUP(D242,Lookup_Table!A:C,3,0)</f>
        <v>Sneha</v>
      </c>
      <c r="Z242" s="15" t="str">
        <f t="shared" si="23"/>
        <v>Achived</v>
      </c>
    </row>
    <row r="243" spans="1:26">
      <c r="A243" s="13" t="s">
        <v>334</v>
      </c>
      <c r="B243" s="14">
        <v>45934</v>
      </c>
      <c r="C243" s="13" t="s">
        <v>55</v>
      </c>
      <c r="D243" s="13" t="s">
        <v>44</v>
      </c>
      <c r="E243" s="13" t="s">
        <v>143</v>
      </c>
      <c r="F243" s="13" t="s">
        <v>116</v>
      </c>
      <c r="G243" s="13" t="s">
        <v>117</v>
      </c>
      <c r="H243" s="13" t="s">
        <v>32</v>
      </c>
      <c r="I243" s="13" t="s">
        <v>52</v>
      </c>
      <c r="J243" s="13">
        <v>7</v>
      </c>
      <c r="K243" s="13">
        <v>1214.09</v>
      </c>
      <c r="L243" s="13">
        <v>0.2</v>
      </c>
      <c r="M243" s="13">
        <v>6798.9</v>
      </c>
      <c r="N243" s="13">
        <v>5208.64</v>
      </c>
      <c r="O243" s="13">
        <v>1590.26</v>
      </c>
      <c r="P243" s="13">
        <v>3.7</v>
      </c>
      <c r="Q243" s="13" t="s">
        <v>87</v>
      </c>
      <c r="R243" s="13">
        <v>2025</v>
      </c>
      <c r="S243" s="15" t="str">
        <f t="shared" si="18"/>
        <v>High Profit</v>
      </c>
      <c r="T243" s="15" t="str">
        <f t="shared" si="19"/>
        <v>High Sales</v>
      </c>
      <c r="U243" s="15" t="str">
        <f t="shared" si="20"/>
        <v>Needs Improvement</v>
      </c>
      <c r="V243" s="15" t="str">
        <f t="shared" si="21"/>
        <v>High Discount</v>
      </c>
      <c r="W243" s="15">
        <f>VLOOKUP(D243,Lookup_Table!$A:$C,2,FALSE)</f>
        <v>0.18</v>
      </c>
      <c r="X243" s="15">
        <f t="shared" si="22"/>
        <v>0.23389960140611</v>
      </c>
      <c r="Y243" s="15" t="str">
        <f>VLOOKUP(D243,Lookup_Table!A:C,3,0)</f>
        <v>Amit</v>
      </c>
      <c r="Z243" s="15" t="str">
        <f t="shared" si="23"/>
        <v>Achived</v>
      </c>
    </row>
    <row r="244" spans="1:26">
      <c r="A244" s="13" t="s">
        <v>335</v>
      </c>
      <c r="B244" s="14">
        <v>45716</v>
      </c>
      <c r="C244" s="13" t="s">
        <v>27</v>
      </c>
      <c r="D244" s="13" t="s">
        <v>80</v>
      </c>
      <c r="E244" s="13" t="s">
        <v>101</v>
      </c>
      <c r="F244" s="13" t="s">
        <v>62</v>
      </c>
      <c r="G244" s="13" t="s">
        <v>63</v>
      </c>
      <c r="H244" s="13" t="s">
        <v>32</v>
      </c>
      <c r="I244" s="13" t="s">
        <v>52</v>
      </c>
      <c r="J244" s="13">
        <v>3</v>
      </c>
      <c r="K244" s="13">
        <v>56.87</v>
      </c>
      <c r="L244" s="13">
        <v>0</v>
      </c>
      <c r="M244" s="13">
        <v>170.61</v>
      </c>
      <c r="N244" s="13">
        <v>130.69</v>
      </c>
      <c r="O244" s="13">
        <v>39.92</v>
      </c>
      <c r="P244" s="13">
        <v>2.6</v>
      </c>
      <c r="Q244" s="13" t="s">
        <v>105</v>
      </c>
      <c r="R244" s="13">
        <v>2025</v>
      </c>
      <c r="S244" s="15" t="str">
        <f t="shared" si="18"/>
        <v>Low Profit</v>
      </c>
      <c r="T244" s="15" t="str">
        <f t="shared" si="19"/>
        <v>Low Sales</v>
      </c>
      <c r="U244" s="15" t="str">
        <f t="shared" si="20"/>
        <v>Needs Improvement</v>
      </c>
      <c r="V244" s="15" t="str">
        <f t="shared" si="21"/>
        <v>Normal Discount</v>
      </c>
      <c r="W244" s="15">
        <f>VLOOKUP(D244,Lookup_Table!$A:$C,2,FALSE)</f>
        <v>0.12</v>
      </c>
      <c r="X244" s="15">
        <f t="shared" si="22"/>
        <v>0.233983939980071</v>
      </c>
      <c r="Y244" s="15" t="str">
        <f>VLOOKUP(D244,Lookup_Table!A:C,3,0)</f>
        <v>Rahul</v>
      </c>
      <c r="Z244" s="15" t="str">
        <f t="shared" si="23"/>
        <v>Achived</v>
      </c>
    </row>
    <row r="245" spans="1:26">
      <c r="A245" s="13" t="s">
        <v>336</v>
      </c>
      <c r="B245" s="14">
        <v>45867</v>
      </c>
      <c r="C245" s="13" t="s">
        <v>27</v>
      </c>
      <c r="D245" s="13" t="s">
        <v>28</v>
      </c>
      <c r="E245" s="13" t="s">
        <v>73</v>
      </c>
      <c r="F245" s="13" t="s">
        <v>50</v>
      </c>
      <c r="G245" s="13" t="s">
        <v>51</v>
      </c>
      <c r="H245" s="13" t="s">
        <v>32</v>
      </c>
      <c r="I245" s="13" t="s">
        <v>52</v>
      </c>
      <c r="J245" s="13">
        <v>4</v>
      </c>
      <c r="K245" s="13">
        <v>111.04</v>
      </c>
      <c r="L245" s="13">
        <v>0.1</v>
      </c>
      <c r="M245" s="13">
        <v>399.74</v>
      </c>
      <c r="N245" s="13">
        <v>306.14</v>
      </c>
      <c r="O245" s="13">
        <v>93.6</v>
      </c>
      <c r="P245" s="13">
        <v>3.5</v>
      </c>
      <c r="Q245" s="13" t="s">
        <v>56</v>
      </c>
      <c r="R245" s="13">
        <v>2025</v>
      </c>
      <c r="S245" s="15" t="str">
        <f t="shared" si="18"/>
        <v>Low Profit</v>
      </c>
      <c r="T245" s="15" t="str">
        <f t="shared" si="19"/>
        <v>Low Sales</v>
      </c>
      <c r="U245" s="15" t="str">
        <f t="shared" si="20"/>
        <v>Needs Improvement</v>
      </c>
      <c r="V245" s="15" t="str">
        <f t="shared" si="21"/>
        <v>Normal Discount</v>
      </c>
      <c r="W245" s="15">
        <f>VLOOKUP(D245,Lookup_Table!$A:$C,2,FALSE)</f>
        <v>0.2</v>
      </c>
      <c r="X245" s="15">
        <f t="shared" si="22"/>
        <v>0.234152198929304</v>
      </c>
      <c r="Y245" s="15" t="str">
        <f>VLOOKUP(D245,Lookup_Table!A:C,3,0)</f>
        <v>Sneha</v>
      </c>
      <c r="Z245" s="15" t="str">
        <f t="shared" si="23"/>
        <v>Achived</v>
      </c>
    </row>
    <row r="246" spans="1:26">
      <c r="A246" s="13" t="s">
        <v>337</v>
      </c>
      <c r="B246" s="14">
        <v>46005</v>
      </c>
      <c r="C246" s="13" t="s">
        <v>36</v>
      </c>
      <c r="D246" s="13" t="s">
        <v>60</v>
      </c>
      <c r="E246" s="13" t="s">
        <v>61</v>
      </c>
      <c r="F246" s="13" t="s">
        <v>111</v>
      </c>
      <c r="G246" s="13" t="s">
        <v>76</v>
      </c>
      <c r="H246" s="13" t="s">
        <v>77</v>
      </c>
      <c r="I246" s="13" t="s">
        <v>33</v>
      </c>
      <c r="J246" s="13">
        <v>4</v>
      </c>
      <c r="K246" s="13">
        <v>789.1</v>
      </c>
      <c r="L246" s="13">
        <v>0.05</v>
      </c>
      <c r="M246" s="13">
        <v>2998.58</v>
      </c>
      <c r="N246" s="13">
        <v>2296.03</v>
      </c>
      <c r="O246" s="13">
        <v>702.55</v>
      </c>
      <c r="P246" s="13">
        <v>2.9</v>
      </c>
      <c r="Q246" s="13" t="s">
        <v>34</v>
      </c>
      <c r="R246" s="13">
        <v>2025</v>
      </c>
      <c r="S246" s="15" t="str">
        <f t="shared" si="18"/>
        <v>High Profit</v>
      </c>
      <c r="T246" s="15" t="str">
        <f t="shared" si="19"/>
        <v>High Sales</v>
      </c>
      <c r="U246" s="15" t="str">
        <f t="shared" si="20"/>
        <v>Needs Improvement</v>
      </c>
      <c r="V246" s="15" t="str">
        <f t="shared" si="21"/>
        <v>Normal Discount</v>
      </c>
      <c r="W246" s="15">
        <f>VLOOKUP(D246,Lookup_Table!$A:$C,2,FALSE)</f>
        <v>0.15</v>
      </c>
      <c r="X246" s="15">
        <f t="shared" si="22"/>
        <v>0.234294232603432</v>
      </c>
      <c r="Y246" s="15" t="str">
        <f>VLOOKUP(D246,Lookup_Table!A:C,3,0)</f>
        <v>Priya</v>
      </c>
      <c r="Z246" s="15" t="str">
        <f t="shared" si="23"/>
        <v>Achived</v>
      </c>
    </row>
    <row r="247" spans="1:26">
      <c r="A247" s="13" t="s">
        <v>338</v>
      </c>
      <c r="B247" s="14">
        <v>45752</v>
      </c>
      <c r="C247" s="13" t="s">
        <v>55</v>
      </c>
      <c r="D247" s="13" t="s">
        <v>60</v>
      </c>
      <c r="E247" s="13" t="s">
        <v>66</v>
      </c>
      <c r="F247" s="13" t="s">
        <v>98</v>
      </c>
      <c r="G247" s="13" t="s">
        <v>99</v>
      </c>
      <c r="H247" s="13" t="s">
        <v>77</v>
      </c>
      <c r="I247" s="13" t="s">
        <v>96</v>
      </c>
      <c r="J247" s="13">
        <v>2</v>
      </c>
      <c r="K247" s="13">
        <v>422.21</v>
      </c>
      <c r="L247" s="13">
        <v>0.05</v>
      </c>
      <c r="M247" s="13">
        <v>802.2</v>
      </c>
      <c r="N247" s="13">
        <v>613.6</v>
      </c>
      <c r="O247" s="13">
        <v>188.6</v>
      </c>
      <c r="P247" s="13">
        <v>3.8</v>
      </c>
      <c r="Q247" s="13" t="s">
        <v>84</v>
      </c>
      <c r="R247" s="13">
        <v>2025</v>
      </c>
      <c r="S247" s="15" t="str">
        <f t="shared" si="18"/>
        <v>Low Profit</v>
      </c>
      <c r="T247" s="15" t="str">
        <f t="shared" si="19"/>
        <v>Low Sales</v>
      </c>
      <c r="U247" s="15" t="str">
        <f t="shared" si="20"/>
        <v>Needs Improvement</v>
      </c>
      <c r="V247" s="15" t="str">
        <f t="shared" si="21"/>
        <v>Normal Discount</v>
      </c>
      <c r="W247" s="15">
        <f>VLOOKUP(D247,Lookup_Table!$A:$C,2,FALSE)</f>
        <v>0.15</v>
      </c>
      <c r="X247" s="15">
        <f t="shared" si="22"/>
        <v>0.235103465469958</v>
      </c>
      <c r="Y247" s="15" t="str">
        <f>VLOOKUP(D247,Lookup_Table!A:C,3,0)</f>
        <v>Priya</v>
      </c>
      <c r="Z247" s="15" t="str">
        <f t="shared" si="23"/>
        <v>Achived</v>
      </c>
    </row>
    <row r="248" spans="1:26">
      <c r="A248" s="13" t="s">
        <v>339</v>
      </c>
      <c r="B248" s="14">
        <v>45716</v>
      </c>
      <c r="C248" s="13" t="s">
        <v>55</v>
      </c>
      <c r="D248" s="13" t="s">
        <v>44</v>
      </c>
      <c r="E248" s="13" t="s">
        <v>143</v>
      </c>
      <c r="F248" s="13" t="s">
        <v>98</v>
      </c>
      <c r="G248" s="13" t="s">
        <v>99</v>
      </c>
      <c r="H248" s="13" t="s">
        <v>77</v>
      </c>
      <c r="I248" s="13" t="s">
        <v>46</v>
      </c>
      <c r="J248" s="13">
        <v>5</v>
      </c>
      <c r="K248" s="13">
        <v>1267.75</v>
      </c>
      <c r="L248" s="13">
        <v>0.05</v>
      </c>
      <c r="M248" s="13">
        <v>6021.81</v>
      </c>
      <c r="N248" s="13">
        <v>4603.14</v>
      </c>
      <c r="O248" s="13">
        <v>1418.67</v>
      </c>
      <c r="P248" s="13">
        <v>3.3</v>
      </c>
      <c r="Q248" s="13" t="s">
        <v>105</v>
      </c>
      <c r="R248" s="13">
        <v>2025</v>
      </c>
      <c r="S248" s="15" t="str">
        <f t="shared" si="18"/>
        <v>High Profit</v>
      </c>
      <c r="T248" s="15" t="str">
        <f t="shared" si="19"/>
        <v>High Sales</v>
      </c>
      <c r="U248" s="15" t="str">
        <f t="shared" si="20"/>
        <v>Needs Improvement</v>
      </c>
      <c r="V248" s="15" t="str">
        <f t="shared" si="21"/>
        <v>Normal Discount</v>
      </c>
      <c r="W248" s="15">
        <f>VLOOKUP(D248,Lookup_Table!$A:$C,2,FALSE)</f>
        <v>0.18</v>
      </c>
      <c r="X248" s="15">
        <f t="shared" si="22"/>
        <v>0.235588635310646</v>
      </c>
      <c r="Y248" s="15" t="str">
        <f>VLOOKUP(D248,Lookup_Table!A:C,3,0)</f>
        <v>Amit</v>
      </c>
      <c r="Z248" s="15" t="str">
        <f t="shared" si="23"/>
        <v>Achived</v>
      </c>
    </row>
    <row r="249" spans="1:26">
      <c r="A249" s="13" t="s">
        <v>340</v>
      </c>
      <c r="B249" s="14">
        <v>45669</v>
      </c>
      <c r="C249" s="13" t="s">
        <v>36</v>
      </c>
      <c r="D249" s="13" t="s">
        <v>44</v>
      </c>
      <c r="E249" s="13" t="s">
        <v>143</v>
      </c>
      <c r="F249" s="13" t="s">
        <v>75</v>
      </c>
      <c r="G249" s="13" t="s">
        <v>76</v>
      </c>
      <c r="H249" s="13" t="s">
        <v>77</v>
      </c>
      <c r="I249" s="13" t="s">
        <v>46</v>
      </c>
      <c r="J249" s="13">
        <v>6</v>
      </c>
      <c r="K249" s="13">
        <v>138.93</v>
      </c>
      <c r="L249" s="13">
        <v>0.05</v>
      </c>
      <c r="M249" s="13">
        <v>791.9</v>
      </c>
      <c r="N249" s="13">
        <v>605.26</v>
      </c>
      <c r="O249" s="13">
        <v>186.64</v>
      </c>
      <c r="P249" s="13">
        <v>2.9</v>
      </c>
      <c r="Q249" s="13" t="s">
        <v>64</v>
      </c>
      <c r="R249" s="13">
        <v>2025</v>
      </c>
      <c r="S249" s="15" t="str">
        <f t="shared" si="18"/>
        <v>Low Profit</v>
      </c>
      <c r="T249" s="15" t="str">
        <f t="shared" si="19"/>
        <v>Low Sales</v>
      </c>
      <c r="U249" s="15" t="str">
        <f t="shared" si="20"/>
        <v>Needs Improvement</v>
      </c>
      <c r="V249" s="15" t="str">
        <f t="shared" si="21"/>
        <v>Normal Discount</v>
      </c>
      <c r="W249" s="15">
        <f>VLOOKUP(D249,Lookup_Table!$A:$C,2,FALSE)</f>
        <v>0.18</v>
      </c>
      <c r="X249" s="15">
        <f t="shared" si="22"/>
        <v>0.235686324030812</v>
      </c>
      <c r="Y249" s="15" t="str">
        <f>VLOOKUP(D249,Lookup_Table!A:C,3,0)</f>
        <v>Amit</v>
      </c>
      <c r="Z249" s="15" t="str">
        <f t="shared" si="23"/>
        <v>Achived</v>
      </c>
    </row>
    <row r="250" spans="1:26">
      <c r="A250" s="13" t="s">
        <v>341</v>
      </c>
      <c r="B250" s="14">
        <v>45678</v>
      </c>
      <c r="C250" s="13" t="s">
        <v>27</v>
      </c>
      <c r="D250" s="13" t="s">
        <v>44</v>
      </c>
      <c r="E250" s="13" t="s">
        <v>104</v>
      </c>
      <c r="F250" s="13" t="s">
        <v>39</v>
      </c>
      <c r="G250" s="13" t="s">
        <v>40</v>
      </c>
      <c r="H250" s="13" t="s">
        <v>41</v>
      </c>
      <c r="I250" s="13" t="s">
        <v>96</v>
      </c>
      <c r="J250" s="13">
        <v>5</v>
      </c>
      <c r="K250" s="13">
        <v>1383.06</v>
      </c>
      <c r="L250" s="13">
        <v>0.1</v>
      </c>
      <c r="M250" s="13">
        <v>6223.77</v>
      </c>
      <c r="N250" s="13">
        <v>4756.43</v>
      </c>
      <c r="O250" s="13">
        <v>1467.34</v>
      </c>
      <c r="P250" s="13">
        <v>2.9</v>
      </c>
      <c r="Q250" s="13" t="s">
        <v>64</v>
      </c>
      <c r="R250" s="13">
        <v>2025</v>
      </c>
      <c r="S250" s="15" t="str">
        <f t="shared" si="18"/>
        <v>High Profit</v>
      </c>
      <c r="T250" s="15" t="str">
        <f t="shared" si="19"/>
        <v>High Sales</v>
      </c>
      <c r="U250" s="15" t="str">
        <f t="shared" si="20"/>
        <v>Needs Improvement</v>
      </c>
      <c r="V250" s="15" t="str">
        <f t="shared" si="21"/>
        <v>Normal Discount</v>
      </c>
      <c r="W250" s="15">
        <f>VLOOKUP(D250,Lookup_Table!$A:$C,2,FALSE)</f>
        <v>0.18</v>
      </c>
      <c r="X250" s="15">
        <f t="shared" si="22"/>
        <v>0.235763853741382</v>
      </c>
      <c r="Y250" s="15" t="str">
        <f>VLOOKUP(D250,Lookup_Table!A:C,3,0)</f>
        <v>Amit</v>
      </c>
      <c r="Z250" s="15" t="str">
        <f t="shared" si="23"/>
        <v>Achived</v>
      </c>
    </row>
    <row r="251" spans="1:26">
      <c r="A251" s="13" t="s">
        <v>342</v>
      </c>
      <c r="B251" s="14">
        <v>45917</v>
      </c>
      <c r="C251" s="13" t="s">
        <v>55</v>
      </c>
      <c r="D251" s="13" t="s">
        <v>28</v>
      </c>
      <c r="E251" s="13" t="s">
        <v>90</v>
      </c>
      <c r="F251" s="13" t="s">
        <v>62</v>
      </c>
      <c r="G251" s="13" t="s">
        <v>63</v>
      </c>
      <c r="H251" s="13" t="s">
        <v>32</v>
      </c>
      <c r="I251" s="13" t="s">
        <v>46</v>
      </c>
      <c r="J251" s="13">
        <v>2</v>
      </c>
      <c r="K251" s="13">
        <v>121.06</v>
      </c>
      <c r="L251" s="13">
        <v>0.05</v>
      </c>
      <c r="M251" s="13">
        <v>230.01</v>
      </c>
      <c r="N251" s="13">
        <v>175.73</v>
      </c>
      <c r="O251" s="13">
        <v>54.28</v>
      </c>
      <c r="P251" s="13">
        <v>4.7</v>
      </c>
      <c r="Q251" s="13" t="s">
        <v>53</v>
      </c>
      <c r="R251" s="13">
        <v>2025</v>
      </c>
      <c r="S251" s="15" t="str">
        <f t="shared" si="18"/>
        <v>Low Profit</v>
      </c>
      <c r="T251" s="15" t="str">
        <f t="shared" si="19"/>
        <v>Low Sales</v>
      </c>
      <c r="U251" s="15" t="str">
        <f t="shared" si="20"/>
        <v>Good</v>
      </c>
      <c r="V251" s="15" t="str">
        <f t="shared" si="21"/>
        <v>Normal Discount</v>
      </c>
      <c r="W251" s="15">
        <f>VLOOKUP(D251,Lookup_Table!$A:$C,2,FALSE)</f>
        <v>0.2</v>
      </c>
      <c r="X251" s="15">
        <f t="shared" si="22"/>
        <v>0.23598973957654</v>
      </c>
      <c r="Y251" s="15" t="str">
        <f>VLOOKUP(D251,Lookup_Table!A:C,3,0)</f>
        <v>Sneha</v>
      </c>
      <c r="Z251" s="15" t="str">
        <f t="shared" si="23"/>
        <v>Achived</v>
      </c>
    </row>
    <row r="252" spans="1:26">
      <c r="A252" s="13" t="s">
        <v>343</v>
      </c>
      <c r="B252" s="14">
        <v>45904</v>
      </c>
      <c r="C252" s="13" t="s">
        <v>27</v>
      </c>
      <c r="D252" s="13" t="s">
        <v>44</v>
      </c>
      <c r="E252" s="13" t="s">
        <v>104</v>
      </c>
      <c r="F252" s="13" t="s">
        <v>82</v>
      </c>
      <c r="G252" s="13" t="s">
        <v>83</v>
      </c>
      <c r="H252" s="13" t="s">
        <v>77</v>
      </c>
      <c r="I252" s="13" t="s">
        <v>52</v>
      </c>
      <c r="J252" s="13">
        <v>4</v>
      </c>
      <c r="K252" s="13">
        <v>605.73</v>
      </c>
      <c r="L252" s="13">
        <v>0.05</v>
      </c>
      <c r="M252" s="13">
        <v>2301.77</v>
      </c>
      <c r="N252" s="13">
        <v>1757.03</v>
      </c>
      <c r="O252" s="13">
        <v>544.74</v>
      </c>
      <c r="P252" s="13">
        <v>3.4</v>
      </c>
      <c r="Q252" s="13" t="s">
        <v>53</v>
      </c>
      <c r="R252" s="13">
        <v>2025</v>
      </c>
      <c r="S252" s="15" t="str">
        <f t="shared" si="18"/>
        <v>High Profit</v>
      </c>
      <c r="T252" s="15" t="str">
        <f t="shared" si="19"/>
        <v>High Sales</v>
      </c>
      <c r="U252" s="15" t="str">
        <f t="shared" si="20"/>
        <v>Needs Improvement</v>
      </c>
      <c r="V252" s="15" t="str">
        <f t="shared" si="21"/>
        <v>Normal Discount</v>
      </c>
      <c r="W252" s="15">
        <f>VLOOKUP(D252,Lookup_Table!$A:$C,2,FALSE)</f>
        <v>0.18</v>
      </c>
      <c r="X252" s="15">
        <f t="shared" si="22"/>
        <v>0.236661351916134</v>
      </c>
      <c r="Y252" s="15" t="str">
        <f>VLOOKUP(D252,Lookup_Table!A:C,3,0)</f>
        <v>Amit</v>
      </c>
      <c r="Z252" s="15" t="str">
        <f t="shared" si="23"/>
        <v>Achived</v>
      </c>
    </row>
    <row r="253" spans="1:26">
      <c r="A253" s="13" t="s">
        <v>344</v>
      </c>
      <c r="B253" s="14">
        <v>45936</v>
      </c>
      <c r="C253" s="13" t="s">
        <v>36</v>
      </c>
      <c r="D253" s="13" t="s">
        <v>80</v>
      </c>
      <c r="E253" s="13" t="s">
        <v>115</v>
      </c>
      <c r="F253" s="13" t="s">
        <v>98</v>
      </c>
      <c r="G253" s="13" t="s">
        <v>99</v>
      </c>
      <c r="H253" s="13" t="s">
        <v>77</v>
      </c>
      <c r="I253" s="13" t="s">
        <v>46</v>
      </c>
      <c r="J253" s="13">
        <v>3</v>
      </c>
      <c r="K253" s="13">
        <v>76.08</v>
      </c>
      <c r="L253" s="13">
        <v>0.15</v>
      </c>
      <c r="M253" s="13">
        <v>194</v>
      </c>
      <c r="N253" s="13">
        <v>147.95</v>
      </c>
      <c r="O253" s="13">
        <v>46.05</v>
      </c>
      <c r="P253" s="13">
        <v>3.2</v>
      </c>
      <c r="Q253" s="13" t="s">
        <v>87</v>
      </c>
      <c r="R253" s="13">
        <v>2025</v>
      </c>
      <c r="S253" s="15" t="str">
        <f t="shared" si="18"/>
        <v>Low Profit</v>
      </c>
      <c r="T253" s="15" t="str">
        <f t="shared" si="19"/>
        <v>Low Sales</v>
      </c>
      <c r="U253" s="15" t="str">
        <f t="shared" si="20"/>
        <v>Needs Improvement</v>
      </c>
      <c r="V253" s="15" t="str">
        <f t="shared" si="21"/>
        <v>High Discount</v>
      </c>
      <c r="W253" s="15">
        <f>VLOOKUP(D253,Lookup_Table!$A:$C,2,FALSE)</f>
        <v>0.12</v>
      </c>
      <c r="X253" s="15">
        <f t="shared" si="22"/>
        <v>0.237371134020619</v>
      </c>
      <c r="Y253" s="15" t="str">
        <f>VLOOKUP(D253,Lookup_Table!A:C,3,0)</f>
        <v>Rahul</v>
      </c>
      <c r="Z253" s="15" t="str">
        <f t="shared" si="23"/>
        <v>Achived</v>
      </c>
    </row>
    <row r="254" spans="1:26">
      <c r="A254" s="13" t="s">
        <v>345</v>
      </c>
      <c r="B254" s="14">
        <v>45888</v>
      </c>
      <c r="C254" s="13" t="s">
        <v>27</v>
      </c>
      <c r="D254" s="13" t="s">
        <v>37</v>
      </c>
      <c r="E254" s="13" t="s">
        <v>93</v>
      </c>
      <c r="F254" s="13" t="s">
        <v>62</v>
      </c>
      <c r="G254" s="13" t="s">
        <v>63</v>
      </c>
      <c r="H254" s="13" t="s">
        <v>32</v>
      </c>
      <c r="I254" s="13" t="s">
        <v>33</v>
      </c>
      <c r="J254" s="13">
        <v>1</v>
      </c>
      <c r="K254" s="13">
        <v>77.18</v>
      </c>
      <c r="L254" s="13">
        <v>0.1</v>
      </c>
      <c r="M254" s="13">
        <v>69.46</v>
      </c>
      <c r="N254" s="13">
        <v>52.96</v>
      </c>
      <c r="O254" s="13">
        <v>16.5</v>
      </c>
      <c r="P254" s="13">
        <v>4.2</v>
      </c>
      <c r="Q254" s="13" t="s">
        <v>47</v>
      </c>
      <c r="R254" s="13">
        <v>2025</v>
      </c>
      <c r="S254" s="15" t="str">
        <f t="shared" si="18"/>
        <v>Low Profit</v>
      </c>
      <c r="T254" s="15" t="str">
        <f t="shared" si="19"/>
        <v>Low Sales</v>
      </c>
      <c r="U254" s="15" t="str">
        <f t="shared" si="20"/>
        <v>Good</v>
      </c>
      <c r="V254" s="15" t="str">
        <f t="shared" si="21"/>
        <v>Normal Discount</v>
      </c>
      <c r="W254" s="15">
        <f>VLOOKUP(D254,Lookup_Table!$A:$C,2,FALSE)</f>
        <v>0.16</v>
      </c>
      <c r="X254" s="15">
        <f t="shared" si="22"/>
        <v>0.237546789519148</v>
      </c>
      <c r="Y254" s="15" t="str">
        <f>VLOOKUP(D254,Lookup_Table!A:C,3,0)</f>
        <v>Vikram</v>
      </c>
      <c r="Z254" s="15" t="str">
        <f t="shared" si="23"/>
        <v>Achived</v>
      </c>
    </row>
    <row r="255" spans="1:26">
      <c r="A255" s="13" t="s">
        <v>346</v>
      </c>
      <c r="B255" s="14">
        <v>45773</v>
      </c>
      <c r="C255" s="13" t="s">
        <v>55</v>
      </c>
      <c r="D255" s="13" t="s">
        <v>37</v>
      </c>
      <c r="E255" s="13" t="s">
        <v>38</v>
      </c>
      <c r="F255" s="13" t="s">
        <v>82</v>
      </c>
      <c r="G255" s="13" t="s">
        <v>83</v>
      </c>
      <c r="H255" s="13" t="s">
        <v>77</v>
      </c>
      <c r="I255" s="13" t="s">
        <v>96</v>
      </c>
      <c r="J255" s="13">
        <v>1</v>
      </c>
      <c r="K255" s="13">
        <v>455.02</v>
      </c>
      <c r="L255" s="13">
        <v>0.1</v>
      </c>
      <c r="M255" s="13">
        <v>409.52</v>
      </c>
      <c r="N255" s="13">
        <v>312.05</v>
      </c>
      <c r="O255" s="13">
        <v>97.47</v>
      </c>
      <c r="P255" s="13">
        <v>3.7</v>
      </c>
      <c r="Q255" s="13" t="s">
        <v>84</v>
      </c>
      <c r="R255" s="13">
        <v>2025</v>
      </c>
      <c r="S255" s="15" t="str">
        <f t="shared" si="18"/>
        <v>Low Profit</v>
      </c>
      <c r="T255" s="15" t="str">
        <f t="shared" si="19"/>
        <v>Low Sales</v>
      </c>
      <c r="U255" s="15" t="str">
        <f t="shared" si="20"/>
        <v>Needs Improvement</v>
      </c>
      <c r="V255" s="15" t="str">
        <f t="shared" si="21"/>
        <v>Normal Discount</v>
      </c>
      <c r="W255" s="15">
        <f>VLOOKUP(D255,Lookup_Table!$A:$C,2,FALSE)</f>
        <v>0.16</v>
      </c>
      <c r="X255" s="15">
        <f t="shared" si="22"/>
        <v>0.238010353584685</v>
      </c>
      <c r="Y255" s="15" t="str">
        <f>VLOOKUP(D255,Lookup_Table!A:C,3,0)</f>
        <v>Vikram</v>
      </c>
      <c r="Z255" s="15" t="str">
        <f t="shared" si="23"/>
        <v>Achived</v>
      </c>
    </row>
    <row r="256" spans="1:26">
      <c r="A256" s="13" t="s">
        <v>347</v>
      </c>
      <c r="B256" s="14">
        <v>45813</v>
      </c>
      <c r="C256" s="13" t="s">
        <v>27</v>
      </c>
      <c r="D256" s="13" t="s">
        <v>44</v>
      </c>
      <c r="E256" s="13" t="s">
        <v>137</v>
      </c>
      <c r="F256" s="13" t="s">
        <v>39</v>
      </c>
      <c r="G256" s="13" t="s">
        <v>40</v>
      </c>
      <c r="H256" s="13" t="s">
        <v>41</v>
      </c>
      <c r="I256" s="13" t="s">
        <v>52</v>
      </c>
      <c r="J256" s="13">
        <v>4</v>
      </c>
      <c r="K256" s="13">
        <v>874.84</v>
      </c>
      <c r="L256" s="13">
        <v>0.1</v>
      </c>
      <c r="M256" s="13">
        <v>3149.42</v>
      </c>
      <c r="N256" s="13">
        <v>2398.75</v>
      </c>
      <c r="O256" s="13">
        <v>750.67</v>
      </c>
      <c r="P256" s="13">
        <v>2.7</v>
      </c>
      <c r="Q256" s="13" t="s">
        <v>58</v>
      </c>
      <c r="R256" s="13">
        <v>2025</v>
      </c>
      <c r="S256" s="15" t="str">
        <f t="shared" si="18"/>
        <v>High Profit</v>
      </c>
      <c r="T256" s="15" t="str">
        <f t="shared" si="19"/>
        <v>High Sales</v>
      </c>
      <c r="U256" s="15" t="str">
        <f t="shared" si="20"/>
        <v>Needs Improvement</v>
      </c>
      <c r="V256" s="15" t="str">
        <f t="shared" si="21"/>
        <v>Normal Discount</v>
      </c>
      <c r="W256" s="15">
        <f>VLOOKUP(D256,Lookup_Table!$A:$C,2,FALSE)</f>
        <v>0.18</v>
      </c>
      <c r="X256" s="15">
        <f t="shared" si="22"/>
        <v>0.238351823510361</v>
      </c>
      <c r="Y256" s="15" t="str">
        <f>VLOOKUP(D256,Lookup_Table!A:C,3,0)</f>
        <v>Amit</v>
      </c>
      <c r="Z256" s="15" t="str">
        <f t="shared" si="23"/>
        <v>Achived</v>
      </c>
    </row>
    <row r="257" spans="1:26">
      <c r="A257" s="13" t="s">
        <v>348</v>
      </c>
      <c r="B257" s="14">
        <v>45989</v>
      </c>
      <c r="C257" s="13" t="s">
        <v>55</v>
      </c>
      <c r="D257" s="13" t="s">
        <v>44</v>
      </c>
      <c r="E257" s="13" t="s">
        <v>45</v>
      </c>
      <c r="F257" s="13" t="s">
        <v>98</v>
      </c>
      <c r="G257" s="13" t="s">
        <v>99</v>
      </c>
      <c r="H257" s="13" t="s">
        <v>77</v>
      </c>
      <c r="I257" s="13" t="s">
        <v>46</v>
      </c>
      <c r="J257" s="13">
        <v>5</v>
      </c>
      <c r="K257" s="13">
        <v>981.57</v>
      </c>
      <c r="L257" s="13">
        <v>0</v>
      </c>
      <c r="M257" s="13">
        <v>4907.85</v>
      </c>
      <c r="N257" s="13">
        <v>3736.58</v>
      </c>
      <c r="O257" s="13">
        <v>1171.27</v>
      </c>
      <c r="P257" s="13">
        <v>4.5</v>
      </c>
      <c r="Q257" s="13" t="s">
        <v>71</v>
      </c>
      <c r="R257" s="13">
        <v>2025</v>
      </c>
      <c r="S257" s="15" t="str">
        <f t="shared" si="18"/>
        <v>High Profit</v>
      </c>
      <c r="T257" s="15" t="str">
        <f t="shared" si="19"/>
        <v>High Sales</v>
      </c>
      <c r="U257" s="15" t="str">
        <f t="shared" si="20"/>
        <v>Good</v>
      </c>
      <c r="V257" s="15" t="str">
        <f t="shared" si="21"/>
        <v>Normal Discount</v>
      </c>
      <c r="W257" s="15">
        <f>VLOOKUP(D257,Lookup_Table!$A:$C,2,FALSE)</f>
        <v>0.18</v>
      </c>
      <c r="X257" s="15">
        <f t="shared" si="22"/>
        <v>0.23865236305103</v>
      </c>
      <c r="Y257" s="15" t="str">
        <f>VLOOKUP(D257,Lookup_Table!A:C,3,0)</f>
        <v>Amit</v>
      </c>
      <c r="Z257" s="15" t="str">
        <f t="shared" si="23"/>
        <v>Achived</v>
      </c>
    </row>
    <row r="258" spans="1:26">
      <c r="A258" s="13" t="s">
        <v>349</v>
      </c>
      <c r="B258" s="14">
        <v>45698</v>
      </c>
      <c r="C258" s="13" t="s">
        <v>27</v>
      </c>
      <c r="D258" s="13" t="s">
        <v>60</v>
      </c>
      <c r="E258" s="13" t="s">
        <v>150</v>
      </c>
      <c r="F258" s="13" t="s">
        <v>30</v>
      </c>
      <c r="G258" s="13" t="s">
        <v>31</v>
      </c>
      <c r="H258" s="13" t="s">
        <v>32</v>
      </c>
      <c r="I258" s="13" t="s">
        <v>46</v>
      </c>
      <c r="J258" s="13">
        <v>2</v>
      </c>
      <c r="K258" s="13">
        <v>671.56</v>
      </c>
      <c r="L258" s="13">
        <v>0.05</v>
      </c>
      <c r="M258" s="13">
        <v>1275.96</v>
      </c>
      <c r="N258" s="13">
        <v>971.24</v>
      </c>
      <c r="O258" s="13">
        <v>304.72</v>
      </c>
      <c r="P258" s="13">
        <v>2.7</v>
      </c>
      <c r="Q258" s="13" t="s">
        <v>105</v>
      </c>
      <c r="R258" s="13">
        <v>2025</v>
      </c>
      <c r="S258" s="15" t="str">
        <f t="shared" ref="S258:S321" si="24">IF(O258&gt;500,"High Profit","Low Profit")</f>
        <v>Low Profit</v>
      </c>
      <c r="T258" s="15" t="str">
        <f t="shared" ref="T258:T321" si="25">IF(M258&gt;1000,"High Sales","Low Sales")</f>
        <v>High Sales</v>
      </c>
      <c r="U258" s="15" t="str">
        <f t="shared" ref="U258:U321" si="26">IF(P258&gt;=4,"Good","Needs Improvement")</f>
        <v>Needs Improvement</v>
      </c>
      <c r="V258" s="15" t="str">
        <f t="shared" ref="V258:V321" si="27">IF(L258&gt;=15%,"High Discount","Normal Discount")</f>
        <v>Normal Discount</v>
      </c>
      <c r="W258" s="15">
        <f>VLOOKUP(D258,Lookup_Table!$A:$C,2,FALSE)</f>
        <v>0.15</v>
      </c>
      <c r="X258" s="15">
        <f t="shared" ref="X258:X321" si="28">O258/M258</f>
        <v>0.238816263832722</v>
      </c>
      <c r="Y258" s="15" t="str">
        <f>VLOOKUP(D258,Lookup_Table!A:C,3,0)</f>
        <v>Priya</v>
      </c>
      <c r="Z258" s="15" t="str">
        <f t="shared" ref="Z258:Z321" si="29">IF(X258&gt;=W258,"Achived","Not Achieved")</f>
        <v>Achived</v>
      </c>
    </row>
    <row r="259" spans="1:26">
      <c r="A259" s="13" t="s">
        <v>350</v>
      </c>
      <c r="B259" s="14">
        <v>45908</v>
      </c>
      <c r="C259" s="13" t="s">
        <v>36</v>
      </c>
      <c r="D259" s="13" t="s">
        <v>44</v>
      </c>
      <c r="E259" s="13" t="s">
        <v>45</v>
      </c>
      <c r="F259" s="13" t="s">
        <v>67</v>
      </c>
      <c r="G259" s="13" t="s">
        <v>68</v>
      </c>
      <c r="H259" s="13" t="s">
        <v>69</v>
      </c>
      <c r="I259" s="13" t="s">
        <v>33</v>
      </c>
      <c r="J259" s="13">
        <v>7</v>
      </c>
      <c r="K259" s="13">
        <v>1151.49</v>
      </c>
      <c r="L259" s="13">
        <v>0.05</v>
      </c>
      <c r="M259" s="13">
        <v>7657.41</v>
      </c>
      <c r="N259" s="13">
        <v>5826.22</v>
      </c>
      <c r="O259" s="13">
        <v>1831.19</v>
      </c>
      <c r="P259" s="13">
        <v>3.6</v>
      </c>
      <c r="Q259" s="13" t="s">
        <v>53</v>
      </c>
      <c r="R259" s="13">
        <v>2025</v>
      </c>
      <c r="S259" s="15" t="str">
        <f t="shared" si="24"/>
        <v>High Profit</v>
      </c>
      <c r="T259" s="15" t="str">
        <f t="shared" si="25"/>
        <v>High Sales</v>
      </c>
      <c r="U259" s="15" t="str">
        <f t="shared" si="26"/>
        <v>Needs Improvement</v>
      </c>
      <c r="V259" s="15" t="str">
        <f t="shared" si="27"/>
        <v>Normal Discount</v>
      </c>
      <c r="W259" s="15">
        <f>VLOOKUP(D259,Lookup_Table!$A:$C,2,FALSE)</f>
        <v>0.18</v>
      </c>
      <c r="X259" s="15">
        <f t="shared" si="28"/>
        <v>0.23913960464439</v>
      </c>
      <c r="Y259" s="15" t="str">
        <f>VLOOKUP(D259,Lookup_Table!A:C,3,0)</f>
        <v>Amit</v>
      </c>
      <c r="Z259" s="15" t="str">
        <f t="shared" si="29"/>
        <v>Achived</v>
      </c>
    </row>
    <row r="260" spans="1:26">
      <c r="A260" s="13" t="s">
        <v>351</v>
      </c>
      <c r="B260" s="14">
        <v>45751</v>
      </c>
      <c r="C260" s="13" t="s">
        <v>27</v>
      </c>
      <c r="D260" s="13" t="s">
        <v>60</v>
      </c>
      <c r="E260" s="13" t="s">
        <v>150</v>
      </c>
      <c r="F260" s="13" t="s">
        <v>111</v>
      </c>
      <c r="G260" s="13" t="s">
        <v>76</v>
      </c>
      <c r="H260" s="13" t="s">
        <v>77</v>
      </c>
      <c r="I260" s="13" t="s">
        <v>33</v>
      </c>
      <c r="J260" s="13">
        <v>1</v>
      </c>
      <c r="K260" s="13">
        <v>115.61</v>
      </c>
      <c r="L260" s="13">
        <v>0.15</v>
      </c>
      <c r="M260" s="13">
        <v>98.27</v>
      </c>
      <c r="N260" s="13">
        <v>74.76</v>
      </c>
      <c r="O260" s="13">
        <v>23.51</v>
      </c>
      <c r="P260" s="13">
        <v>2.9</v>
      </c>
      <c r="Q260" s="13" t="s">
        <v>84</v>
      </c>
      <c r="R260" s="13">
        <v>2025</v>
      </c>
      <c r="S260" s="15" t="str">
        <f t="shared" si="24"/>
        <v>Low Profit</v>
      </c>
      <c r="T260" s="15" t="str">
        <f t="shared" si="25"/>
        <v>Low Sales</v>
      </c>
      <c r="U260" s="15" t="str">
        <f t="shared" si="26"/>
        <v>Needs Improvement</v>
      </c>
      <c r="V260" s="15" t="str">
        <f t="shared" si="27"/>
        <v>High Discount</v>
      </c>
      <c r="W260" s="15">
        <f>VLOOKUP(D260,Lookup_Table!$A:$C,2,FALSE)</f>
        <v>0.15</v>
      </c>
      <c r="X260" s="15">
        <f t="shared" si="28"/>
        <v>0.239238831789966</v>
      </c>
      <c r="Y260" s="15" t="str">
        <f>VLOOKUP(D260,Lookup_Table!A:C,3,0)</f>
        <v>Priya</v>
      </c>
      <c r="Z260" s="15" t="str">
        <f t="shared" si="29"/>
        <v>Achived</v>
      </c>
    </row>
    <row r="261" spans="1:26">
      <c r="A261" s="13" t="s">
        <v>352</v>
      </c>
      <c r="B261" s="14">
        <v>45953</v>
      </c>
      <c r="C261" s="13" t="s">
        <v>55</v>
      </c>
      <c r="D261" s="13" t="s">
        <v>80</v>
      </c>
      <c r="E261" s="13" t="s">
        <v>191</v>
      </c>
      <c r="F261" s="13" t="s">
        <v>75</v>
      </c>
      <c r="G261" s="13" t="s">
        <v>76</v>
      </c>
      <c r="H261" s="13" t="s">
        <v>77</v>
      </c>
      <c r="I261" s="13" t="s">
        <v>52</v>
      </c>
      <c r="J261" s="13">
        <v>7</v>
      </c>
      <c r="K261" s="13">
        <v>23.91</v>
      </c>
      <c r="L261" s="13">
        <v>0.05</v>
      </c>
      <c r="M261" s="13">
        <v>159</v>
      </c>
      <c r="N261" s="13">
        <v>120.9</v>
      </c>
      <c r="O261" s="13">
        <v>38.1</v>
      </c>
      <c r="P261" s="13">
        <v>3.3</v>
      </c>
      <c r="Q261" s="13" t="s">
        <v>87</v>
      </c>
      <c r="R261" s="13">
        <v>2025</v>
      </c>
      <c r="S261" s="15" t="str">
        <f t="shared" si="24"/>
        <v>Low Profit</v>
      </c>
      <c r="T261" s="15" t="str">
        <f t="shared" si="25"/>
        <v>Low Sales</v>
      </c>
      <c r="U261" s="15" t="str">
        <f t="shared" si="26"/>
        <v>Needs Improvement</v>
      </c>
      <c r="V261" s="15" t="str">
        <f t="shared" si="27"/>
        <v>Normal Discount</v>
      </c>
      <c r="W261" s="15">
        <f>VLOOKUP(D261,Lookup_Table!$A:$C,2,FALSE)</f>
        <v>0.12</v>
      </c>
      <c r="X261" s="15">
        <f t="shared" si="28"/>
        <v>0.239622641509434</v>
      </c>
      <c r="Y261" s="15" t="str">
        <f>VLOOKUP(D261,Lookup_Table!A:C,3,0)</f>
        <v>Rahul</v>
      </c>
      <c r="Z261" s="15" t="str">
        <f t="shared" si="29"/>
        <v>Achived</v>
      </c>
    </row>
    <row r="262" spans="1:26">
      <c r="A262" s="13" t="s">
        <v>353</v>
      </c>
      <c r="B262" s="14">
        <v>45819</v>
      </c>
      <c r="C262" s="13" t="s">
        <v>55</v>
      </c>
      <c r="D262" s="13" t="s">
        <v>44</v>
      </c>
      <c r="E262" s="13" t="s">
        <v>143</v>
      </c>
      <c r="F262" s="13" t="s">
        <v>50</v>
      </c>
      <c r="G262" s="13" t="s">
        <v>51</v>
      </c>
      <c r="H262" s="13" t="s">
        <v>32</v>
      </c>
      <c r="I262" s="13" t="s">
        <v>52</v>
      </c>
      <c r="J262" s="13">
        <v>3</v>
      </c>
      <c r="K262" s="13">
        <v>1371.14</v>
      </c>
      <c r="L262" s="13">
        <v>0.05</v>
      </c>
      <c r="M262" s="13">
        <v>3907.75</v>
      </c>
      <c r="N262" s="13">
        <v>2969.08</v>
      </c>
      <c r="O262" s="13">
        <v>938.67</v>
      </c>
      <c r="P262" s="13">
        <v>3.7</v>
      </c>
      <c r="Q262" s="13" t="s">
        <v>58</v>
      </c>
      <c r="R262" s="13">
        <v>2025</v>
      </c>
      <c r="S262" s="15" t="str">
        <f t="shared" si="24"/>
        <v>High Profit</v>
      </c>
      <c r="T262" s="15" t="str">
        <f t="shared" si="25"/>
        <v>High Sales</v>
      </c>
      <c r="U262" s="15" t="str">
        <f t="shared" si="26"/>
        <v>Needs Improvement</v>
      </c>
      <c r="V262" s="15" t="str">
        <f t="shared" si="27"/>
        <v>Normal Discount</v>
      </c>
      <c r="W262" s="15">
        <f>VLOOKUP(D262,Lookup_Table!$A:$C,2,FALSE)</f>
        <v>0.18</v>
      </c>
      <c r="X262" s="15">
        <f t="shared" si="28"/>
        <v>0.240207280404325</v>
      </c>
      <c r="Y262" s="15" t="str">
        <f>VLOOKUP(D262,Lookup_Table!A:C,3,0)</f>
        <v>Amit</v>
      </c>
      <c r="Z262" s="15" t="str">
        <f t="shared" si="29"/>
        <v>Achived</v>
      </c>
    </row>
    <row r="263" spans="1:26">
      <c r="A263" s="13" t="s">
        <v>354</v>
      </c>
      <c r="B263" s="14">
        <v>45930</v>
      </c>
      <c r="C263" s="13" t="s">
        <v>55</v>
      </c>
      <c r="D263" s="13" t="s">
        <v>80</v>
      </c>
      <c r="E263" s="13" t="s">
        <v>101</v>
      </c>
      <c r="F263" s="13" t="s">
        <v>67</v>
      </c>
      <c r="G263" s="13" t="s">
        <v>68</v>
      </c>
      <c r="H263" s="13" t="s">
        <v>69</v>
      </c>
      <c r="I263" s="13" t="s">
        <v>33</v>
      </c>
      <c r="J263" s="13">
        <v>5</v>
      </c>
      <c r="K263" s="13">
        <v>38.14</v>
      </c>
      <c r="L263" s="13">
        <v>0.1</v>
      </c>
      <c r="M263" s="13">
        <v>171.63</v>
      </c>
      <c r="N263" s="13">
        <v>130.34</v>
      </c>
      <c r="O263" s="13">
        <v>41.29</v>
      </c>
      <c r="P263" s="13">
        <v>4.4</v>
      </c>
      <c r="Q263" s="13" t="s">
        <v>53</v>
      </c>
      <c r="R263" s="13">
        <v>2025</v>
      </c>
      <c r="S263" s="15" t="str">
        <f t="shared" si="24"/>
        <v>Low Profit</v>
      </c>
      <c r="T263" s="15" t="str">
        <f t="shared" si="25"/>
        <v>Low Sales</v>
      </c>
      <c r="U263" s="15" t="str">
        <f t="shared" si="26"/>
        <v>Good</v>
      </c>
      <c r="V263" s="15" t="str">
        <f t="shared" si="27"/>
        <v>Normal Discount</v>
      </c>
      <c r="W263" s="15">
        <f>VLOOKUP(D263,Lookup_Table!$A:$C,2,FALSE)</f>
        <v>0.12</v>
      </c>
      <c r="X263" s="15">
        <f t="shared" si="28"/>
        <v>0.240575656936433</v>
      </c>
      <c r="Y263" s="15" t="str">
        <f>VLOOKUP(D263,Lookup_Table!A:C,3,0)</f>
        <v>Rahul</v>
      </c>
      <c r="Z263" s="15" t="str">
        <f t="shared" si="29"/>
        <v>Achived</v>
      </c>
    </row>
    <row r="264" spans="1:26">
      <c r="A264" s="13" t="s">
        <v>355</v>
      </c>
      <c r="B264" s="14">
        <v>45935</v>
      </c>
      <c r="C264" s="13" t="s">
        <v>27</v>
      </c>
      <c r="D264" s="13" t="s">
        <v>44</v>
      </c>
      <c r="E264" s="13" t="s">
        <v>45</v>
      </c>
      <c r="F264" s="13" t="s">
        <v>82</v>
      </c>
      <c r="G264" s="13" t="s">
        <v>83</v>
      </c>
      <c r="H264" s="13" t="s">
        <v>77</v>
      </c>
      <c r="I264" s="13" t="s">
        <v>33</v>
      </c>
      <c r="J264" s="13">
        <v>2</v>
      </c>
      <c r="K264" s="13">
        <v>480.19</v>
      </c>
      <c r="L264" s="13">
        <v>0.15</v>
      </c>
      <c r="M264" s="13">
        <v>816.32</v>
      </c>
      <c r="N264" s="13">
        <v>619.91</v>
      </c>
      <c r="O264" s="13">
        <v>196.41</v>
      </c>
      <c r="P264" s="13">
        <v>3.7</v>
      </c>
      <c r="Q264" s="13" t="s">
        <v>87</v>
      </c>
      <c r="R264" s="13">
        <v>2025</v>
      </c>
      <c r="S264" s="15" t="str">
        <f t="shared" si="24"/>
        <v>Low Profit</v>
      </c>
      <c r="T264" s="15" t="str">
        <f t="shared" si="25"/>
        <v>Low Sales</v>
      </c>
      <c r="U264" s="15" t="str">
        <f t="shared" si="26"/>
        <v>Needs Improvement</v>
      </c>
      <c r="V264" s="15" t="str">
        <f t="shared" si="27"/>
        <v>High Discount</v>
      </c>
      <c r="W264" s="15">
        <f>VLOOKUP(D264,Lookup_Table!$A:$C,2,FALSE)</f>
        <v>0.18</v>
      </c>
      <c r="X264" s="15">
        <f t="shared" si="28"/>
        <v>0.240604174833399</v>
      </c>
      <c r="Y264" s="15" t="str">
        <f>VLOOKUP(D264,Lookup_Table!A:C,3,0)</f>
        <v>Amit</v>
      </c>
      <c r="Z264" s="15" t="str">
        <f t="shared" si="29"/>
        <v>Achived</v>
      </c>
    </row>
    <row r="265" spans="1:26">
      <c r="A265" s="13" t="s">
        <v>356</v>
      </c>
      <c r="B265" s="14">
        <v>45971</v>
      </c>
      <c r="C265" s="13" t="s">
        <v>55</v>
      </c>
      <c r="D265" s="13" t="s">
        <v>80</v>
      </c>
      <c r="E265" s="13" t="s">
        <v>81</v>
      </c>
      <c r="F265" s="13" t="s">
        <v>30</v>
      </c>
      <c r="G265" s="13" t="s">
        <v>31</v>
      </c>
      <c r="H265" s="13" t="s">
        <v>32</v>
      </c>
      <c r="I265" s="13" t="s">
        <v>96</v>
      </c>
      <c r="J265" s="13">
        <v>2</v>
      </c>
      <c r="K265" s="13">
        <v>19.03</v>
      </c>
      <c r="L265" s="13">
        <v>0.1</v>
      </c>
      <c r="M265" s="13">
        <v>34.25</v>
      </c>
      <c r="N265" s="13">
        <v>25.97</v>
      </c>
      <c r="O265" s="13">
        <v>8.28</v>
      </c>
      <c r="P265" s="13">
        <v>2.9</v>
      </c>
      <c r="Q265" s="13" t="s">
        <v>71</v>
      </c>
      <c r="R265" s="13">
        <v>2025</v>
      </c>
      <c r="S265" s="15" t="str">
        <f t="shared" si="24"/>
        <v>Low Profit</v>
      </c>
      <c r="T265" s="15" t="str">
        <f t="shared" si="25"/>
        <v>Low Sales</v>
      </c>
      <c r="U265" s="15" t="str">
        <f t="shared" si="26"/>
        <v>Needs Improvement</v>
      </c>
      <c r="V265" s="15" t="str">
        <f t="shared" si="27"/>
        <v>Normal Discount</v>
      </c>
      <c r="W265" s="15">
        <f>VLOOKUP(D265,Lookup_Table!$A:$C,2,FALSE)</f>
        <v>0.12</v>
      </c>
      <c r="X265" s="15">
        <f t="shared" si="28"/>
        <v>0.241751824817518</v>
      </c>
      <c r="Y265" s="15" t="str">
        <f>VLOOKUP(D265,Lookup_Table!A:C,3,0)</f>
        <v>Rahul</v>
      </c>
      <c r="Z265" s="15" t="str">
        <f t="shared" si="29"/>
        <v>Achived</v>
      </c>
    </row>
    <row r="266" spans="1:26">
      <c r="A266" s="13" t="s">
        <v>357</v>
      </c>
      <c r="B266" s="14">
        <v>45732</v>
      </c>
      <c r="C266" s="13" t="s">
        <v>27</v>
      </c>
      <c r="D266" s="13" t="s">
        <v>44</v>
      </c>
      <c r="E266" s="13" t="s">
        <v>45</v>
      </c>
      <c r="F266" s="13" t="s">
        <v>75</v>
      </c>
      <c r="G266" s="13" t="s">
        <v>76</v>
      </c>
      <c r="H266" s="13" t="s">
        <v>77</v>
      </c>
      <c r="I266" s="13" t="s">
        <v>96</v>
      </c>
      <c r="J266" s="13">
        <v>4</v>
      </c>
      <c r="K266" s="13">
        <v>600.85</v>
      </c>
      <c r="L266" s="13">
        <v>0.1</v>
      </c>
      <c r="M266" s="13">
        <v>2163.06</v>
      </c>
      <c r="N266" s="13">
        <v>1639.25</v>
      </c>
      <c r="O266" s="13">
        <v>523.81</v>
      </c>
      <c r="P266" s="13">
        <v>2.9</v>
      </c>
      <c r="Q266" s="13" t="s">
        <v>94</v>
      </c>
      <c r="R266" s="13">
        <v>2025</v>
      </c>
      <c r="S266" s="15" t="str">
        <f t="shared" si="24"/>
        <v>High Profit</v>
      </c>
      <c r="T266" s="15" t="str">
        <f t="shared" si="25"/>
        <v>High Sales</v>
      </c>
      <c r="U266" s="15" t="str">
        <f t="shared" si="26"/>
        <v>Needs Improvement</v>
      </c>
      <c r="V266" s="15" t="str">
        <f t="shared" si="27"/>
        <v>Normal Discount</v>
      </c>
      <c r="W266" s="15">
        <f>VLOOKUP(D266,Lookup_Table!$A:$C,2,FALSE)</f>
        <v>0.18</v>
      </c>
      <c r="X266" s="15">
        <f t="shared" si="28"/>
        <v>0.242161567409133</v>
      </c>
      <c r="Y266" s="15" t="str">
        <f>VLOOKUP(D266,Lookup_Table!A:C,3,0)</f>
        <v>Amit</v>
      </c>
      <c r="Z266" s="15" t="str">
        <f t="shared" si="29"/>
        <v>Achived</v>
      </c>
    </row>
    <row r="267" spans="1:26">
      <c r="A267" s="13" t="s">
        <v>358</v>
      </c>
      <c r="B267" s="14">
        <v>45675</v>
      </c>
      <c r="C267" s="13" t="s">
        <v>55</v>
      </c>
      <c r="D267" s="13" t="s">
        <v>60</v>
      </c>
      <c r="E267" s="13" t="s">
        <v>66</v>
      </c>
      <c r="F267" s="13" t="s">
        <v>39</v>
      </c>
      <c r="G267" s="13" t="s">
        <v>40</v>
      </c>
      <c r="H267" s="13" t="s">
        <v>41</v>
      </c>
      <c r="I267" s="13" t="s">
        <v>52</v>
      </c>
      <c r="J267" s="13">
        <v>3</v>
      </c>
      <c r="K267" s="13">
        <v>627.21</v>
      </c>
      <c r="L267" s="13">
        <v>0.05</v>
      </c>
      <c r="M267" s="13">
        <v>1787.55</v>
      </c>
      <c r="N267" s="13">
        <v>1354.56</v>
      </c>
      <c r="O267" s="13">
        <v>432.99</v>
      </c>
      <c r="P267" s="13">
        <v>2.9</v>
      </c>
      <c r="Q267" s="13" t="s">
        <v>64</v>
      </c>
      <c r="R267" s="13">
        <v>2025</v>
      </c>
      <c r="S267" s="15" t="str">
        <f t="shared" si="24"/>
        <v>Low Profit</v>
      </c>
      <c r="T267" s="15" t="str">
        <f t="shared" si="25"/>
        <v>High Sales</v>
      </c>
      <c r="U267" s="15" t="str">
        <f t="shared" si="26"/>
        <v>Needs Improvement</v>
      </c>
      <c r="V267" s="15" t="str">
        <f t="shared" si="27"/>
        <v>Normal Discount</v>
      </c>
      <c r="W267" s="15">
        <f>VLOOKUP(D267,Lookup_Table!$A:$C,2,FALSE)</f>
        <v>0.15</v>
      </c>
      <c r="X267" s="15">
        <f t="shared" si="28"/>
        <v>0.242225392296719</v>
      </c>
      <c r="Y267" s="15" t="str">
        <f>VLOOKUP(D267,Lookup_Table!A:C,3,0)</f>
        <v>Priya</v>
      </c>
      <c r="Z267" s="15" t="str">
        <f t="shared" si="29"/>
        <v>Achived</v>
      </c>
    </row>
    <row r="268" spans="1:26">
      <c r="A268" s="13" t="s">
        <v>359</v>
      </c>
      <c r="B268" s="14">
        <v>45673</v>
      </c>
      <c r="C268" s="13" t="s">
        <v>55</v>
      </c>
      <c r="D268" s="13" t="s">
        <v>80</v>
      </c>
      <c r="E268" s="13" t="s">
        <v>115</v>
      </c>
      <c r="F268" s="13" t="s">
        <v>116</v>
      </c>
      <c r="G268" s="13" t="s">
        <v>117</v>
      </c>
      <c r="H268" s="13" t="s">
        <v>32</v>
      </c>
      <c r="I268" s="13" t="s">
        <v>96</v>
      </c>
      <c r="J268" s="13">
        <v>2</v>
      </c>
      <c r="K268" s="13">
        <v>17.46</v>
      </c>
      <c r="L268" s="13">
        <v>0.1</v>
      </c>
      <c r="M268" s="13">
        <v>31.43</v>
      </c>
      <c r="N268" s="13">
        <v>23.81</v>
      </c>
      <c r="O268" s="13">
        <v>7.62</v>
      </c>
      <c r="P268" s="13">
        <v>4</v>
      </c>
      <c r="Q268" s="13" t="s">
        <v>64</v>
      </c>
      <c r="R268" s="13">
        <v>2025</v>
      </c>
      <c r="S268" s="15" t="str">
        <f t="shared" si="24"/>
        <v>Low Profit</v>
      </c>
      <c r="T268" s="15" t="str">
        <f t="shared" si="25"/>
        <v>Low Sales</v>
      </c>
      <c r="U268" s="15" t="str">
        <f t="shared" si="26"/>
        <v>Good</v>
      </c>
      <c r="V268" s="15" t="str">
        <f t="shared" si="27"/>
        <v>Normal Discount</v>
      </c>
      <c r="W268" s="15">
        <f>VLOOKUP(D268,Lookup_Table!$A:$C,2,FALSE)</f>
        <v>0.12</v>
      </c>
      <c r="X268" s="15">
        <f t="shared" si="28"/>
        <v>0.242443525294305</v>
      </c>
      <c r="Y268" s="15" t="str">
        <f>VLOOKUP(D268,Lookup_Table!A:C,3,0)</f>
        <v>Rahul</v>
      </c>
      <c r="Z268" s="15" t="str">
        <f t="shared" si="29"/>
        <v>Achived</v>
      </c>
    </row>
    <row r="269" spans="1:26">
      <c r="A269" s="13" t="s">
        <v>360</v>
      </c>
      <c r="B269" s="14">
        <v>45703</v>
      </c>
      <c r="C269" s="13" t="s">
        <v>36</v>
      </c>
      <c r="D269" s="13" t="s">
        <v>37</v>
      </c>
      <c r="E269" s="13" t="s">
        <v>93</v>
      </c>
      <c r="F269" s="13" t="s">
        <v>82</v>
      </c>
      <c r="G269" s="13" t="s">
        <v>83</v>
      </c>
      <c r="H269" s="13" t="s">
        <v>77</v>
      </c>
      <c r="I269" s="13" t="s">
        <v>96</v>
      </c>
      <c r="J269" s="13">
        <v>1</v>
      </c>
      <c r="K269" s="13">
        <v>263.63</v>
      </c>
      <c r="L269" s="13">
        <v>0.1</v>
      </c>
      <c r="M269" s="13">
        <v>237.27</v>
      </c>
      <c r="N269" s="13">
        <v>179.66</v>
      </c>
      <c r="O269" s="13">
        <v>57.61</v>
      </c>
      <c r="P269" s="13">
        <v>4.6</v>
      </c>
      <c r="Q269" s="13" t="s">
        <v>105</v>
      </c>
      <c r="R269" s="13">
        <v>2025</v>
      </c>
      <c r="S269" s="15" t="str">
        <f t="shared" si="24"/>
        <v>Low Profit</v>
      </c>
      <c r="T269" s="15" t="str">
        <f t="shared" si="25"/>
        <v>Low Sales</v>
      </c>
      <c r="U269" s="15" t="str">
        <f t="shared" si="26"/>
        <v>Good</v>
      </c>
      <c r="V269" s="15" t="str">
        <f t="shared" si="27"/>
        <v>Normal Discount</v>
      </c>
      <c r="W269" s="15">
        <f>VLOOKUP(D269,Lookup_Table!$A:$C,2,FALSE)</f>
        <v>0.16</v>
      </c>
      <c r="X269" s="15">
        <f t="shared" si="28"/>
        <v>0.242803557129009</v>
      </c>
      <c r="Y269" s="15" t="str">
        <f>VLOOKUP(D269,Lookup_Table!A:C,3,0)</f>
        <v>Vikram</v>
      </c>
      <c r="Z269" s="15" t="str">
        <f t="shared" si="29"/>
        <v>Achived</v>
      </c>
    </row>
    <row r="270" spans="1:26">
      <c r="A270" s="13" t="s">
        <v>361</v>
      </c>
      <c r="B270" s="14">
        <v>45949</v>
      </c>
      <c r="C270" s="13" t="s">
        <v>27</v>
      </c>
      <c r="D270" s="13" t="s">
        <v>44</v>
      </c>
      <c r="E270" s="13" t="s">
        <v>45</v>
      </c>
      <c r="F270" s="13" t="s">
        <v>98</v>
      </c>
      <c r="G270" s="13" t="s">
        <v>99</v>
      </c>
      <c r="H270" s="13" t="s">
        <v>77</v>
      </c>
      <c r="I270" s="13" t="s">
        <v>46</v>
      </c>
      <c r="J270" s="13">
        <v>6</v>
      </c>
      <c r="K270" s="13">
        <v>1437.02</v>
      </c>
      <c r="L270" s="13">
        <v>0.15</v>
      </c>
      <c r="M270" s="13">
        <v>7328.8</v>
      </c>
      <c r="N270" s="13">
        <v>5549.25</v>
      </c>
      <c r="O270" s="13">
        <v>1779.55</v>
      </c>
      <c r="P270" s="13">
        <v>4.8</v>
      </c>
      <c r="Q270" s="13" t="s">
        <v>87</v>
      </c>
      <c r="R270" s="13">
        <v>2025</v>
      </c>
      <c r="S270" s="15" t="str">
        <f t="shared" si="24"/>
        <v>High Profit</v>
      </c>
      <c r="T270" s="15" t="str">
        <f t="shared" si="25"/>
        <v>High Sales</v>
      </c>
      <c r="U270" s="15" t="str">
        <f t="shared" si="26"/>
        <v>Good</v>
      </c>
      <c r="V270" s="15" t="str">
        <f t="shared" si="27"/>
        <v>High Discount</v>
      </c>
      <c r="W270" s="15">
        <f>VLOOKUP(D270,Lookup_Table!$A:$C,2,FALSE)</f>
        <v>0.18</v>
      </c>
      <c r="X270" s="15">
        <f t="shared" si="28"/>
        <v>0.24281601353564</v>
      </c>
      <c r="Y270" s="15" t="str">
        <f>VLOOKUP(D270,Lookup_Table!A:C,3,0)</f>
        <v>Amit</v>
      </c>
      <c r="Z270" s="15" t="str">
        <f t="shared" si="29"/>
        <v>Achived</v>
      </c>
    </row>
    <row r="271" spans="1:26">
      <c r="A271" s="13" t="s">
        <v>362</v>
      </c>
      <c r="B271" s="14">
        <v>45822</v>
      </c>
      <c r="C271" s="13" t="s">
        <v>27</v>
      </c>
      <c r="D271" s="13" t="s">
        <v>37</v>
      </c>
      <c r="E271" s="13" t="s">
        <v>93</v>
      </c>
      <c r="F271" s="13" t="s">
        <v>116</v>
      </c>
      <c r="G271" s="13" t="s">
        <v>117</v>
      </c>
      <c r="H271" s="13" t="s">
        <v>32</v>
      </c>
      <c r="I271" s="13" t="s">
        <v>46</v>
      </c>
      <c r="J271" s="13">
        <v>7</v>
      </c>
      <c r="K271" s="13">
        <v>322.08</v>
      </c>
      <c r="L271" s="13">
        <v>0.1</v>
      </c>
      <c r="M271" s="13">
        <v>2029.1</v>
      </c>
      <c r="N271" s="13">
        <v>1536.07</v>
      </c>
      <c r="O271" s="13">
        <v>493.03</v>
      </c>
      <c r="P271" s="13">
        <v>3.1</v>
      </c>
      <c r="Q271" s="13" t="s">
        <v>58</v>
      </c>
      <c r="R271" s="13">
        <v>2025</v>
      </c>
      <c r="S271" s="15" t="str">
        <f t="shared" si="24"/>
        <v>Low Profit</v>
      </c>
      <c r="T271" s="15" t="str">
        <f t="shared" si="25"/>
        <v>High Sales</v>
      </c>
      <c r="U271" s="15" t="str">
        <f t="shared" si="26"/>
        <v>Needs Improvement</v>
      </c>
      <c r="V271" s="15" t="str">
        <f t="shared" si="27"/>
        <v>Normal Discount</v>
      </c>
      <c r="W271" s="15">
        <f>VLOOKUP(D271,Lookup_Table!$A:$C,2,FALSE)</f>
        <v>0.16</v>
      </c>
      <c r="X271" s="15">
        <f t="shared" si="28"/>
        <v>0.242979646148539</v>
      </c>
      <c r="Y271" s="15" t="str">
        <f>VLOOKUP(D271,Lookup_Table!A:C,3,0)</f>
        <v>Vikram</v>
      </c>
      <c r="Z271" s="15" t="str">
        <f t="shared" si="29"/>
        <v>Achived</v>
      </c>
    </row>
    <row r="272" spans="1:26">
      <c r="A272" s="13" t="s">
        <v>363</v>
      </c>
      <c r="B272" s="14">
        <v>45730</v>
      </c>
      <c r="C272" s="13" t="s">
        <v>27</v>
      </c>
      <c r="D272" s="13" t="s">
        <v>60</v>
      </c>
      <c r="E272" s="13" t="s">
        <v>127</v>
      </c>
      <c r="F272" s="13" t="s">
        <v>67</v>
      </c>
      <c r="G272" s="13" t="s">
        <v>68</v>
      </c>
      <c r="H272" s="13" t="s">
        <v>69</v>
      </c>
      <c r="I272" s="13" t="s">
        <v>46</v>
      </c>
      <c r="J272" s="13">
        <v>6</v>
      </c>
      <c r="K272" s="13">
        <v>562.73</v>
      </c>
      <c r="L272" s="13">
        <v>0.05</v>
      </c>
      <c r="M272" s="13">
        <v>3207.56</v>
      </c>
      <c r="N272" s="13">
        <v>2427.67</v>
      </c>
      <c r="O272" s="13">
        <v>779.89</v>
      </c>
      <c r="P272" s="13">
        <v>4</v>
      </c>
      <c r="Q272" s="13" t="s">
        <v>94</v>
      </c>
      <c r="R272" s="13">
        <v>2025</v>
      </c>
      <c r="S272" s="15" t="str">
        <f t="shared" si="24"/>
        <v>High Profit</v>
      </c>
      <c r="T272" s="15" t="str">
        <f t="shared" si="25"/>
        <v>High Sales</v>
      </c>
      <c r="U272" s="15" t="str">
        <f t="shared" si="26"/>
        <v>Good</v>
      </c>
      <c r="V272" s="15" t="str">
        <f t="shared" si="27"/>
        <v>Normal Discount</v>
      </c>
      <c r="W272" s="15">
        <f>VLOOKUP(D272,Lookup_Table!$A:$C,2,FALSE)</f>
        <v>0.15</v>
      </c>
      <c r="X272" s="15">
        <f t="shared" si="28"/>
        <v>0.243141203905773</v>
      </c>
      <c r="Y272" s="15" t="str">
        <f>VLOOKUP(D272,Lookup_Table!A:C,3,0)</f>
        <v>Priya</v>
      </c>
      <c r="Z272" s="15" t="str">
        <f t="shared" si="29"/>
        <v>Achived</v>
      </c>
    </row>
    <row r="273" spans="1:26">
      <c r="A273" s="13" t="s">
        <v>364</v>
      </c>
      <c r="B273" s="14">
        <v>45744</v>
      </c>
      <c r="C273" s="13" t="s">
        <v>27</v>
      </c>
      <c r="D273" s="13" t="s">
        <v>60</v>
      </c>
      <c r="E273" s="13" t="s">
        <v>127</v>
      </c>
      <c r="F273" s="13" t="s">
        <v>116</v>
      </c>
      <c r="G273" s="13" t="s">
        <v>117</v>
      </c>
      <c r="H273" s="13" t="s">
        <v>32</v>
      </c>
      <c r="I273" s="13" t="s">
        <v>46</v>
      </c>
      <c r="J273" s="13">
        <v>5</v>
      </c>
      <c r="K273" s="13">
        <v>218.85</v>
      </c>
      <c r="L273" s="13">
        <v>0.05</v>
      </c>
      <c r="M273" s="13">
        <v>1039.54</v>
      </c>
      <c r="N273" s="13">
        <v>786.71</v>
      </c>
      <c r="O273" s="13">
        <v>252.83</v>
      </c>
      <c r="P273" s="13">
        <v>4</v>
      </c>
      <c r="Q273" s="13" t="s">
        <v>94</v>
      </c>
      <c r="R273" s="13">
        <v>2025</v>
      </c>
      <c r="S273" s="15" t="str">
        <f t="shared" si="24"/>
        <v>Low Profit</v>
      </c>
      <c r="T273" s="15" t="str">
        <f t="shared" si="25"/>
        <v>High Sales</v>
      </c>
      <c r="U273" s="15" t="str">
        <f t="shared" si="26"/>
        <v>Good</v>
      </c>
      <c r="V273" s="15" t="str">
        <f t="shared" si="27"/>
        <v>Normal Discount</v>
      </c>
      <c r="W273" s="15">
        <f>VLOOKUP(D273,Lookup_Table!$A:$C,2,FALSE)</f>
        <v>0.15</v>
      </c>
      <c r="X273" s="15">
        <f t="shared" si="28"/>
        <v>0.243213344363853</v>
      </c>
      <c r="Y273" s="15" t="str">
        <f>VLOOKUP(D273,Lookup_Table!A:C,3,0)</f>
        <v>Priya</v>
      </c>
      <c r="Z273" s="15" t="str">
        <f t="shared" si="29"/>
        <v>Achived</v>
      </c>
    </row>
    <row r="274" spans="1:26">
      <c r="A274" s="13" t="s">
        <v>365</v>
      </c>
      <c r="B274" s="14">
        <v>45740</v>
      </c>
      <c r="C274" s="13" t="s">
        <v>55</v>
      </c>
      <c r="D274" s="13" t="s">
        <v>80</v>
      </c>
      <c r="E274" s="13" t="s">
        <v>191</v>
      </c>
      <c r="F274" s="13" t="s">
        <v>50</v>
      </c>
      <c r="G274" s="13" t="s">
        <v>51</v>
      </c>
      <c r="H274" s="13" t="s">
        <v>32</v>
      </c>
      <c r="I274" s="13" t="s">
        <v>96</v>
      </c>
      <c r="J274" s="13">
        <v>4</v>
      </c>
      <c r="K274" s="13">
        <v>19.62</v>
      </c>
      <c r="L274" s="13">
        <v>0.05</v>
      </c>
      <c r="M274" s="13">
        <v>74.56</v>
      </c>
      <c r="N274" s="13">
        <v>56.42</v>
      </c>
      <c r="O274" s="13">
        <v>18.14</v>
      </c>
      <c r="P274" s="13">
        <v>3.6</v>
      </c>
      <c r="Q274" s="13" t="s">
        <v>94</v>
      </c>
      <c r="R274" s="13">
        <v>2025</v>
      </c>
      <c r="S274" s="15" t="str">
        <f t="shared" si="24"/>
        <v>Low Profit</v>
      </c>
      <c r="T274" s="15" t="str">
        <f t="shared" si="25"/>
        <v>Low Sales</v>
      </c>
      <c r="U274" s="15" t="str">
        <f t="shared" si="26"/>
        <v>Needs Improvement</v>
      </c>
      <c r="V274" s="15" t="str">
        <f t="shared" si="27"/>
        <v>Normal Discount</v>
      </c>
      <c r="W274" s="15">
        <f>VLOOKUP(D274,Lookup_Table!$A:$C,2,FALSE)</f>
        <v>0.12</v>
      </c>
      <c r="X274" s="15">
        <f t="shared" si="28"/>
        <v>0.243293991416309</v>
      </c>
      <c r="Y274" s="15" t="str">
        <f>VLOOKUP(D274,Lookup_Table!A:C,3,0)</f>
        <v>Rahul</v>
      </c>
      <c r="Z274" s="15" t="str">
        <f t="shared" si="29"/>
        <v>Achived</v>
      </c>
    </row>
    <row r="275" spans="1:26">
      <c r="A275" s="13" t="s">
        <v>366</v>
      </c>
      <c r="B275" s="14">
        <v>45708</v>
      </c>
      <c r="C275" s="13" t="s">
        <v>55</v>
      </c>
      <c r="D275" s="13" t="s">
        <v>80</v>
      </c>
      <c r="E275" s="13" t="s">
        <v>191</v>
      </c>
      <c r="F275" s="13" t="s">
        <v>50</v>
      </c>
      <c r="G275" s="13" t="s">
        <v>51</v>
      </c>
      <c r="H275" s="13" t="s">
        <v>32</v>
      </c>
      <c r="I275" s="13" t="s">
        <v>46</v>
      </c>
      <c r="J275" s="13">
        <v>7</v>
      </c>
      <c r="K275" s="13">
        <v>29.91</v>
      </c>
      <c r="L275" s="13">
        <v>0.1</v>
      </c>
      <c r="M275" s="13">
        <v>188.43</v>
      </c>
      <c r="N275" s="13">
        <v>142.54</v>
      </c>
      <c r="O275" s="13">
        <v>45.89</v>
      </c>
      <c r="P275" s="13">
        <v>3</v>
      </c>
      <c r="Q275" s="13" t="s">
        <v>105</v>
      </c>
      <c r="R275" s="13">
        <v>2025</v>
      </c>
      <c r="S275" s="15" t="str">
        <f t="shared" si="24"/>
        <v>Low Profit</v>
      </c>
      <c r="T275" s="15" t="str">
        <f t="shared" si="25"/>
        <v>Low Sales</v>
      </c>
      <c r="U275" s="15" t="str">
        <f t="shared" si="26"/>
        <v>Needs Improvement</v>
      </c>
      <c r="V275" s="15" t="str">
        <f t="shared" si="27"/>
        <v>Normal Discount</v>
      </c>
      <c r="W275" s="15">
        <f>VLOOKUP(D275,Lookup_Table!$A:$C,2,FALSE)</f>
        <v>0.12</v>
      </c>
      <c r="X275" s="15">
        <f t="shared" si="28"/>
        <v>0.243538714642042</v>
      </c>
      <c r="Y275" s="15" t="str">
        <f>VLOOKUP(D275,Lookup_Table!A:C,3,0)</f>
        <v>Rahul</v>
      </c>
      <c r="Z275" s="15" t="str">
        <f t="shared" si="29"/>
        <v>Achived</v>
      </c>
    </row>
    <row r="276" spans="1:26">
      <c r="A276" s="13" t="s">
        <v>367</v>
      </c>
      <c r="B276" s="14">
        <v>45736</v>
      </c>
      <c r="C276" s="13" t="s">
        <v>55</v>
      </c>
      <c r="D276" s="13" t="s">
        <v>28</v>
      </c>
      <c r="E276" s="13" t="s">
        <v>73</v>
      </c>
      <c r="F276" s="13" t="s">
        <v>75</v>
      </c>
      <c r="G276" s="13" t="s">
        <v>76</v>
      </c>
      <c r="H276" s="13" t="s">
        <v>77</v>
      </c>
      <c r="I276" s="13" t="s">
        <v>46</v>
      </c>
      <c r="J276" s="13">
        <v>3</v>
      </c>
      <c r="K276" s="13">
        <v>79.9</v>
      </c>
      <c r="L276" s="13">
        <v>0.1</v>
      </c>
      <c r="M276" s="13">
        <v>215.73</v>
      </c>
      <c r="N276" s="13">
        <v>163.14</v>
      </c>
      <c r="O276" s="13">
        <v>52.59</v>
      </c>
      <c r="P276" s="13">
        <v>3.1</v>
      </c>
      <c r="Q276" s="13" t="s">
        <v>94</v>
      </c>
      <c r="R276" s="13">
        <v>2025</v>
      </c>
      <c r="S276" s="15" t="str">
        <f t="shared" si="24"/>
        <v>Low Profit</v>
      </c>
      <c r="T276" s="15" t="str">
        <f t="shared" si="25"/>
        <v>Low Sales</v>
      </c>
      <c r="U276" s="15" t="str">
        <f t="shared" si="26"/>
        <v>Needs Improvement</v>
      </c>
      <c r="V276" s="15" t="str">
        <f t="shared" si="27"/>
        <v>Normal Discount</v>
      </c>
      <c r="W276" s="15">
        <f>VLOOKUP(D276,Lookup_Table!$A:$C,2,FALSE)</f>
        <v>0.2</v>
      </c>
      <c r="X276" s="15">
        <f t="shared" si="28"/>
        <v>0.243776943401474</v>
      </c>
      <c r="Y276" s="15" t="str">
        <f>VLOOKUP(D276,Lookup_Table!A:C,3,0)</f>
        <v>Sneha</v>
      </c>
      <c r="Z276" s="15" t="str">
        <f t="shared" si="29"/>
        <v>Achived</v>
      </c>
    </row>
    <row r="277" spans="1:26">
      <c r="A277" s="13" t="s">
        <v>368</v>
      </c>
      <c r="B277" s="14">
        <v>45982</v>
      </c>
      <c r="C277" s="13" t="s">
        <v>55</v>
      </c>
      <c r="D277" s="13" t="s">
        <v>28</v>
      </c>
      <c r="E277" s="13" t="s">
        <v>90</v>
      </c>
      <c r="F277" s="13" t="s">
        <v>39</v>
      </c>
      <c r="G277" s="13" t="s">
        <v>40</v>
      </c>
      <c r="H277" s="13" t="s">
        <v>41</v>
      </c>
      <c r="I277" s="13" t="s">
        <v>96</v>
      </c>
      <c r="J277" s="13">
        <v>6</v>
      </c>
      <c r="K277" s="13">
        <v>83.23</v>
      </c>
      <c r="L277" s="13">
        <v>0.05</v>
      </c>
      <c r="M277" s="13">
        <v>474.41</v>
      </c>
      <c r="N277" s="13">
        <v>358.56</v>
      </c>
      <c r="O277" s="13">
        <v>115.85</v>
      </c>
      <c r="P277" s="13">
        <v>4.6</v>
      </c>
      <c r="Q277" s="13" t="s">
        <v>71</v>
      </c>
      <c r="R277" s="13">
        <v>2025</v>
      </c>
      <c r="S277" s="15" t="str">
        <f t="shared" si="24"/>
        <v>Low Profit</v>
      </c>
      <c r="T277" s="15" t="str">
        <f t="shared" si="25"/>
        <v>Low Sales</v>
      </c>
      <c r="U277" s="15" t="str">
        <f t="shared" si="26"/>
        <v>Good</v>
      </c>
      <c r="V277" s="15" t="str">
        <f t="shared" si="27"/>
        <v>Normal Discount</v>
      </c>
      <c r="W277" s="15">
        <f>VLOOKUP(D277,Lookup_Table!$A:$C,2,FALSE)</f>
        <v>0.2</v>
      </c>
      <c r="X277" s="15">
        <f t="shared" si="28"/>
        <v>0.244198056533378</v>
      </c>
      <c r="Y277" s="15" t="str">
        <f>VLOOKUP(D277,Lookup_Table!A:C,3,0)</f>
        <v>Sneha</v>
      </c>
      <c r="Z277" s="15" t="str">
        <f t="shared" si="29"/>
        <v>Achived</v>
      </c>
    </row>
    <row r="278" spans="1:26">
      <c r="A278" s="13" t="s">
        <v>369</v>
      </c>
      <c r="B278" s="14">
        <v>45851</v>
      </c>
      <c r="C278" s="13" t="s">
        <v>36</v>
      </c>
      <c r="D278" s="13" t="s">
        <v>60</v>
      </c>
      <c r="E278" s="13" t="s">
        <v>127</v>
      </c>
      <c r="F278" s="13" t="s">
        <v>39</v>
      </c>
      <c r="G278" s="13" t="s">
        <v>40</v>
      </c>
      <c r="H278" s="13" t="s">
        <v>41</v>
      </c>
      <c r="I278" s="13" t="s">
        <v>96</v>
      </c>
      <c r="J278" s="13">
        <v>6</v>
      </c>
      <c r="K278" s="13">
        <v>92.17</v>
      </c>
      <c r="L278" s="13">
        <v>0.1</v>
      </c>
      <c r="M278" s="13">
        <v>497.72</v>
      </c>
      <c r="N278" s="13">
        <v>375.08</v>
      </c>
      <c r="O278" s="13">
        <v>122.64</v>
      </c>
      <c r="P278" s="13">
        <v>4.4</v>
      </c>
      <c r="Q278" s="13" t="s">
        <v>56</v>
      </c>
      <c r="R278" s="13">
        <v>2025</v>
      </c>
      <c r="S278" s="15" t="str">
        <f t="shared" si="24"/>
        <v>Low Profit</v>
      </c>
      <c r="T278" s="15" t="str">
        <f t="shared" si="25"/>
        <v>Low Sales</v>
      </c>
      <c r="U278" s="15" t="str">
        <f t="shared" si="26"/>
        <v>Good</v>
      </c>
      <c r="V278" s="15" t="str">
        <f t="shared" si="27"/>
        <v>Normal Discount</v>
      </c>
      <c r="W278" s="15">
        <f>VLOOKUP(D278,Lookup_Table!$A:$C,2,FALSE)</f>
        <v>0.15</v>
      </c>
      <c r="X278" s="15">
        <f t="shared" si="28"/>
        <v>0.246403600417906</v>
      </c>
      <c r="Y278" s="15" t="str">
        <f>VLOOKUP(D278,Lookup_Table!A:C,3,0)</f>
        <v>Priya</v>
      </c>
      <c r="Z278" s="15" t="str">
        <f t="shared" si="29"/>
        <v>Achived</v>
      </c>
    </row>
    <row r="279" spans="1:26">
      <c r="A279" s="13" t="s">
        <v>370</v>
      </c>
      <c r="B279" s="14">
        <v>45766</v>
      </c>
      <c r="C279" s="13" t="s">
        <v>55</v>
      </c>
      <c r="D279" s="13" t="s">
        <v>37</v>
      </c>
      <c r="E279" s="13" t="s">
        <v>93</v>
      </c>
      <c r="F279" s="13" t="s">
        <v>30</v>
      </c>
      <c r="G279" s="13" t="s">
        <v>31</v>
      </c>
      <c r="H279" s="13" t="s">
        <v>32</v>
      </c>
      <c r="I279" s="13" t="s">
        <v>33</v>
      </c>
      <c r="J279" s="13">
        <v>6</v>
      </c>
      <c r="K279" s="13">
        <v>482.75</v>
      </c>
      <c r="L279" s="13">
        <v>0.1</v>
      </c>
      <c r="M279" s="13">
        <v>2606.85</v>
      </c>
      <c r="N279" s="13">
        <v>1964.1</v>
      </c>
      <c r="O279" s="13">
        <v>642.75</v>
      </c>
      <c r="P279" s="13">
        <v>4</v>
      </c>
      <c r="Q279" s="13" t="s">
        <v>84</v>
      </c>
      <c r="R279" s="13">
        <v>2025</v>
      </c>
      <c r="S279" s="15" t="str">
        <f t="shared" si="24"/>
        <v>High Profit</v>
      </c>
      <c r="T279" s="15" t="str">
        <f t="shared" si="25"/>
        <v>High Sales</v>
      </c>
      <c r="U279" s="15" t="str">
        <f t="shared" si="26"/>
        <v>Good</v>
      </c>
      <c r="V279" s="15" t="str">
        <f t="shared" si="27"/>
        <v>Normal Discount</v>
      </c>
      <c r="W279" s="15">
        <f>VLOOKUP(D279,Lookup_Table!$A:$C,2,FALSE)</f>
        <v>0.16</v>
      </c>
      <c r="X279" s="15">
        <f t="shared" si="28"/>
        <v>0.246561942574371</v>
      </c>
      <c r="Y279" s="15" t="str">
        <f>VLOOKUP(D279,Lookup_Table!A:C,3,0)</f>
        <v>Vikram</v>
      </c>
      <c r="Z279" s="15" t="str">
        <f t="shared" si="29"/>
        <v>Achived</v>
      </c>
    </row>
    <row r="280" spans="1:26">
      <c r="A280" s="13" t="s">
        <v>371</v>
      </c>
      <c r="B280" s="14">
        <v>45828</v>
      </c>
      <c r="C280" s="13" t="s">
        <v>55</v>
      </c>
      <c r="D280" s="13" t="s">
        <v>28</v>
      </c>
      <c r="E280" s="13" t="s">
        <v>49</v>
      </c>
      <c r="F280" s="13" t="s">
        <v>67</v>
      </c>
      <c r="G280" s="13" t="s">
        <v>68</v>
      </c>
      <c r="H280" s="13" t="s">
        <v>69</v>
      </c>
      <c r="I280" s="13" t="s">
        <v>96</v>
      </c>
      <c r="J280" s="13">
        <v>2</v>
      </c>
      <c r="K280" s="13">
        <v>63.94</v>
      </c>
      <c r="L280" s="13">
        <v>0.05</v>
      </c>
      <c r="M280" s="13">
        <v>121.49</v>
      </c>
      <c r="N280" s="13">
        <v>91.51</v>
      </c>
      <c r="O280" s="13">
        <v>29.98</v>
      </c>
      <c r="P280" s="13">
        <v>4.6</v>
      </c>
      <c r="Q280" s="13" t="s">
        <v>58</v>
      </c>
      <c r="R280" s="13">
        <v>2025</v>
      </c>
      <c r="S280" s="15" t="str">
        <f t="shared" si="24"/>
        <v>Low Profit</v>
      </c>
      <c r="T280" s="15" t="str">
        <f t="shared" si="25"/>
        <v>Low Sales</v>
      </c>
      <c r="U280" s="15" t="str">
        <f t="shared" si="26"/>
        <v>Good</v>
      </c>
      <c r="V280" s="15" t="str">
        <f t="shared" si="27"/>
        <v>Normal Discount</v>
      </c>
      <c r="W280" s="15">
        <f>VLOOKUP(D280,Lookup_Table!$A:$C,2,FALSE)</f>
        <v>0.2</v>
      </c>
      <c r="X280" s="15">
        <f t="shared" si="28"/>
        <v>0.246769281422339</v>
      </c>
      <c r="Y280" s="15" t="str">
        <f>VLOOKUP(D280,Lookup_Table!A:C,3,0)</f>
        <v>Sneha</v>
      </c>
      <c r="Z280" s="15" t="str">
        <f t="shared" si="29"/>
        <v>Achived</v>
      </c>
    </row>
    <row r="281" spans="1:26">
      <c r="A281" s="13" t="s">
        <v>372</v>
      </c>
      <c r="B281" s="14">
        <v>45799</v>
      </c>
      <c r="C281" s="13" t="s">
        <v>36</v>
      </c>
      <c r="D281" s="13" t="s">
        <v>44</v>
      </c>
      <c r="E281" s="13" t="s">
        <v>137</v>
      </c>
      <c r="F281" s="13" t="s">
        <v>30</v>
      </c>
      <c r="G281" s="13" t="s">
        <v>31</v>
      </c>
      <c r="H281" s="13" t="s">
        <v>32</v>
      </c>
      <c r="I281" s="13" t="s">
        <v>46</v>
      </c>
      <c r="J281" s="13">
        <v>7</v>
      </c>
      <c r="K281" s="13">
        <v>809.47</v>
      </c>
      <c r="L281" s="13">
        <v>0.1</v>
      </c>
      <c r="M281" s="13">
        <v>5099.66</v>
      </c>
      <c r="N281" s="13">
        <v>3840.7</v>
      </c>
      <c r="O281" s="13">
        <v>1258.96</v>
      </c>
      <c r="P281" s="13">
        <v>4.9</v>
      </c>
      <c r="Q281" s="13" t="s">
        <v>42</v>
      </c>
      <c r="R281" s="13">
        <v>2025</v>
      </c>
      <c r="S281" s="15" t="str">
        <f t="shared" si="24"/>
        <v>High Profit</v>
      </c>
      <c r="T281" s="15" t="str">
        <f t="shared" si="25"/>
        <v>High Sales</v>
      </c>
      <c r="U281" s="15" t="str">
        <f t="shared" si="26"/>
        <v>Good</v>
      </c>
      <c r="V281" s="15" t="str">
        <f t="shared" si="27"/>
        <v>Normal Discount</v>
      </c>
      <c r="W281" s="15">
        <f>VLOOKUP(D281,Lookup_Table!$A:$C,2,FALSE)</f>
        <v>0.18</v>
      </c>
      <c r="X281" s="15">
        <f t="shared" si="28"/>
        <v>0.246871360051454</v>
      </c>
      <c r="Y281" s="15" t="str">
        <f>VLOOKUP(D281,Lookup_Table!A:C,3,0)</f>
        <v>Amit</v>
      </c>
      <c r="Z281" s="15" t="str">
        <f t="shared" si="29"/>
        <v>Achived</v>
      </c>
    </row>
    <row r="282" spans="1:26">
      <c r="A282" s="13" t="s">
        <v>373</v>
      </c>
      <c r="B282" s="14">
        <v>45991</v>
      </c>
      <c r="C282" s="13" t="s">
        <v>27</v>
      </c>
      <c r="D282" s="13" t="s">
        <v>44</v>
      </c>
      <c r="E282" s="13" t="s">
        <v>104</v>
      </c>
      <c r="F282" s="13" t="s">
        <v>98</v>
      </c>
      <c r="G282" s="13" t="s">
        <v>99</v>
      </c>
      <c r="H282" s="13" t="s">
        <v>77</v>
      </c>
      <c r="I282" s="13" t="s">
        <v>33</v>
      </c>
      <c r="J282" s="13">
        <v>1</v>
      </c>
      <c r="K282" s="13">
        <v>1400.83</v>
      </c>
      <c r="L282" s="13">
        <v>0.05</v>
      </c>
      <c r="M282" s="13">
        <v>1330.79</v>
      </c>
      <c r="N282" s="13">
        <v>1001.47</v>
      </c>
      <c r="O282" s="13">
        <v>329.32</v>
      </c>
      <c r="P282" s="13">
        <v>3.7</v>
      </c>
      <c r="Q282" s="13" t="s">
        <v>71</v>
      </c>
      <c r="R282" s="13">
        <v>2025</v>
      </c>
      <c r="S282" s="15" t="str">
        <f t="shared" si="24"/>
        <v>Low Profit</v>
      </c>
      <c r="T282" s="15" t="str">
        <f t="shared" si="25"/>
        <v>High Sales</v>
      </c>
      <c r="U282" s="15" t="str">
        <f t="shared" si="26"/>
        <v>Needs Improvement</v>
      </c>
      <c r="V282" s="15" t="str">
        <f t="shared" si="27"/>
        <v>Normal Discount</v>
      </c>
      <c r="W282" s="15">
        <f>VLOOKUP(D282,Lookup_Table!$A:$C,2,FALSE)</f>
        <v>0.18</v>
      </c>
      <c r="X282" s="15">
        <f t="shared" si="28"/>
        <v>0.24746203382953</v>
      </c>
      <c r="Y282" s="15" t="str">
        <f>VLOOKUP(D282,Lookup_Table!A:C,3,0)</f>
        <v>Amit</v>
      </c>
      <c r="Z282" s="15" t="str">
        <f t="shared" si="29"/>
        <v>Achived</v>
      </c>
    </row>
    <row r="283" spans="1:26">
      <c r="A283" s="13" t="s">
        <v>374</v>
      </c>
      <c r="B283" s="14">
        <v>46003</v>
      </c>
      <c r="C283" s="13" t="s">
        <v>27</v>
      </c>
      <c r="D283" s="13" t="s">
        <v>37</v>
      </c>
      <c r="E283" s="13" t="s">
        <v>86</v>
      </c>
      <c r="F283" s="13" t="s">
        <v>111</v>
      </c>
      <c r="G283" s="13" t="s">
        <v>76</v>
      </c>
      <c r="H283" s="13" t="s">
        <v>77</v>
      </c>
      <c r="I283" s="13" t="s">
        <v>52</v>
      </c>
      <c r="J283" s="13">
        <v>5</v>
      </c>
      <c r="K283" s="13">
        <v>433.33</v>
      </c>
      <c r="L283" s="13">
        <v>0.1</v>
      </c>
      <c r="M283" s="13">
        <v>1949.98</v>
      </c>
      <c r="N283" s="13">
        <v>1466.88</v>
      </c>
      <c r="O283" s="13">
        <v>483.1</v>
      </c>
      <c r="P283" s="13">
        <v>2.9</v>
      </c>
      <c r="Q283" s="13" t="s">
        <v>34</v>
      </c>
      <c r="R283" s="13">
        <v>2025</v>
      </c>
      <c r="S283" s="15" t="str">
        <f t="shared" si="24"/>
        <v>Low Profit</v>
      </c>
      <c r="T283" s="15" t="str">
        <f t="shared" si="25"/>
        <v>High Sales</v>
      </c>
      <c r="U283" s="15" t="str">
        <f t="shared" si="26"/>
        <v>Needs Improvement</v>
      </c>
      <c r="V283" s="15" t="str">
        <f t="shared" si="27"/>
        <v>Normal Discount</v>
      </c>
      <c r="W283" s="15">
        <f>VLOOKUP(D283,Lookup_Table!$A:$C,2,FALSE)</f>
        <v>0.16</v>
      </c>
      <c r="X283" s="15">
        <f t="shared" si="28"/>
        <v>0.247746130729546</v>
      </c>
      <c r="Y283" s="15" t="str">
        <f>VLOOKUP(D283,Lookup_Table!A:C,3,0)</f>
        <v>Vikram</v>
      </c>
      <c r="Z283" s="15" t="str">
        <f t="shared" si="29"/>
        <v>Achived</v>
      </c>
    </row>
    <row r="284" spans="1:26">
      <c r="A284" s="13" t="s">
        <v>375</v>
      </c>
      <c r="B284" s="14">
        <v>45813</v>
      </c>
      <c r="C284" s="13" t="s">
        <v>55</v>
      </c>
      <c r="D284" s="13" t="s">
        <v>28</v>
      </c>
      <c r="E284" s="13" t="s">
        <v>73</v>
      </c>
      <c r="F284" s="13" t="s">
        <v>30</v>
      </c>
      <c r="G284" s="13" t="s">
        <v>31</v>
      </c>
      <c r="H284" s="13" t="s">
        <v>32</v>
      </c>
      <c r="I284" s="13" t="s">
        <v>52</v>
      </c>
      <c r="J284" s="13">
        <v>5</v>
      </c>
      <c r="K284" s="13">
        <v>26.74</v>
      </c>
      <c r="L284" s="13">
        <v>0</v>
      </c>
      <c r="M284" s="13">
        <v>133.7</v>
      </c>
      <c r="N284" s="13">
        <v>100.53</v>
      </c>
      <c r="O284" s="13">
        <v>33.17</v>
      </c>
      <c r="P284" s="13">
        <v>4.8</v>
      </c>
      <c r="Q284" s="13" t="s">
        <v>58</v>
      </c>
      <c r="R284" s="13">
        <v>2025</v>
      </c>
      <c r="S284" s="15" t="str">
        <f t="shared" si="24"/>
        <v>Low Profit</v>
      </c>
      <c r="T284" s="15" t="str">
        <f t="shared" si="25"/>
        <v>Low Sales</v>
      </c>
      <c r="U284" s="15" t="str">
        <f t="shared" si="26"/>
        <v>Good</v>
      </c>
      <c r="V284" s="15" t="str">
        <f t="shared" si="27"/>
        <v>Normal Discount</v>
      </c>
      <c r="W284" s="15">
        <f>VLOOKUP(D284,Lookup_Table!$A:$C,2,FALSE)</f>
        <v>0.2</v>
      </c>
      <c r="X284" s="15">
        <f t="shared" si="28"/>
        <v>0.248092744951384</v>
      </c>
      <c r="Y284" s="15" t="str">
        <f>VLOOKUP(D284,Lookup_Table!A:C,3,0)</f>
        <v>Sneha</v>
      </c>
      <c r="Z284" s="15" t="str">
        <f t="shared" si="29"/>
        <v>Achived</v>
      </c>
    </row>
    <row r="285" spans="1:26">
      <c r="A285" s="13" t="s">
        <v>376</v>
      </c>
      <c r="B285" s="14">
        <v>45997</v>
      </c>
      <c r="C285" s="13" t="s">
        <v>55</v>
      </c>
      <c r="D285" s="13" t="s">
        <v>44</v>
      </c>
      <c r="E285" s="13" t="s">
        <v>143</v>
      </c>
      <c r="F285" s="13" t="s">
        <v>82</v>
      </c>
      <c r="G285" s="13" t="s">
        <v>83</v>
      </c>
      <c r="H285" s="13" t="s">
        <v>77</v>
      </c>
      <c r="I285" s="13" t="s">
        <v>96</v>
      </c>
      <c r="J285" s="13">
        <v>1</v>
      </c>
      <c r="K285" s="13">
        <v>1298.27</v>
      </c>
      <c r="L285" s="13">
        <v>0.15</v>
      </c>
      <c r="M285" s="13">
        <v>1103.53</v>
      </c>
      <c r="N285" s="13">
        <v>829.34</v>
      </c>
      <c r="O285" s="13">
        <v>274.19</v>
      </c>
      <c r="P285" s="13">
        <v>3.2</v>
      </c>
      <c r="Q285" s="13" t="s">
        <v>34</v>
      </c>
      <c r="R285" s="13">
        <v>2025</v>
      </c>
      <c r="S285" s="15" t="str">
        <f t="shared" si="24"/>
        <v>Low Profit</v>
      </c>
      <c r="T285" s="15" t="str">
        <f t="shared" si="25"/>
        <v>High Sales</v>
      </c>
      <c r="U285" s="15" t="str">
        <f t="shared" si="26"/>
        <v>Needs Improvement</v>
      </c>
      <c r="V285" s="15" t="str">
        <f t="shared" si="27"/>
        <v>High Discount</v>
      </c>
      <c r="W285" s="15">
        <f>VLOOKUP(D285,Lookup_Table!$A:$C,2,FALSE)</f>
        <v>0.18</v>
      </c>
      <c r="X285" s="15">
        <f t="shared" si="28"/>
        <v>0.248466285465733</v>
      </c>
      <c r="Y285" s="15" t="str">
        <f>VLOOKUP(D285,Lookup_Table!A:C,3,0)</f>
        <v>Amit</v>
      </c>
      <c r="Z285" s="15" t="str">
        <f t="shared" si="29"/>
        <v>Achived</v>
      </c>
    </row>
    <row r="286" spans="1:26">
      <c r="A286" s="13" t="s">
        <v>377</v>
      </c>
      <c r="B286" s="14">
        <v>45718</v>
      </c>
      <c r="C286" s="13" t="s">
        <v>55</v>
      </c>
      <c r="D286" s="13" t="s">
        <v>80</v>
      </c>
      <c r="E286" s="13" t="s">
        <v>191</v>
      </c>
      <c r="F286" s="13" t="s">
        <v>98</v>
      </c>
      <c r="G286" s="13" t="s">
        <v>99</v>
      </c>
      <c r="H286" s="13" t="s">
        <v>77</v>
      </c>
      <c r="I286" s="13" t="s">
        <v>46</v>
      </c>
      <c r="J286" s="13">
        <v>7</v>
      </c>
      <c r="K286" s="13">
        <v>55.62</v>
      </c>
      <c r="L286" s="13">
        <v>0.1</v>
      </c>
      <c r="M286" s="13">
        <v>350.41</v>
      </c>
      <c r="N286" s="13">
        <v>263.3</v>
      </c>
      <c r="O286" s="13">
        <v>87.11</v>
      </c>
      <c r="P286" s="13">
        <v>4.9</v>
      </c>
      <c r="Q286" s="13" t="s">
        <v>94</v>
      </c>
      <c r="R286" s="13">
        <v>2025</v>
      </c>
      <c r="S286" s="15" t="str">
        <f t="shared" si="24"/>
        <v>Low Profit</v>
      </c>
      <c r="T286" s="15" t="str">
        <f t="shared" si="25"/>
        <v>Low Sales</v>
      </c>
      <c r="U286" s="15" t="str">
        <f t="shared" si="26"/>
        <v>Good</v>
      </c>
      <c r="V286" s="15" t="str">
        <f t="shared" si="27"/>
        <v>Normal Discount</v>
      </c>
      <c r="W286" s="15">
        <f>VLOOKUP(D286,Lookup_Table!$A:$C,2,FALSE)</f>
        <v>0.12</v>
      </c>
      <c r="X286" s="15">
        <f t="shared" si="28"/>
        <v>0.248594503581519</v>
      </c>
      <c r="Y286" s="15" t="str">
        <f>VLOOKUP(D286,Lookup_Table!A:C,3,0)</f>
        <v>Rahul</v>
      </c>
      <c r="Z286" s="15" t="str">
        <f t="shared" si="29"/>
        <v>Achived</v>
      </c>
    </row>
    <row r="287" spans="1:26">
      <c r="A287" s="13" t="s">
        <v>378</v>
      </c>
      <c r="B287" s="14">
        <v>45675</v>
      </c>
      <c r="C287" s="13" t="s">
        <v>27</v>
      </c>
      <c r="D287" s="13" t="s">
        <v>80</v>
      </c>
      <c r="E287" s="13" t="s">
        <v>81</v>
      </c>
      <c r="F287" s="13" t="s">
        <v>67</v>
      </c>
      <c r="G287" s="13" t="s">
        <v>68</v>
      </c>
      <c r="H287" s="13" t="s">
        <v>69</v>
      </c>
      <c r="I287" s="13" t="s">
        <v>52</v>
      </c>
      <c r="J287" s="13">
        <v>2</v>
      </c>
      <c r="K287" s="13">
        <v>51.75</v>
      </c>
      <c r="L287" s="13">
        <v>0</v>
      </c>
      <c r="M287" s="13">
        <v>103.5</v>
      </c>
      <c r="N287" s="13">
        <v>77.74</v>
      </c>
      <c r="O287" s="13">
        <v>25.76</v>
      </c>
      <c r="P287" s="13">
        <v>3.5</v>
      </c>
      <c r="Q287" s="13" t="s">
        <v>64</v>
      </c>
      <c r="R287" s="13">
        <v>2025</v>
      </c>
      <c r="S287" s="15" t="str">
        <f t="shared" si="24"/>
        <v>Low Profit</v>
      </c>
      <c r="T287" s="15" t="str">
        <f t="shared" si="25"/>
        <v>Low Sales</v>
      </c>
      <c r="U287" s="15" t="str">
        <f t="shared" si="26"/>
        <v>Needs Improvement</v>
      </c>
      <c r="V287" s="15" t="str">
        <f t="shared" si="27"/>
        <v>Normal Discount</v>
      </c>
      <c r="W287" s="15">
        <f>VLOOKUP(D287,Lookup_Table!$A:$C,2,FALSE)</f>
        <v>0.12</v>
      </c>
      <c r="X287" s="15">
        <f t="shared" si="28"/>
        <v>0.248888888888889</v>
      </c>
      <c r="Y287" s="15" t="str">
        <f>VLOOKUP(D287,Lookup_Table!A:C,3,0)</f>
        <v>Rahul</v>
      </c>
      <c r="Z287" s="15" t="str">
        <f t="shared" si="29"/>
        <v>Achived</v>
      </c>
    </row>
    <row r="288" spans="1:26">
      <c r="A288" s="13" t="s">
        <v>379</v>
      </c>
      <c r="B288" s="14">
        <v>45937</v>
      </c>
      <c r="C288" s="13" t="s">
        <v>55</v>
      </c>
      <c r="D288" s="13" t="s">
        <v>60</v>
      </c>
      <c r="E288" s="13" t="s">
        <v>66</v>
      </c>
      <c r="F288" s="13" t="s">
        <v>111</v>
      </c>
      <c r="G288" s="13" t="s">
        <v>76</v>
      </c>
      <c r="H288" s="13" t="s">
        <v>77</v>
      </c>
      <c r="I288" s="13" t="s">
        <v>96</v>
      </c>
      <c r="J288" s="13">
        <v>6</v>
      </c>
      <c r="K288" s="13">
        <v>112.36</v>
      </c>
      <c r="L288" s="13">
        <v>0</v>
      </c>
      <c r="M288" s="13">
        <v>674.16</v>
      </c>
      <c r="N288" s="13">
        <v>506.28</v>
      </c>
      <c r="O288" s="13">
        <v>167.88</v>
      </c>
      <c r="P288" s="13">
        <v>4.4</v>
      </c>
      <c r="Q288" s="13" t="s">
        <v>87</v>
      </c>
      <c r="R288" s="13">
        <v>2025</v>
      </c>
      <c r="S288" s="15" t="str">
        <f t="shared" si="24"/>
        <v>Low Profit</v>
      </c>
      <c r="T288" s="15" t="str">
        <f t="shared" si="25"/>
        <v>Low Sales</v>
      </c>
      <c r="U288" s="15" t="str">
        <f t="shared" si="26"/>
        <v>Good</v>
      </c>
      <c r="V288" s="15" t="str">
        <f t="shared" si="27"/>
        <v>Normal Discount</v>
      </c>
      <c r="W288" s="15">
        <f>VLOOKUP(D288,Lookup_Table!$A:$C,2,FALSE)</f>
        <v>0.15</v>
      </c>
      <c r="X288" s="15">
        <f t="shared" si="28"/>
        <v>0.249021003915984</v>
      </c>
      <c r="Y288" s="15" t="str">
        <f>VLOOKUP(D288,Lookup_Table!A:C,3,0)</f>
        <v>Priya</v>
      </c>
      <c r="Z288" s="15" t="str">
        <f t="shared" si="29"/>
        <v>Achived</v>
      </c>
    </row>
    <row r="289" spans="1:26">
      <c r="A289" s="13" t="s">
        <v>380</v>
      </c>
      <c r="B289" s="14">
        <v>45733</v>
      </c>
      <c r="C289" s="13" t="s">
        <v>27</v>
      </c>
      <c r="D289" s="13" t="s">
        <v>28</v>
      </c>
      <c r="E289" s="13" t="s">
        <v>49</v>
      </c>
      <c r="F289" s="13" t="s">
        <v>111</v>
      </c>
      <c r="G289" s="13" t="s">
        <v>76</v>
      </c>
      <c r="H289" s="13" t="s">
        <v>77</v>
      </c>
      <c r="I289" s="13" t="s">
        <v>52</v>
      </c>
      <c r="J289" s="13">
        <v>7</v>
      </c>
      <c r="K289" s="13">
        <v>79.72</v>
      </c>
      <c r="L289" s="13">
        <v>0.05</v>
      </c>
      <c r="M289" s="13">
        <v>530.14</v>
      </c>
      <c r="N289" s="13">
        <v>398.07</v>
      </c>
      <c r="O289" s="13">
        <v>132.07</v>
      </c>
      <c r="P289" s="13">
        <v>2.5</v>
      </c>
      <c r="Q289" s="13" t="s">
        <v>94</v>
      </c>
      <c r="R289" s="13">
        <v>2025</v>
      </c>
      <c r="S289" s="15" t="str">
        <f t="shared" si="24"/>
        <v>Low Profit</v>
      </c>
      <c r="T289" s="15" t="str">
        <f t="shared" si="25"/>
        <v>Low Sales</v>
      </c>
      <c r="U289" s="15" t="str">
        <f t="shared" si="26"/>
        <v>Needs Improvement</v>
      </c>
      <c r="V289" s="15" t="str">
        <f t="shared" si="27"/>
        <v>Normal Discount</v>
      </c>
      <c r="W289" s="15">
        <f>VLOOKUP(D289,Lookup_Table!$A:$C,2,FALSE)</f>
        <v>0.2</v>
      </c>
      <c r="X289" s="15">
        <f t="shared" si="28"/>
        <v>0.249122873203305</v>
      </c>
      <c r="Y289" s="15" t="str">
        <f>VLOOKUP(D289,Lookup_Table!A:C,3,0)</f>
        <v>Sneha</v>
      </c>
      <c r="Z289" s="15" t="str">
        <f t="shared" si="29"/>
        <v>Achived</v>
      </c>
    </row>
    <row r="290" spans="1:26">
      <c r="A290" s="13" t="s">
        <v>381</v>
      </c>
      <c r="B290" s="14">
        <v>45935</v>
      </c>
      <c r="C290" s="13" t="s">
        <v>27</v>
      </c>
      <c r="D290" s="13" t="s">
        <v>28</v>
      </c>
      <c r="E290" s="13" t="s">
        <v>49</v>
      </c>
      <c r="F290" s="13" t="s">
        <v>30</v>
      </c>
      <c r="G290" s="13" t="s">
        <v>31</v>
      </c>
      <c r="H290" s="13" t="s">
        <v>32</v>
      </c>
      <c r="I290" s="13" t="s">
        <v>96</v>
      </c>
      <c r="J290" s="13">
        <v>2</v>
      </c>
      <c r="K290" s="13">
        <v>154.26</v>
      </c>
      <c r="L290" s="13">
        <v>0.05</v>
      </c>
      <c r="M290" s="13">
        <v>293.09</v>
      </c>
      <c r="N290" s="13">
        <v>220.06</v>
      </c>
      <c r="O290" s="13">
        <v>73.03</v>
      </c>
      <c r="P290" s="13">
        <v>3</v>
      </c>
      <c r="Q290" s="13" t="s">
        <v>87</v>
      </c>
      <c r="R290" s="13">
        <v>2025</v>
      </c>
      <c r="S290" s="15" t="str">
        <f t="shared" si="24"/>
        <v>Low Profit</v>
      </c>
      <c r="T290" s="15" t="str">
        <f t="shared" si="25"/>
        <v>Low Sales</v>
      </c>
      <c r="U290" s="15" t="str">
        <f t="shared" si="26"/>
        <v>Needs Improvement</v>
      </c>
      <c r="V290" s="15" t="str">
        <f t="shared" si="27"/>
        <v>Normal Discount</v>
      </c>
      <c r="W290" s="15">
        <f>VLOOKUP(D290,Lookup_Table!$A:$C,2,FALSE)</f>
        <v>0.2</v>
      </c>
      <c r="X290" s="15">
        <f t="shared" si="28"/>
        <v>0.249172609096182</v>
      </c>
      <c r="Y290" s="15" t="str">
        <f>VLOOKUP(D290,Lookup_Table!A:C,3,0)</f>
        <v>Sneha</v>
      </c>
      <c r="Z290" s="15" t="str">
        <f t="shared" si="29"/>
        <v>Achived</v>
      </c>
    </row>
    <row r="291" spans="1:26">
      <c r="A291" s="13" t="s">
        <v>382</v>
      </c>
      <c r="B291" s="14">
        <v>45694</v>
      </c>
      <c r="C291" s="13" t="s">
        <v>27</v>
      </c>
      <c r="D291" s="13" t="s">
        <v>28</v>
      </c>
      <c r="E291" s="13" t="s">
        <v>29</v>
      </c>
      <c r="F291" s="13" t="s">
        <v>30</v>
      </c>
      <c r="G291" s="13" t="s">
        <v>31</v>
      </c>
      <c r="H291" s="13" t="s">
        <v>32</v>
      </c>
      <c r="I291" s="13" t="s">
        <v>46</v>
      </c>
      <c r="J291" s="13">
        <v>6</v>
      </c>
      <c r="K291" s="13">
        <v>49.6</v>
      </c>
      <c r="L291" s="13">
        <v>0.1</v>
      </c>
      <c r="M291" s="13">
        <v>267.84</v>
      </c>
      <c r="N291" s="13">
        <v>201.07</v>
      </c>
      <c r="O291" s="13">
        <v>66.77</v>
      </c>
      <c r="P291" s="13">
        <v>3.8</v>
      </c>
      <c r="Q291" s="13" t="s">
        <v>105</v>
      </c>
      <c r="R291" s="13">
        <v>2025</v>
      </c>
      <c r="S291" s="15" t="str">
        <f t="shared" si="24"/>
        <v>Low Profit</v>
      </c>
      <c r="T291" s="15" t="str">
        <f t="shared" si="25"/>
        <v>Low Sales</v>
      </c>
      <c r="U291" s="15" t="str">
        <f t="shared" si="26"/>
        <v>Needs Improvement</v>
      </c>
      <c r="V291" s="15" t="str">
        <f t="shared" si="27"/>
        <v>Normal Discount</v>
      </c>
      <c r="W291" s="15">
        <f>VLOOKUP(D291,Lookup_Table!$A:$C,2,FALSE)</f>
        <v>0.2</v>
      </c>
      <c r="X291" s="15">
        <f t="shared" si="28"/>
        <v>0.249290621266428</v>
      </c>
      <c r="Y291" s="15" t="str">
        <f>VLOOKUP(D291,Lookup_Table!A:C,3,0)</f>
        <v>Sneha</v>
      </c>
      <c r="Z291" s="15" t="str">
        <f t="shared" si="29"/>
        <v>Achived</v>
      </c>
    </row>
    <row r="292" spans="1:26">
      <c r="A292" s="13" t="s">
        <v>383</v>
      </c>
      <c r="B292" s="14">
        <v>45963</v>
      </c>
      <c r="C292" s="13" t="s">
        <v>55</v>
      </c>
      <c r="D292" s="13" t="s">
        <v>44</v>
      </c>
      <c r="E292" s="13" t="s">
        <v>45</v>
      </c>
      <c r="F292" s="13" t="s">
        <v>82</v>
      </c>
      <c r="G292" s="13" t="s">
        <v>83</v>
      </c>
      <c r="H292" s="13" t="s">
        <v>77</v>
      </c>
      <c r="I292" s="13" t="s">
        <v>46</v>
      </c>
      <c r="J292" s="13">
        <v>1</v>
      </c>
      <c r="K292" s="13">
        <v>1162.29</v>
      </c>
      <c r="L292" s="13">
        <v>0.15</v>
      </c>
      <c r="M292" s="13">
        <v>987.95</v>
      </c>
      <c r="N292" s="13">
        <v>741.58</v>
      </c>
      <c r="O292" s="13">
        <v>246.37</v>
      </c>
      <c r="P292" s="13">
        <v>3.3</v>
      </c>
      <c r="Q292" s="13" t="s">
        <v>71</v>
      </c>
      <c r="R292" s="13">
        <v>2025</v>
      </c>
      <c r="S292" s="15" t="str">
        <f t="shared" si="24"/>
        <v>Low Profit</v>
      </c>
      <c r="T292" s="15" t="str">
        <f t="shared" si="25"/>
        <v>Low Sales</v>
      </c>
      <c r="U292" s="15" t="str">
        <f t="shared" si="26"/>
        <v>Needs Improvement</v>
      </c>
      <c r="V292" s="15" t="str">
        <f t="shared" si="27"/>
        <v>High Discount</v>
      </c>
      <c r="W292" s="15">
        <f>VLOOKUP(D292,Lookup_Table!$A:$C,2,FALSE)</f>
        <v>0.18</v>
      </c>
      <c r="X292" s="15">
        <f t="shared" si="28"/>
        <v>0.249374968368845</v>
      </c>
      <c r="Y292" s="15" t="str">
        <f>VLOOKUP(D292,Lookup_Table!A:C,3,0)</f>
        <v>Amit</v>
      </c>
      <c r="Z292" s="15" t="str">
        <f t="shared" si="29"/>
        <v>Achived</v>
      </c>
    </row>
    <row r="293" spans="1:26">
      <c r="A293" s="13" t="s">
        <v>384</v>
      </c>
      <c r="B293" s="14">
        <v>45896</v>
      </c>
      <c r="C293" s="13" t="s">
        <v>55</v>
      </c>
      <c r="D293" s="13" t="s">
        <v>60</v>
      </c>
      <c r="E293" s="13" t="s">
        <v>150</v>
      </c>
      <c r="F293" s="13" t="s">
        <v>30</v>
      </c>
      <c r="G293" s="13" t="s">
        <v>31</v>
      </c>
      <c r="H293" s="13" t="s">
        <v>32</v>
      </c>
      <c r="I293" s="13" t="s">
        <v>33</v>
      </c>
      <c r="J293" s="13">
        <v>3</v>
      </c>
      <c r="K293" s="13">
        <v>384.15</v>
      </c>
      <c r="L293" s="13">
        <v>0</v>
      </c>
      <c r="M293" s="13">
        <v>1152.45</v>
      </c>
      <c r="N293" s="13">
        <v>864.99</v>
      </c>
      <c r="O293" s="13">
        <v>287.46</v>
      </c>
      <c r="P293" s="13">
        <v>3</v>
      </c>
      <c r="Q293" s="13" t="s">
        <v>47</v>
      </c>
      <c r="R293" s="13">
        <v>2025</v>
      </c>
      <c r="S293" s="15" t="str">
        <f t="shared" si="24"/>
        <v>Low Profit</v>
      </c>
      <c r="T293" s="15" t="str">
        <f t="shared" si="25"/>
        <v>High Sales</v>
      </c>
      <c r="U293" s="15" t="str">
        <f t="shared" si="26"/>
        <v>Needs Improvement</v>
      </c>
      <c r="V293" s="15" t="str">
        <f t="shared" si="27"/>
        <v>Normal Discount</v>
      </c>
      <c r="W293" s="15">
        <f>VLOOKUP(D293,Lookup_Table!$A:$C,2,FALSE)</f>
        <v>0.15</v>
      </c>
      <c r="X293" s="15">
        <f t="shared" si="28"/>
        <v>0.249433814916048</v>
      </c>
      <c r="Y293" s="15" t="str">
        <f>VLOOKUP(D293,Lookup_Table!A:C,3,0)</f>
        <v>Priya</v>
      </c>
      <c r="Z293" s="15" t="str">
        <f t="shared" si="29"/>
        <v>Achived</v>
      </c>
    </row>
    <row r="294" spans="1:26">
      <c r="A294" s="13" t="s">
        <v>385</v>
      </c>
      <c r="B294" s="14">
        <v>46013</v>
      </c>
      <c r="C294" s="13" t="s">
        <v>55</v>
      </c>
      <c r="D294" s="13" t="s">
        <v>44</v>
      </c>
      <c r="E294" s="13" t="s">
        <v>45</v>
      </c>
      <c r="F294" s="13" t="s">
        <v>67</v>
      </c>
      <c r="G294" s="13" t="s">
        <v>68</v>
      </c>
      <c r="H294" s="13" t="s">
        <v>69</v>
      </c>
      <c r="I294" s="13" t="s">
        <v>96</v>
      </c>
      <c r="J294" s="13">
        <v>2</v>
      </c>
      <c r="K294" s="13">
        <v>1390.1</v>
      </c>
      <c r="L294" s="13">
        <v>0.1</v>
      </c>
      <c r="M294" s="13">
        <v>2502.18</v>
      </c>
      <c r="N294" s="13">
        <v>1877.65</v>
      </c>
      <c r="O294" s="13">
        <v>624.53</v>
      </c>
      <c r="P294" s="13">
        <v>3.5</v>
      </c>
      <c r="Q294" s="13" t="s">
        <v>34</v>
      </c>
      <c r="R294" s="13">
        <v>2025</v>
      </c>
      <c r="S294" s="15" t="str">
        <f t="shared" si="24"/>
        <v>High Profit</v>
      </c>
      <c r="T294" s="15" t="str">
        <f t="shared" si="25"/>
        <v>High Sales</v>
      </c>
      <c r="U294" s="15" t="str">
        <f t="shared" si="26"/>
        <v>Needs Improvement</v>
      </c>
      <c r="V294" s="15" t="str">
        <f t="shared" si="27"/>
        <v>Normal Discount</v>
      </c>
      <c r="W294" s="15">
        <f>VLOOKUP(D294,Lookup_Table!$A:$C,2,FALSE)</f>
        <v>0.18</v>
      </c>
      <c r="X294" s="15">
        <f t="shared" si="28"/>
        <v>0.249594353723553</v>
      </c>
      <c r="Y294" s="15" t="str">
        <f>VLOOKUP(D294,Lookup_Table!A:C,3,0)</f>
        <v>Amit</v>
      </c>
      <c r="Z294" s="15" t="str">
        <f t="shared" si="29"/>
        <v>Achived</v>
      </c>
    </row>
    <row r="295" spans="1:26">
      <c r="A295" s="13" t="s">
        <v>386</v>
      </c>
      <c r="B295" s="14">
        <v>45846</v>
      </c>
      <c r="C295" s="13" t="s">
        <v>27</v>
      </c>
      <c r="D295" s="13" t="s">
        <v>80</v>
      </c>
      <c r="E295" s="13" t="s">
        <v>191</v>
      </c>
      <c r="F295" s="13" t="s">
        <v>50</v>
      </c>
      <c r="G295" s="13" t="s">
        <v>51</v>
      </c>
      <c r="H295" s="13" t="s">
        <v>32</v>
      </c>
      <c r="I295" s="13" t="s">
        <v>96</v>
      </c>
      <c r="J295" s="13">
        <v>2</v>
      </c>
      <c r="K295" s="13">
        <v>73.74</v>
      </c>
      <c r="L295" s="13">
        <v>0.1</v>
      </c>
      <c r="M295" s="13">
        <v>132.73</v>
      </c>
      <c r="N295" s="13">
        <v>99.58</v>
      </c>
      <c r="O295" s="13">
        <v>33.15</v>
      </c>
      <c r="P295" s="13">
        <v>2.7</v>
      </c>
      <c r="Q295" s="13" t="s">
        <v>56</v>
      </c>
      <c r="R295" s="13">
        <v>2025</v>
      </c>
      <c r="S295" s="15" t="str">
        <f t="shared" si="24"/>
        <v>Low Profit</v>
      </c>
      <c r="T295" s="15" t="str">
        <f t="shared" si="25"/>
        <v>Low Sales</v>
      </c>
      <c r="U295" s="15" t="str">
        <f t="shared" si="26"/>
        <v>Needs Improvement</v>
      </c>
      <c r="V295" s="15" t="str">
        <f t="shared" si="27"/>
        <v>Normal Discount</v>
      </c>
      <c r="W295" s="15">
        <f>VLOOKUP(D295,Lookup_Table!$A:$C,2,FALSE)</f>
        <v>0.12</v>
      </c>
      <c r="X295" s="15">
        <f t="shared" si="28"/>
        <v>0.24975514201763</v>
      </c>
      <c r="Y295" s="15" t="str">
        <f>VLOOKUP(D295,Lookup_Table!A:C,3,0)</f>
        <v>Rahul</v>
      </c>
      <c r="Z295" s="15" t="str">
        <f t="shared" si="29"/>
        <v>Achived</v>
      </c>
    </row>
    <row r="296" spans="1:26">
      <c r="A296" s="13" t="s">
        <v>387</v>
      </c>
      <c r="B296" s="14">
        <v>46000</v>
      </c>
      <c r="C296" s="13" t="s">
        <v>55</v>
      </c>
      <c r="D296" s="13" t="s">
        <v>60</v>
      </c>
      <c r="E296" s="13" t="s">
        <v>150</v>
      </c>
      <c r="F296" s="13" t="s">
        <v>75</v>
      </c>
      <c r="G296" s="13" t="s">
        <v>76</v>
      </c>
      <c r="H296" s="13" t="s">
        <v>77</v>
      </c>
      <c r="I296" s="13" t="s">
        <v>33</v>
      </c>
      <c r="J296" s="13">
        <v>2</v>
      </c>
      <c r="K296" s="13">
        <v>122.59</v>
      </c>
      <c r="L296" s="13">
        <v>0.1</v>
      </c>
      <c r="M296" s="13">
        <v>220.66</v>
      </c>
      <c r="N296" s="13">
        <v>165.54</v>
      </c>
      <c r="O296" s="13">
        <v>55.12</v>
      </c>
      <c r="P296" s="13">
        <v>3.2</v>
      </c>
      <c r="Q296" s="13" t="s">
        <v>34</v>
      </c>
      <c r="R296" s="13">
        <v>2025</v>
      </c>
      <c r="S296" s="15" t="str">
        <f t="shared" si="24"/>
        <v>Low Profit</v>
      </c>
      <c r="T296" s="15" t="str">
        <f t="shared" si="25"/>
        <v>Low Sales</v>
      </c>
      <c r="U296" s="15" t="str">
        <f t="shared" si="26"/>
        <v>Needs Improvement</v>
      </c>
      <c r="V296" s="15" t="str">
        <f t="shared" si="27"/>
        <v>Normal Discount</v>
      </c>
      <c r="W296" s="15">
        <f>VLOOKUP(D296,Lookup_Table!$A:$C,2,FALSE)</f>
        <v>0.15</v>
      </c>
      <c r="X296" s="15">
        <f t="shared" si="28"/>
        <v>0.249796066346415</v>
      </c>
      <c r="Y296" s="15" t="str">
        <f>VLOOKUP(D296,Lookup_Table!A:C,3,0)</f>
        <v>Priya</v>
      </c>
      <c r="Z296" s="15" t="str">
        <f t="shared" si="29"/>
        <v>Achived</v>
      </c>
    </row>
    <row r="297" spans="1:26">
      <c r="A297" s="13" t="s">
        <v>388</v>
      </c>
      <c r="B297" s="14">
        <v>45760</v>
      </c>
      <c r="C297" s="13" t="s">
        <v>55</v>
      </c>
      <c r="D297" s="13" t="s">
        <v>44</v>
      </c>
      <c r="E297" s="13" t="s">
        <v>45</v>
      </c>
      <c r="F297" s="13" t="s">
        <v>62</v>
      </c>
      <c r="G297" s="13" t="s">
        <v>63</v>
      </c>
      <c r="H297" s="13" t="s">
        <v>32</v>
      </c>
      <c r="I297" s="13" t="s">
        <v>33</v>
      </c>
      <c r="J297" s="13">
        <v>2</v>
      </c>
      <c r="K297" s="13">
        <v>478.45</v>
      </c>
      <c r="L297" s="13">
        <v>0.1</v>
      </c>
      <c r="M297" s="13">
        <v>861.21</v>
      </c>
      <c r="N297" s="13">
        <v>646</v>
      </c>
      <c r="O297" s="13">
        <v>215.21</v>
      </c>
      <c r="P297" s="13">
        <v>3</v>
      </c>
      <c r="Q297" s="13" t="s">
        <v>84</v>
      </c>
      <c r="R297" s="13">
        <v>2025</v>
      </c>
      <c r="S297" s="15" t="str">
        <f t="shared" si="24"/>
        <v>Low Profit</v>
      </c>
      <c r="T297" s="15" t="str">
        <f t="shared" si="25"/>
        <v>Low Sales</v>
      </c>
      <c r="U297" s="15" t="str">
        <f t="shared" si="26"/>
        <v>Needs Improvement</v>
      </c>
      <c r="V297" s="15" t="str">
        <f t="shared" si="27"/>
        <v>Normal Discount</v>
      </c>
      <c r="W297" s="15">
        <f>VLOOKUP(D297,Lookup_Table!$A:$C,2,FALSE)</f>
        <v>0.18</v>
      </c>
      <c r="X297" s="15">
        <f t="shared" si="28"/>
        <v>0.249892592979645</v>
      </c>
      <c r="Y297" s="15" t="str">
        <f>VLOOKUP(D297,Lookup_Table!A:C,3,0)</f>
        <v>Amit</v>
      </c>
      <c r="Z297" s="15" t="str">
        <f t="shared" si="29"/>
        <v>Achived</v>
      </c>
    </row>
    <row r="298" spans="1:26">
      <c r="A298" s="13" t="s">
        <v>389</v>
      </c>
      <c r="B298" s="14">
        <v>45725</v>
      </c>
      <c r="C298" s="13" t="s">
        <v>55</v>
      </c>
      <c r="D298" s="13" t="s">
        <v>60</v>
      </c>
      <c r="E298" s="13" t="s">
        <v>66</v>
      </c>
      <c r="F298" s="13" t="s">
        <v>111</v>
      </c>
      <c r="G298" s="13" t="s">
        <v>76</v>
      </c>
      <c r="H298" s="13" t="s">
        <v>77</v>
      </c>
      <c r="I298" s="13" t="s">
        <v>96</v>
      </c>
      <c r="J298" s="13">
        <v>4</v>
      </c>
      <c r="K298" s="13">
        <v>797.66</v>
      </c>
      <c r="L298" s="13">
        <v>0.1</v>
      </c>
      <c r="M298" s="13">
        <v>2871.58</v>
      </c>
      <c r="N298" s="13">
        <v>2153.72</v>
      </c>
      <c r="O298" s="13">
        <v>717.86</v>
      </c>
      <c r="P298" s="13">
        <v>3.4</v>
      </c>
      <c r="Q298" s="13" t="s">
        <v>94</v>
      </c>
      <c r="R298" s="13">
        <v>2025</v>
      </c>
      <c r="S298" s="15" t="str">
        <f t="shared" si="24"/>
        <v>High Profit</v>
      </c>
      <c r="T298" s="15" t="str">
        <f t="shared" si="25"/>
        <v>High Sales</v>
      </c>
      <c r="U298" s="15" t="str">
        <f t="shared" si="26"/>
        <v>Needs Improvement</v>
      </c>
      <c r="V298" s="15" t="str">
        <f t="shared" si="27"/>
        <v>Normal Discount</v>
      </c>
      <c r="W298" s="15">
        <f>VLOOKUP(D298,Lookup_Table!$A:$C,2,FALSE)</f>
        <v>0.15</v>
      </c>
      <c r="X298" s="15">
        <f t="shared" si="28"/>
        <v>0.249987811588046</v>
      </c>
      <c r="Y298" s="15" t="str">
        <f>VLOOKUP(D298,Lookup_Table!A:C,3,0)</f>
        <v>Priya</v>
      </c>
      <c r="Z298" s="15" t="str">
        <f t="shared" si="29"/>
        <v>Achived</v>
      </c>
    </row>
    <row r="299" spans="1:26">
      <c r="A299" s="13" t="s">
        <v>390</v>
      </c>
      <c r="B299" s="14">
        <v>45821</v>
      </c>
      <c r="C299" s="13" t="s">
        <v>27</v>
      </c>
      <c r="D299" s="13" t="s">
        <v>80</v>
      </c>
      <c r="E299" s="13" t="s">
        <v>191</v>
      </c>
      <c r="F299" s="13" t="s">
        <v>62</v>
      </c>
      <c r="G299" s="13" t="s">
        <v>63</v>
      </c>
      <c r="H299" s="13" t="s">
        <v>32</v>
      </c>
      <c r="I299" s="13" t="s">
        <v>46</v>
      </c>
      <c r="J299" s="13">
        <v>5</v>
      </c>
      <c r="K299" s="13">
        <v>49.74</v>
      </c>
      <c r="L299" s="13">
        <v>0.1</v>
      </c>
      <c r="M299" s="13">
        <v>223.83</v>
      </c>
      <c r="N299" s="13">
        <v>167.81</v>
      </c>
      <c r="O299" s="13">
        <v>56.02</v>
      </c>
      <c r="P299" s="13">
        <v>2.8</v>
      </c>
      <c r="Q299" s="13" t="s">
        <v>58</v>
      </c>
      <c r="R299" s="13">
        <v>2025</v>
      </c>
      <c r="S299" s="15" t="str">
        <f t="shared" si="24"/>
        <v>Low Profit</v>
      </c>
      <c r="T299" s="15" t="str">
        <f t="shared" si="25"/>
        <v>Low Sales</v>
      </c>
      <c r="U299" s="15" t="str">
        <f t="shared" si="26"/>
        <v>Needs Improvement</v>
      </c>
      <c r="V299" s="15" t="str">
        <f t="shared" si="27"/>
        <v>Normal Discount</v>
      </c>
      <c r="W299" s="15">
        <f>VLOOKUP(D299,Lookup_Table!$A:$C,2,FALSE)</f>
        <v>0.12</v>
      </c>
      <c r="X299" s="15">
        <f t="shared" si="28"/>
        <v>0.250279229772595</v>
      </c>
      <c r="Y299" s="15" t="str">
        <f>VLOOKUP(D299,Lookup_Table!A:C,3,0)</f>
        <v>Rahul</v>
      </c>
      <c r="Z299" s="15" t="str">
        <f t="shared" si="29"/>
        <v>Achived</v>
      </c>
    </row>
    <row r="300" spans="1:26">
      <c r="A300" s="13" t="s">
        <v>391</v>
      </c>
      <c r="B300" s="14">
        <v>45722</v>
      </c>
      <c r="C300" s="13" t="s">
        <v>27</v>
      </c>
      <c r="D300" s="13" t="s">
        <v>28</v>
      </c>
      <c r="E300" s="13" t="s">
        <v>49</v>
      </c>
      <c r="F300" s="13" t="s">
        <v>75</v>
      </c>
      <c r="G300" s="13" t="s">
        <v>76</v>
      </c>
      <c r="H300" s="13" t="s">
        <v>77</v>
      </c>
      <c r="I300" s="13" t="s">
        <v>52</v>
      </c>
      <c r="J300" s="13">
        <v>1</v>
      </c>
      <c r="K300" s="13">
        <v>29.31</v>
      </c>
      <c r="L300" s="13">
        <v>0</v>
      </c>
      <c r="M300" s="13">
        <v>29.31</v>
      </c>
      <c r="N300" s="13">
        <v>21.97</v>
      </c>
      <c r="O300" s="13">
        <v>7.34</v>
      </c>
      <c r="P300" s="13">
        <v>2.7</v>
      </c>
      <c r="Q300" s="13" t="s">
        <v>94</v>
      </c>
      <c r="R300" s="13">
        <v>2025</v>
      </c>
      <c r="S300" s="15" t="str">
        <f t="shared" si="24"/>
        <v>Low Profit</v>
      </c>
      <c r="T300" s="15" t="str">
        <f t="shared" si="25"/>
        <v>Low Sales</v>
      </c>
      <c r="U300" s="15" t="str">
        <f t="shared" si="26"/>
        <v>Needs Improvement</v>
      </c>
      <c r="V300" s="15" t="str">
        <f t="shared" si="27"/>
        <v>Normal Discount</v>
      </c>
      <c r="W300" s="15">
        <f>VLOOKUP(D300,Lookup_Table!$A:$C,2,FALSE)</f>
        <v>0.2</v>
      </c>
      <c r="X300" s="15">
        <f t="shared" si="28"/>
        <v>0.250426475605595</v>
      </c>
      <c r="Y300" s="15" t="str">
        <f>VLOOKUP(D300,Lookup_Table!A:C,3,0)</f>
        <v>Sneha</v>
      </c>
      <c r="Z300" s="15" t="str">
        <f t="shared" si="29"/>
        <v>Achived</v>
      </c>
    </row>
    <row r="301" spans="1:26">
      <c r="A301" s="13" t="s">
        <v>392</v>
      </c>
      <c r="B301" s="14">
        <v>46009</v>
      </c>
      <c r="C301" s="13" t="s">
        <v>27</v>
      </c>
      <c r="D301" s="13" t="s">
        <v>44</v>
      </c>
      <c r="E301" s="13" t="s">
        <v>104</v>
      </c>
      <c r="F301" s="13" t="s">
        <v>116</v>
      </c>
      <c r="G301" s="13" t="s">
        <v>117</v>
      </c>
      <c r="H301" s="13" t="s">
        <v>32</v>
      </c>
      <c r="I301" s="13" t="s">
        <v>52</v>
      </c>
      <c r="J301" s="13">
        <v>5</v>
      </c>
      <c r="K301" s="13">
        <v>638.96</v>
      </c>
      <c r="L301" s="13">
        <v>0.05</v>
      </c>
      <c r="M301" s="13">
        <v>3035.06</v>
      </c>
      <c r="N301" s="13">
        <v>2273.68</v>
      </c>
      <c r="O301" s="13">
        <v>761.38</v>
      </c>
      <c r="P301" s="13">
        <v>4.7</v>
      </c>
      <c r="Q301" s="13" t="s">
        <v>34</v>
      </c>
      <c r="R301" s="13">
        <v>2025</v>
      </c>
      <c r="S301" s="15" t="str">
        <f t="shared" si="24"/>
        <v>High Profit</v>
      </c>
      <c r="T301" s="15" t="str">
        <f t="shared" si="25"/>
        <v>High Sales</v>
      </c>
      <c r="U301" s="15" t="str">
        <f t="shared" si="26"/>
        <v>Good</v>
      </c>
      <c r="V301" s="15" t="str">
        <f t="shared" si="27"/>
        <v>Normal Discount</v>
      </c>
      <c r="W301" s="15">
        <f>VLOOKUP(D301,Lookup_Table!$A:$C,2,FALSE)</f>
        <v>0.18</v>
      </c>
      <c r="X301" s="15">
        <f t="shared" si="28"/>
        <v>0.250861597464301</v>
      </c>
      <c r="Y301" s="15" t="str">
        <f>VLOOKUP(D301,Lookup_Table!A:C,3,0)</f>
        <v>Amit</v>
      </c>
      <c r="Z301" s="15" t="str">
        <f t="shared" si="29"/>
        <v>Achived</v>
      </c>
    </row>
    <row r="302" spans="1:26">
      <c r="A302" s="13" t="s">
        <v>393</v>
      </c>
      <c r="B302" s="14">
        <v>45715</v>
      </c>
      <c r="C302" s="13" t="s">
        <v>55</v>
      </c>
      <c r="D302" s="13" t="s">
        <v>80</v>
      </c>
      <c r="E302" s="13" t="s">
        <v>101</v>
      </c>
      <c r="F302" s="13" t="s">
        <v>62</v>
      </c>
      <c r="G302" s="13" t="s">
        <v>63</v>
      </c>
      <c r="H302" s="13" t="s">
        <v>32</v>
      </c>
      <c r="I302" s="13" t="s">
        <v>46</v>
      </c>
      <c r="J302" s="13">
        <v>5</v>
      </c>
      <c r="K302" s="13">
        <v>49.53</v>
      </c>
      <c r="L302" s="13">
        <v>0.15</v>
      </c>
      <c r="M302" s="13">
        <v>210.5</v>
      </c>
      <c r="N302" s="13">
        <v>157.68</v>
      </c>
      <c r="O302" s="13">
        <v>52.82</v>
      </c>
      <c r="P302" s="13">
        <v>4.9</v>
      </c>
      <c r="Q302" s="13" t="s">
        <v>105</v>
      </c>
      <c r="R302" s="13">
        <v>2025</v>
      </c>
      <c r="S302" s="15" t="str">
        <f t="shared" si="24"/>
        <v>Low Profit</v>
      </c>
      <c r="T302" s="15" t="str">
        <f t="shared" si="25"/>
        <v>Low Sales</v>
      </c>
      <c r="U302" s="15" t="str">
        <f t="shared" si="26"/>
        <v>Good</v>
      </c>
      <c r="V302" s="15" t="str">
        <f t="shared" si="27"/>
        <v>High Discount</v>
      </c>
      <c r="W302" s="15">
        <f>VLOOKUP(D302,Lookup_Table!$A:$C,2,FALSE)</f>
        <v>0.12</v>
      </c>
      <c r="X302" s="15">
        <f t="shared" si="28"/>
        <v>0.250926365795724</v>
      </c>
      <c r="Y302" s="15" t="str">
        <f>VLOOKUP(D302,Lookup_Table!A:C,3,0)</f>
        <v>Rahul</v>
      </c>
      <c r="Z302" s="15" t="str">
        <f t="shared" si="29"/>
        <v>Achived</v>
      </c>
    </row>
    <row r="303" spans="1:26">
      <c r="A303" s="13" t="s">
        <v>394</v>
      </c>
      <c r="B303" s="14">
        <v>45976</v>
      </c>
      <c r="C303" s="13" t="s">
        <v>27</v>
      </c>
      <c r="D303" s="13" t="s">
        <v>80</v>
      </c>
      <c r="E303" s="13" t="s">
        <v>101</v>
      </c>
      <c r="F303" s="13" t="s">
        <v>75</v>
      </c>
      <c r="G303" s="13" t="s">
        <v>76</v>
      </c>
      <c r="H303" s="13" t="s">
        <v>77</v>
      </c>
      <c r="I303" s="13" t="s">
        <v>52</v>
      </c>
      <c r="J303" s="13">
        <v>4</v>
      </c>
      <c r="K303" s="13">
        <v>16.14</v>
      </c>
      <c r="L303" s="13">
        <v>0.05</v>
      </c>
      <c r="M303" s="13">
        <v>61.33</v>
      </c>
      <c r="N303" s="13">
        <v>45.94</v>
      </c>
      <c r="O303" s="13">
        <v>15.39</v>
      </c>
      <c r="P303" s="13">
        <v>3.3</v>
      </c>
      <c r="Q303" s="13" t="s">
        <v>71</v>
      </c>
      <c r="R303" s="13">
        <v>2025</v>
      </c>
      <c r="S303" s="15" t="str">
        <f t="shared" si="24"/>
        <v>Low Profit</v>
      </c>
      <c r="T303" s="15" t="str">
        <f t="shared" si="25"/>
        <v>Low Sales</v>
      </c>
      <c r="U303" s="15" t="str">
        <f t="shared" si="26"/>
        <v>Needs Improvement</v>
      </c>
      <c r="V303" s="15" t="str">
        <f t="shared" si="27"/>
        <v>Normal Discount</v>
      </c>
      <c r="W303" s="15">
        <f>VLOOKUP(D303,Lookup_Table!$A:$C,2,FALSE)</f>
        <v>0.12</v>
      </c>
      <c r="X303" s="15">
        <f t="shared" si="28"/>
        <v>0.250937550953856</v>
      </c>
      <c r="Y303" s="15" t="str">
        <f>VLOOKUP(D303,Lookup_Table!A:C,3,0)</f>
        <v>Rahul</v>
      </c>
      <c r="Z303" s="15" t="str">
        <f t="shared" si="29"/>
        <v>Achived</v>
      </c>
    </row>
    <row r="304" spans="1:26">
      <c r="A304" s="13" t="s">
        <v>395</v>
      </c>
      <c r="B304" s="14">
        <v>46015</v>
      </c>
      <c r="C304" s="13" t="s">
        <v>36</v>
      </c>
      <c r="D304" s="13" t="s">
        <v>28</v>
      </c>
      <c r="E304" s="13" t="s">
        <v>73</v>
      </c>
      <c r="F304" s="13" t="s">
        <v>98</v>
      </c>
      <c r="G304" s="13" t="s">
        <v>99</v>
      </c>
      <c r="H304" s="13" t="s">
        <v>77</v>
      </c>
      <c r="I304" s="13" t="s">
        <v>33</v>
      </c>
      <c r="J304" s="13">
        <v>4</v>
      </c>
      <c r="K304" s="13">
        <v>169.8</v>
      </c>
      <c r="L304" s="13">
        <v>0.05</v>
      </c>
      <c r="M304" s="13">
        <v>645.24</v>
      </c>
      <c r="N304" s="13">
        <v>483.1</v>
      </c>
      <c r="O304" s="13">
        <v>162.14</v>
      </c>
      <c r="P304" s="13">
        <v>2.8</v>
      </c>
      <c r="Q304" s="13" t="s">
        <v>34</v>
      </c>
      <c r="R304" s="13">
        <v>2025</v>
      </c>
      <c r="S304" s="15" t="str">
        <f t="shared" si="24"/>
        <v>Low Profit</v>
      </c>
      <c r="T304" s="15" t="str">
        <f t="shared" si="25"/>
        <v>Low Sales</v>
      </c>
      <c r="U304" s="15" t="str">
        <f t="shared" si="26"/>
        <v>Needs Improvement</v>
      </c>
      <c r="V304" s="15" t="str">
        <f t="shared" si="27"/>
        <v>Normal Discount</v>
      </c>
      <c r="W304" s="15">
        <f>VLOOKUP(D304,Lookup_Table!$A:$C,2,FALSE)</f>
        <v>0.2</v>
      </c>
      <c r="X304" s="15">
        <f t="shared" si="28"/>
        <v>0.251286343066146</v>
      </c>
      <c r="Y304" s="15" t="str">
        <f>VLOOKUP(D304,Lookup_Table!A:C,3,0)</f>
        <v>Sneha</v>
      </c>
      <c r="Z304" s="15" t="str">
        <f t="shared" si="29"/>
        <v>Achived</v>
      </c>
    </row>
    <row r="305" spans="1:26">
      <c r="A305" s="13" t="s">
        <v>396</v>
      </c>
      <c r="B305" s="14">
        <v>45817</v>
      </c>
      <c r="C305" s="13" t="s">
        <v>27</v>
      </c>
      <c r="D305" s="13" t="s">
        <v>37</v>
      </c>
      <c r="E305" s="13" t="s">
        <v>38</v>
      </c>
      <c r="F305" s="13" t="s">
        <v>82</v>
      </c>
      <c r="G305" s="13" t="s">
        <v>83</v>
      </c>
      <c r="H305" s="13" t="s">
        <v>77</v>
      </c>
      <c r="I305" s="13" t="s">
        <v>52</v>
      </c>
      <c r="J305" s="13">
        <v>7</v>
      </c>
      <c r="K305" s="13">
        <v>297.44</v>
      </c>
      <c r="L305" s="13">
        <v>0.1</v>
      </c>
      <c r="M305" s="13">
        <v>1873.87</v>
      </c>
      <c r="N305" s="13">
        <v>1402.76</v>
      </c>
      <c r="O305" s="13">
        <v>471.11</v>
      </c>
      <c r="P305" s="13">
        <v>4.1</v>
      </c>
      <c r="Q305" s="13" t="s">
        <v>58</v>
      </c>
      <c r="R305" s="13">
        <v>2025</v>
      </c>
      <c r="S305" s="15" t="str">
        <f t="shared" si="24"/>
        <v>Low Profit</v>
      </c>
      <c r="T305" s="15" t="str">
        <f t="shared" si="25"/>
        <v>High Sales</v>
      </c>
      <c r="U305" s="15" t="str">
        <f t="shared" si="26"/>
        <v>Good</v>
      </c>
      <c r="V305" s="15" t="str">
        <f t="shared" si="27"/>
        <v>Normal Discount</v>
      </c>
      <c r="W305" s="15">
        <f>VLOOKUP(D305,Lookup_Table!$A:$C,2,FALSE)</f>
        <v>0.16</v>
      </c>
      <c r="X305" s="15">
        <f t="shared" si="28"/>
        <v>0.251410183203744</v>
      </c>
      <c r="Y305" s="15" t="str">
        <f>VLOOKUP(D305,Lookup_Table!A:C,3,0)</f>
        <v>Vikram</v>
      </c>
      <c r="Z305" s="15" t="str">
        <f t="shared" si="29"/>
        <v>Achived</v>
      </c>
    </row>
    <row r="306" spans="1:26">
      <c r="A306" s="13" t="s">
        <v>397</v>
      </c>
      <c r="B306" s="14">
        <v>45707</v>
      </c>
      <c r="C306" s="13" t="s">
        <v>27</v>
      </c>
      <c r="D306" s="13" t="s">
        <v>80</v>
      </c>
      <c r="E306" s="13" t="s">
        <v>115</v>
      </c>
      <c r="F306" s="13" t="s">
        <v>98</v>
      </c>
      <c r="G306" s="13" t="s">
        <v>99</v>
      </c>
      <c r="H306" s="13" t="s">
        <v>77</v>
      </c>
      <c r="I306" s="13" t="s">
        <v>46</v>
      </c>
      <c r="J306" s="13">
        <v>5</v>
      </c>
      <c r="K306" s="13">
        <v>77.11</v>
      </c>
      <c r="L306" s="13">
        <v>0.15</v>
      </c>
      <c r="M306" s="13">
        <v>327.72</v>
      </c>
      <c r="N306" s="13">
        <v>245.32</v>
      </c>
      <c r="O306" s="13">
        <v>82.4</v>
      </c>
      <c r="P306" s="13">
        <v>4.1</v>
      </c>
      <c r="Q306" s="13" t="s">
        <v>105</v>
      </c>
      <c r="R306" s="13">
        <v>2025</v>
      </c>
      <c r="S306" s="15" t="str">
        <f t="shared" si="24"/>
        <v>Low Profit</v>
      </c>
      <c r="T306" s="15" t="str">
        <f t="shared" si="25"/>
        <v>Low Sales</v>
      </c>
      <c r="U306" s="15" t="str">
        <f t="shared" si="26"/>
        <v>Good</v>
      </c>
      <c r="V306" s="15" t="str">
        <f t="shared" si="27"/>
        <v>High Discount</v>
      </c>
      <c r="W306" s="15">
        <f>VLOOKUP(D306,Lookup_Table!$A:$C,2,FALSE)</f>
        <v>0.12</v>
      </c>
      <c r="X306" s="15">
        <f t="shared" si="28"/>
        <v>0.251434151104601</v>
      </c>
      <c r="Y306" s="15" t="str">
        <f>VLOOKUP(D306,Lookup_Table!A:C,3,0)</f>
        <v>Rahul</v>
      </c>
      <c r="Z306" s="15" t="str">
        <f t="shared" si="29"/>
        <v>Achived</v>
      </c>
    </row>
    <row r="307" spans="1:26">
      <c r="A307" s="13" t="s">
        <v>398</v>
      </c>
      <c r="B307" s="14">
        <v>46021</v>
      </c>
      <c r="C307" s="13" t="s">
        <v>36</v>
      </c>
      <c r="D307" s="13" t="s">
        <v>44</v>
      </c>
      <c r="E307" s="13" t="s">
        <v>137</v>
      </c>
      <c r="F307" s="13" t="s">
        <v>111</v>
      </c>
      <c r="G307" s="13" t="s">
        <v>76</v>
      </c>
      <c r="H307" s="13" t="s">
        <v>77</v>
      </c>
      <c r="I307" s="13" t="s">
        <v>96</v>
      </c>
      <c r="J307" s="13">
        <v>7</v>
      </c>
      <c r="K307" s="13">
        <v>282.43</v>
      </c>
      <c r="L307" s="13">
        <v>0.15</v>
      </c>
      <c r="M307" s="13">
        <v>1680.46</v>
      </c>
      <c r="N307" s="13">
        <v>1257.22</v>
      </c>
      <c r="O307" s="13">
        <v>423.24</v>
      </c>
      <c r="P307" s="13">
        <v>3.6</v>
      </c>
      <c r="Q307" s="13" t="s">
        <v>34</v>
      </c>
      <c r="R307" s="13">
        <v>2025</v>
      </c>
      <c r="S307" s="15" t="str">
        <f t="shared" si="24"/>
        <v>Low Profit</v>
      </c>
      <c r="T307" s="15" t="str">
        <f t="shared" si="25"/>
        <v>High Sales</v>
      </c>
      <c r="U307" s="15" t="str">
        <f t="shared" si="26"/>
        <v>Needs Improvement</v>
      </c>
      <c r="V307" s="15" t="str">
        <f t="shared" si="27"/>
        <v>High Discount</v>
      </c>
      <c r="W307" s="15">
        <f>VLOOKUP(D307,Lookup_Table!$A:$C,2,FALSE)</f>
        <v>0.18</v>
      </c>
      <c r="X307" s="15">
        <f t="shared" si="28"/>
        <v>0.251859609868726</v>
      </c>
      <c r="Y307" s="15" t="str">
        <f>VLOOKUP(D307,Lookup_Table!A:C,3,0)</f>
        <v>Amit</v>
      </c>
      <c r="Z307" s="15" t="str">
        <f t="shared" si="29"/>
        <v>Achived</v>
      </c>
    </row>
    <row r="308" spans="1:26">
      <c r="A308" s="13" t="s">
        <v>399</v>
      </c>
      <c r="B308" s="14">
        <v>45732</v>
      </c>
      <c r="C308" s="13" t="s">
        <v>27</v>
      </c>
      <c r="D308" s="13" t="s">
        <v>44</v>
      </c>
      <c r="E308" s="13" t="s">
        <v>45</v>
      </c>
      <c r="F308" s="13" t="s">
        <v>82</v>
      </c>
      <c r="G308" s="13" t="s">
        <v>83</v>
      </c>
      <c r="H308" s="13" t="s">
        <v>77</v>
      </c>
      <c r="I308" s="13" t="s">
        <v>96</v>
      </c>
      <c r="J308" s="13">
        <v>5</v>
      </c>
      <c r="K308" s="13">
        <v>1099.1</v>
      </c>
      <c r="L308" s="13">
        <v>0.15</v>
      </c>
      <c r="M308" s="13">
        <v>4671.18</v>
      </c>
      <c r="N308" s="13">
        <v>3493.23</v>
      </c>
      <c r="O308" s="13">
        <v>1177.95</v>
      </c>
      <c r="P308" s="13">
        <v>2.9</v>
      </c>
      <c r="Q308" s="13" t="s">
        <v>94</v>
      </c>
      <c r="R308" s="13">
        <v>2025</v>
      </c>
      <c r="S308" s="15" t="str">
        <f t="shared" si="24"/>
        <v>High Profit</v>
      </c>
      <c r="T308" s="15" t="str">
        <f t="shared" si="25"/>
        <v>High Sales</v>
      </c>
      <c r="U308" s="15" t="str">
        <f t="shared" si="26"/>
        <v>Needs Improvement</v>
      </c>
      <c r="V308" s="15" t="str">
        <f t="shared" si="27"/>
        <v>High Discount</v>
      </c>
      <c r="W308" s="15">
        <f>VLOOKUP(D308,Lookup_Table!$A:$C,2,FALSE)</f>
        <v>0.18</v>
      </c>
      <c r="X308" s="15">
        <f t="shared" si="28"/>
        <v>0.252173968890088</v>
      </c>
      <c r="Y308" s="15" t="str">
        <f>VLOOKUP(D308,Lookup_Table!A:C,3,0)</f>
        <v>Amit</v>
      </c>
      <c r="Z308" s="15" t="str">
        <f t="shared" si="29"/>
        <v>Achived</v>
      </c>
    </row>
    <row r="309" spans="1:26">
      <c r="A309" s="13" t="s">
        <v>400</v>
      </c>
      <c r="B309" s="14">
        <v>45733</v>
      </c>
      <c r="C309" s="13" t="s">
        <v>55</v>
      </c>
      <c r="D309" s="13" t="s">
        <v>60</v>
      </c>
      <c r="E309" s="13" t="s">
        <v>66</v>
      </c>
      <c r="F309" s="13" t="s">
        <v>111</v>
      </c>
      <c r="G309" s="13" t="s">
        <v>76</v>
      </c>
      <c r="H309" s="13" t="s">
        <v>77</v>
      </c>
      <c r="I309" s="13" t="s">
        <v>52</v>
      </c>
      <c r="J309" s="13">
        <v>6</v>
      </c>
      <c r="K309" s="13">
        <v>58.42</v>
      </c>
      <c r="L309" s="13">
        <v>0.1</v>
      </c>
      <c r="M309" s="13">
        <v>315.47</v>
      </c>
      <c r="N309" s="13">
        <v>235.49</v>
      </c>
      <c r="O309" s="13">
        <v>79.98</v>
      </c>
      <c r="P309" s="13">
        <v>4.4</v>
      </c>
      <c r="Q309" s="13" t="s">
        <v>94</v>
      </c>
      <c r="R309" s="13">
        <v>2025</v>
      </c>
      <c r="S309" s="15" t="str">
        <f t="shared" si="24"/>
        <v>Low Profit</v>
      </c>
      <c r="T309" s="15" t="str">
        <f t="shared" si="25"/>
        <v>Low Sales</v>
      </c>
      <c r="U309" s="15" t="str">
        <f t="shared" si="26"/>
        <v>Good</v>
      </c>
      <c r="V309" s="15" t="str">
        <f t="shared" si="27"/>
        <v>Normal Discount</v>
      </c>
      <c r="W309" s="15">
        <f>VLOOKUP(D309,Lookup_Table!$A:$C,2,FALSE)</f>
        <v>0.15</v>
      </c>
      <c r="X309" s="15">
        <f t="shared" si="28"/>
        <v>0.253526484293277</v>
      </c>
      <c r="Y309" s="15" t="str">
        <f>VLOOKUP(D309,Lookup_Table!A:C,3,0)</f>
        <v>Priya</v>
      </c>
      <c r="Z309" s="15" t="str">
        <f t="shared" si="29"/>
        <v>Achived</v>
      </c>
    </row>
    <row r="310" spans="1:26">
      <c r="A310" s="13" t="s">
        <v>401</v>
      </c>
      <c r="B310" s="14">
        <v>45905</v>
      </c>
      <c r="C310" s="13" t="s">
        <v>27</v>
      </c>
      <c r="D310" s="13" t="s">
        <v>80</v>
      </c>
      <c r="E310" s="13" t="s">
        <v>115</v>
      </c>
      <c r="F310" s="13" t="s">
        <v>39</v>
      </c>
      <c r="G310" s="13" t="s">
        <v>40</v>
      </c>
      <c r="H310" s="13" t="s">
        <v>41</v>
      </c>
      <c r="I310" s="13" t="s">
        <v>33</v>
      </c>
      <c r="J310" s="13">
        <v>3</v>
      </c>
      <c r="K310" s="13">
        <v>28.09</v>
      </c>
      <c r="L310" s="13">
        <v>0.1</v>
      </c>
      <c r="M310" s="13">
        <v>75.84</v>
      </c>
      <c r="N310" s="13">
        <v>56.6</v>
      </c>
      <c r="O310" s="13">
        <v>19.24</v>
      </c>
      <c r="P310" s="13">
        <v>3.7</v>
      </c>
      <c r="Q310" s="13" t="s">
        <v>53</v>
      </c>
      <c r="R310" s="13">
        <v>2025</v>
      </c>
      <c r="S310" s="15" t="str">
        <f t="shared" si="24"/>
        <v>Low Profit</v>
      </c>
      <c r="T310" s="15" t="str">
        <f t="shared" si="25"/>
        <v>Low Sales</v>
      </c>
      <c r="U310" s="15" t="str">
        <f t="shared" si="26"/>
        <v>Needs Improvement</v>
      </c>
      <c r="V310" s="15" t="str">
        <f t="shared" si="27"/>
        <v>Normal Discount</v>
      </c>
      <c r="W310" s="15">
        <f>VLOOKUP(D310,Lookup_Table!$A:$C,2,FALSE)</f>
        <v>0.12</v>
      </c>
      <c r="X310" s="15">
        <f t="shared" si="28"/>
        <v>0.253691983122363</v>
      </c>
      <c r="Y310" s="15" t="str">
        <f>VLOOKUP(D310,Lookup_Table!A:C,3,0)</f>
        <v>Rahul</v>
      </c>
      <c r="Z310" s="15" t="str">
        <f t="shared" si="29"/>
        <v>Achived</v>
      </c>
    </row>
    <row r="311" spans="1:26">
      <c r="A311" s="13" t="s">
        <v>402</v>
      </c>
      <c r="B311" s="14">
        <v>45832</v>
      </c>
      <c r="C311" s="13" t="s">
        <v>55</v>
      </c>
      <c r="D311" s="13" t="s">
        <v>28</v>
      </c>
      <c r="E311" s="13" t="s">
        <v>29</v>
      </c>
      <c r="F311" s="13" t="s">
        <v>116</v>
      </c>
      <c r="G311" s="13" t="s">
        <v>117</v>
      </c>
      <c r="H311" s="13" t="s">
        <v>32</v>
      </c>
      <c r="I311" s="13" t="s">
        <v>46</v>
      </c>
      <c r="J311" s="13">
        <v>2</v>
      </c>
      <c r="K311" s="13">
        <v>85.9</v>
      </c>
      <c r="L311" s="13">
        <v>0.15</v>
      </c>
      <c r="M311" s="13">
        <v>146.03</v>
      </c>
      <c r="N311" s="13">
        <v>108.97</v>
      </c>
      <c r="O311" s="13">
        <v>37.06</v>
      </c>
      <c r="P311" s="13">
        <v>4.9</v>
      </c>
      <c r="Q311" s="13" t="s">
        <v>58</v>
      </c>
      <c r="R311" s="13">
        <v>2025</v>
      </c>
      <c r="S311" s="15" t="str">
        <f t="shared" si="24"/>
        <v>Low Profit</v>
      </c>
      <c r="T311" s="15" t="str">
        <f t="shared" si="25"/>
        <v>Low Sales</v>
      </c>
      <c r="U311" s="15" t="str">
        <f t="shared" si="26"/>
        <v>Good</v>
      </c>
      <c r="V311" s="15" t="str">
        <f t="shared" si="27"/>
        <v>High Discount</v>
      </c>
      <c r="W311" s="15">
        <f>VLOOKUP(D311,Lookup_Table!$A:$C,2,FALSE)</f>
        <v>0.2</v>
      </c>
      <c r="X311" s="15">
        <f t="shared" si="28"/>
        <v>0.253783469150175</v>
      </c>
      <c r="Y311" s="15" t="str">
        <f>VLOOKUP(D311,Lookup_Table!A:C,3,0)</f>
        <v>Sneha</v>
      </c>
      <c r="Z311" s="15" t="str">
        <f t="shared" si="29"/>
        <v>Achived</v>
      </c>
    </row>
    <row r="312" spans="1:26">
      <c r="A312" s="13" t="s">
        <v>403</v>
      </c>
      <c r="B312" s="14">
        <v>45911</v>
      </c>
      <c r="C312" s="13" t="s">
        <v>55</v>
      </c>
      <c r="D312" s="13" t="s">
        <v>80</v>
      </c>
      <c r="E312" s="13" t="s">
        <v>81</v>
      </c>
      <c r="F312" s="13" t="s">
        <v>30</v>
      </c>
      <c r="G312" s="13" t="s">
        <v>31</v>
      </c>
      <c r="H312" s="13" t="s">
        <v>32</v>
      </c>
      <c r="I312" s="13" t="s">
        <v>33</v>
      </c>
      <c r="J312" s="13">
        <v>7</v>
      </c>
      <c r="K312" s="13">
        <v>38.96</v>
      </c>
      <c r="L312" s="13">
        <v>0</v>
      </c>
      <c r="M312" s="13">
        <v>272.72</v>
      </c>
      <c r="N312" s="13">
        <v>203.49</v>
      </c>
      <c r="O312" s="13">
        <v>69.23</v>
      </c>
      <c r="P312" s="13">
        <v>2.7</v>
      </c>
      <c r="Q312" s="13" t="s">
        <v>53</v>
      </c>
      <c r="R312" s="13">
        <v>2025</v>
      </c>
      <c r="S312" s="15" t="str">
        <f t="shared" si="24"/>
        <v>Low Profit</v>
      </c>
      <c r="T312" s="15" t="str">
        <f t="shared" si="25"/>
        <v>Low Sales</v>
      </c>
      <c r="U312" s="15" t="str">
        <f t="shared" si="26"/>
        <v>Needs Improvement</v>
      </c>
      <c r="V312" s="15" t="str">
        <f t="shared" si="27"/>
        <v>Normal Discount</v>
      </c>
      <c r="W312" s="15">
        <f>VLOOKUP(D312,Lookup_Table!$A:$C,2,FALSE)</f>
        <v>0.12</v>
      </c>
      <c r="X312" s="15">
        <f t="shared" si="28"/>
        <v>0.253850102669404</v>
      </c>
      <c r="Y312" s="15" t="str">
        <f>VLOOKUP(D312,Lookup_Table!A:C,3,0)</f>
        <v>Rahul</v>
      </c>
      <c r="Z312" s="15" t="str">
        <f t="shared" si="29"/>
        <v>Achived</v>
      </c>
    </row>
    <row r="313" spans="1:26">
      <c r="A313" s="13" t="s">
        <v>404</v>
      </c>
      <c r="B313" s="14">
        <v>46015</v>
      </c>
      <c r="C313" s="13" t="s">
        <v>36</v>
      </c>
      <c r="D313" s="13" t="s">
        <v>44</v>
      </c>
      <c r="E313" s="13" t="s">
        <v>104</v>
      </c>
      <c r="F313" s="13" t="s">
        <v>50</v>
      </c>
      <c r="G313" s="13" t="s">
        <v>51</v>
      </c>
      <c r="H313" s="13" t="s">
        <v>32</v>
      </c>
      <c r="I313" s="13" t="s">
        <v>33</v>
      </c>
      <c r="J313" s="13">
        <v>1</v>
      </c>
      <c r="K313" s="13">
        <v>1075.56</v>
      </c>
      <c r="L313" s="13">
        <v>0.05</v>
      </c>
      <c r="M313" s="13">
        <v>1021.78</v>
      </c>
      <c r="N313" s="13">
        <v>761.92</v>
      </c>
      <c r="O313" s="13">
        <v>259.86</v>
      </c>
      <c r="P313" s="13">
        <v>4.3</v>
      </c>
      <c r="Q313" s="13" t="s">
        <v>34</v>
      </c>
      <c r="R313" s="13">
        <v>2025</v>
      </c>
      <c r="S313" s="15" t="str">
        <f t="shared" si="24"/>
        <v>Low Profit</v>
      </c>
      <c r="T313" s="15" t="str">
        <f t="shared" si="25"/>
        <v>High Sales</v>
      </c>
      <c r="U313" s="15" t="str">
        <f t="shared" si="26"/>
        <v>Good</v>
      </c>
      <c r="V313" s="15" t="str">
        <f t="shared" si="27"/>
        <v>Normal Discount</v>
      </c>
      <c r="W313" s="15">
        <f>VLOOKUP(D313,Lookup_Table!$A:$C,2,FALSE)</f>
        <v>0.18</v>
      </c>
      <c r="X313" s="15">
        <f t="shared" si="28"/>
        <v>0.254320890994148</v>
      </c>
      <c r="Y313" s="15" t="str">
        <f>VLOOKUP(D313,Lookup_Table!A:C,3,0)</f>
        <v>Amit</v>
      </c>
      <c r="Z313" s="15" t="str">
        <f t="shared" si="29"/>
        <v>Achived</v>
      </c>
    </row>
    <row r="314" spans="1:26">
      <c r="A314" s="13" t="s">
        <v>405</v>
      </c>
      <c r="B314" s="14">
        <v>45773</v>
      </c>
      <c r="C314" s="13" t="s">
        <v>36</v>
      </c>
      <c r="D314" s="13" t="s">
        <v>80</v>
      </c>
      <c r="E314" s="13" t="s">
        <v>115</v>
      </c>
      <c r="F314" s="13" t="s">
        <v>75</v>
      </c>
      <c r="G314" s="13" t="s">
        <v>76</v>
      </c>
      <c r="H314" s="13" t="s">
        <v>77</v>
      </c>
      <c r="I314" s="13" t="s">
        <v>52</v>
      </c>
      <c r="J314" s="13">
        <v>3</v>
      </c>
      <c r="K314" s="13">
        <v>56.29</v>
      </c>
      <c r="L314" s="13">
        <v>0</v>
      </c>
      <c r="M314" s="13">
        <v>168.87</v>
      </c>
      <c r="N314" s="13">
        <v>125.85</v>
      </c>
      <c r="O314" s="13">
        <v>43.02</v>
      </c>
      <c r="P314" s="13">
        <v>2.8</v>
      </c>
      <c r="Q314" s="13" t="s">
        <v>84</v>
      </c>
      <c r="R314" s="13">
        <v>2025</v>
      </c>
      <c r="S314" s="15" t="str">
        <f t="shared" si="24"/>
        <v>Low Profit</v>
      </c>
      <c r="T314" s="15" t="str">
        <f t="shared" si="25"/>
        <v>Low Sales</v>
      </c>
      <c r="U314" s="15" t="str">
        <f t="shared" si="26"/>
        <v>Needs Improvement</v>
      </c>
      <c r="V314" s="15" t="str">
        <f t="shared" si="27"/>
        <v>Normal Discount</v>
      </c>
      <c r="W314" s="15">
        <f>VLOOKUP(D314,Lookup_Table!$A:$C,2,FALSE)</f>
        <v>0.12</v>
      </c>
      <c r="X314" s="15">
        <f t="shared" si="28"/>
        <v>0.254752176230236</v>
      </c>
      <c r="Y314" s="15" t="str">
        <f>VLOOKUP(D314,Lookup_Table!A:C,3,0)</f>
        <v>Rahul</v>
      </c>
      <c r="Z314" s="15" t="str">
        <f t="shared" si="29"/>
        <v>Achived</v>
      </c>
    </row>
    <row r="315" spans="1:26">
      <c r="A315" s="13" t="s">
        <v>406</v>
      </c>
      <c r="B315" s="14">
        <v>45794</v>
      </c>
      <c r="C315" s="13" t="s">
        <v>55</v>
      </c>
      <c r="D315" s="13" t="s">
        <v>37</v>
      </c>
      <c r="E315" s="13" t="s">
        <v>38</v>
      </c>
      <c r="F315" s="13" t="s">
        <v>75</v>
      </c>
      <c r="G315" s="13" t="s">
        <v>76</v>
      </c>
      <c r="H315" s="13" t="s">
        <v>77</v>
      </c>
      <c r="I315" s="13" t="s">
        <v>96</v>
      </c>
      <c r="J315" s="13">
        <v>6</v>
      </c>
      <c r="K315" s="13">
        <v>483.77</v>
      </c>
      <c r="L315" s="13">
        <v>0</v>
      </c>
      <c r="M315" s="13">
        <v>2902.62</v>
      </c>
      <c r="N315" s="13">
        <v>2163.14</v>
      </c>
      <c r="O315" s="13">
        <v>739.48</v>
      </c>
      <c r="P315" s="13">
        <v>3.8</v>
      </c>
      <c r="Q315" s="13" t="s">
        <v>42</v>
      </c>
      <c r="R315" s="13">
        <v>2025</v>
      </c>
      <c r="S315" s="15" t="str">
        <f t="shared" si="24"/>
        <v>High Profit</v>
      </c>
      <c r="T315" s="15" t="str">
        <f t="shared" si="25"/>
        <v>High Sales</v>
      </c>
      <c r="U315" s="15" t="str">
        <f t="shared" si="26"/>
        <v>Needs Improvement</v>
      </c>
      <c r="V315" s="15" t="str">
        <f t="shared" si="27"/>
        <v>Normal Discount</v>
      </c>
      <c r="W315" s="15">
        <f>VLOOKUP(D315,Lookup_Table!$A:$C,2,FALSE)</f>
        <v>0.16</v>
      </c>
      <c r="X315" s="15">
        <f t="shared" si="28"/>
        <v>0.254762938310905</v>
      </c>
      <c r="Y315" s="15" t="str">
        <f>VLOOKUP(D315,Lookup_Table!A:C,3,0)</f>
        <v>Vikram</v>
      </c>
      <c r="Z315" s="15" t="str">
        <f t="shared" si="29"/>
        <v>Achived</v>
      </c>
    </row>
    <row r="316" spans="1:26">
      <c r="A316" s="13" t="s">
        <v>407</v>
      </c>
      <c r="B316" s="14">
        <v>45672</v>
      </c>
      <c r="C316" s="13" t="s">
        <v>27</v>
      </c>
      <c r="D316" s="13" t="s">
        <v>60</v>
      </c>
      <c r="E316" s="13" t="s">
        <v>150</v>
      </c>
      <c r="F316" s="13" t="s">
        <v>50</v>
      </c>
      <c r="G316" s="13" t="s">
        <v>51</v>
      </c>
      <c r="H316" s="13" t="s">
        <v>32</v>
      </c>
      <c r="I316" s="13" t="s">
        <v>46</v>
      </c>
      <c r="J316" s="13">
        <v>2</v>
      </c>
      <c r="K316" s="13">
        <v>676.56</v>
      </c>
      <c r="L316" s="13">
        <v>0</v>
      </c>
      <c r="M316" s="13">
        <v>1353.12</v>
      </c>
      <c r="N316" s="13">
        <v>1008.32</v>
      </c>
      <c r="O316" s="13">
        <v>344.8</v>
      </c>
      <c r="P316" s="13">
        <v>4</v>
      </c>
      <c r="Q316" s="13" t="s">
        <v>64</v>
      </c>
      <c r="R316" s="13">
        <v>2025</v>
      </c>
      <c r="S316" s="15" t="str">
        <f t="shared" si="24"/>
        <v>Low Profit</v>
      </c>
      <c r="T316" s="15" t="str">
        <f t="shared" si="25"/>
        <v>High Sales</v>
      </c>
      <c r="U316" s="15" t="str">
        <f t="shared" si="26"/>
        <v>Good</v>
      </c>
      <c r="V316" s="15" t="str">
        <f t="shared" si="27"/>
        <v>Normal Discount</v>
      </c>
      <c r="W316" s="15">
        <f>VLOOKUP(D316,Lookup_Table!$A:$C,2,FALSE)</f>
        <v>0.15</v>
      </c>
      <c r="X316" s="15">
        <f t="shared" si="28"/>
        <v>0.254818493555634</v>
      </c>
      <c r="Y316" s="15" t="str">
        <f>VLOOKUP(D316,Lookup_Table!A:C,3,0)</f>
        <v>Priya</v>
      </c>
      <c r="Z316" s="15" t="str">
        <f t="shared" si="29"/>
        <v>Achived</v>
      </c>
    </row>
    <row r="317" spans="1:26">
      <c r="A317" s="13" t="s">
        <v>408</v>
      </c>
      <c r="B317" s="14">
        <v>45798</v>
      </c>
      <c r="C317" s="13" t="s">
        <v>55</v>
      </c>
      <c r="D317" s="13" t="s">
        <v>44</v>
      </c>
      <c r="E317" s="13" t="s">
        <v>143</v>
      </c>
      <c r="F317" s="13" t="s">
        <v>67</v>
      </c>
      <c r="G317" s="13" t="s">
        <v>68</v>
      </c>
      <c r="H317" s="13" t="s">
        <v>69</v>
      </c>
      <c r="I317" s="13" t="s">
        <v>52</v>
      </c>
      <c r="J317" s="13">
        <v>3</v>
      </c>
      <c r="K317" s="13">
        <v>794.75</v>
      </c>
      <c r="L317" s="13">
        <v>0</v>
      </c>
      <c r="M317" s="13">
        <v>2384.25</v>
      </c>
      <c r="N317" s="13">
        <v>1776.17</v>
      </c>
      <c r="O317" s="13">
        <v>608.08</v>
      </c>
      <c r="P317" s="13">
        <v>4</v>
      </c>
      <c r="Q317" s="13" t="s">
        <v>42</v>
      </c>
      <c r="R317" s="13">
        <v>2025</v>
      </c>
      <c r="S317" s="15" t="str">
        <f t="shared" si="24"/>
        <v>High Profit</v>
      </c>
      <c r="T317" s="15" t="str">
        <f t="shared" si="25"/>
        <v>High Sales</v>
      </c>
      <c r="U317" s="15" t="str">
        <f t="shared" si="26"/>
        <v>Good</v>
      </c>
      <c r="V317" s="15" t="str">
        <f t="shared" si="27"/>
        <v>Normal Discount</v>
      </c>
      <c r="W317" s="15">
        <f>VLOOKUP(D317,Lookup_Table!$A:$C,2,FALSE)</f>
        <v>0.18</v>
      </c>
      <c r="X317" s="15">
        <f t="shared" si="28"/>
        <v>0.255040369088812</v>
      </c>
      <c r="Y317" s="15" t="str">
        <f>VLOOKUP(D317,Lookup_Table!A:C,3,0)</f>
        <v>Amit</v>
      </c>
      <c r="Z317" s="15" t="str">
        <f t="shared" si="29"/>
        <v>Achived</v>
      </c>
    </row>
    <row r="318" spans="1:26">
      <c r="A318" s="13" t="s">
        <v>409</v>
      </c>
      <c r="B318" s="14">
        <v>45994</v>
      </c>
      <c r="C318" s="13" t="s">
        <v>27</v>
      </c>
      <c r="D318" s="13" t="s">
        <v>37</v>
      </c>
      <c r="E318" s="13" t="s">
        <v>86</v>
      </c>
      <c r="F318" s="13" t="s">
        <v>50</v>
      </c>
      <c r="G318" s="13" t="s">
        <v>51</v>
      </c>
      <c r="H318" s="13" t="s">
        <v>32</v>
      </c>
      <c r="I318" s="13" t="s">
        <v>96</v>
      </c>
      <c r="J318" s="13">
        <v>1</v>
      </c>
      <c r="K318" s="13">
        <v>63.05</v>
      </c>
      <c r="L318" s="13">
        <v>0.1</v>
      </c>
      <c r="M318" s="13">
        <v>56.74</v>
      </c>
      <c r="N318" s="13">
        <v>42.26</v>
      </c>
      <c r="O318" s="13">
        <v>14.48</v>
      </c>
      <c r="P318" s="13">
        <v>4.7</v>
      </c>
      <c r="Q318" s="13" t="s">
        <v>34</v>
      </c>
      <c r="R318" s="13">
        <v>2025</v>
      </c>
      <c r="S318" s="15" t="str">
        <f t="shared" si="24"/>
        <v>Low Profit</v>
      </c>
      <c r="T318" s="15" t="str">
        <f t="shared" si="25"/>
        <v>Low Sales</v>
      </c>
      <c r="U318" s="15" t="str">
        <f t="shared" si="26"/>
        <v>Good</v>
      </c>
      <c r="V318" s="15" t="str">
        <f t="shared" si="27"/>
        <v>Normal Discount</v>
      </c>
      <c r="W318" s="15">
        <f>VLOOKUP(D318,Lookup_Table!$A:$C,2,FALSE)</f>
        <v>0.16</v>
      </c>
      <c r="X318" s="15">
        <f t="shared" si="28"/>
        <v>0.255199154035953</v>
      </c>
      <c r="Y318" s="15" t="str">
        <f>VLOOKUP(D318,Lookup_Table!A:C,3,0)</f>
        <v>Vikram</v>
      </c>
      <c r="Z318" s="15" t="str">
        <f t="shared" si="29"/>
        <v>Achived</v>
      </c>
    </row>
    <row r="319" spans="1:26">
      <c r="A319" s="13" t="s">
        <v>410</v>
      </c>
      <c r="B319" s="14">
        <v>45701</v>
      </c>
      <c r="C319" s="13" t="s">
        <v>55</v>
      </c>
      <c r="D319" s="13" t="s">
        <v>28</v>
      </c>
      <c r="E319" s="13" t="s">
        <v>49</v>
      </c>
      <c r="F319" s="13" t="s">
        <v>111</v>
      </c>
      <c r="G319" s="13" t="s">
        <v>76</v>
      </c>
      <c r="H319" s="13" t="s">
        <v>77</v>
      </c>
      <c r="I319" s="13" t="s">
        <v>52</v>
      </c>
      <c r="J319" s="13">
        <v>3</v>
      </c>
      <c r="K319" s="13">
        <v>113.5</v>
      </c>
      <c r="L319" s="13">
        <v>0</v>
      </c>
      <c r="M319" s="13">
        <v>340.5</v>
      </c>
      <c r="N319" s="13">
        <v>253.48</v>
      </c>
      <c r="O319" s="13">
        <v>87.02</v>
      </c>
      <c r="P319" s="13">
        <v>4.2</v>
      </c>
      <c r="Q319" s="13" t="s">
        <v>105</v>
      </c>
      <c r="R319" s="13">
        <v>2025</v>
      </c>
      <c r="S319" s="15" t="str">
        <f t="shared" si="24"/>
        <v>Low Profit</v>
      </c>
      <c r="T319" s="15" t="str">
        <f t="shared" si="25"/>
        <v>Low Sales</v>
      </c>
      <c r="U319" s="15" t="str">
        <f t="shared" si="26"/>
        <v>Good</v>
      </c>
      <c r="V319" s="15" t="str">
        <f t="shared" si="27"/>
        <v>Normal Discount</v>
      </c>
      <c r="W319" s="15">
        <f>VLOOKUP(D319,Lookup_Table!$A:$C,2,FALSE)</f>
        <v>0.2</v>
      </c>
      <c r="X319" s="15">
        <f t="shared" si="28"/>
        <v>0.255565345080764</v>
      </c>
      <c r="Y319" s="15" t="str">
        <f>VLOOKUP(D319,Lookup_Table!A:C,3,0)</f>
        <v>Sneha</v>
      </c>
      <c r="Z319" s="15" t="str">
        <f t="shared" si="29"/>
        <v>Achived</v>
      </c>
    </row>
    <row r="320" spans="1:26">
      <c r="A320" s="13" t="s">
        <v>411</v>
      </c>
      <c r="B320" s="14">
        <v>45687</v>
      </c>
      <c r="C320" s="13" t="s">
        <v>27</v>
      </c>
      <c r="D320" s="13" t="s">
        <v>37</v>
      </c>
      <c r="E320" s="13" t="s">
        <v>93</v>
      </c>
      <c r="F320" s="13" t="s">
        <v>98</v>
      </c>
      <c r="G320" s="13" t="s">
        <v>99</v>
      </c>
      <c r="H320" s="13" t="s">
        <v>77</v>
      </c>
      <c r="I320" s="13" t="s">
        <v>46</v>
      </c>
      <c r="J320" s="13">
        <v>2</v>
      </c>
      <c r="K320" s="13">
        <v>480.46</v>
      </c>
      <c r="L320" s="13">
        <v>0.15</v>
      </c>
      <c r="M320" s="13">
        <v>816.78</v>
      </c>
      <c r="N320" s="13">
        <v>607.82</v>
      </c>
      <c r="O320" s="13">
        <v>208.96</v>
      </c>
      <c r="P320" s="13">
        <v>3.4</v>
      </c>
      <c r="Q320" s="13" t="s">
        <v>64</v>
      </c>
      <c r="R320" s="13">
        <v>2025</v>
      </c>
      <c r="S320" s="15" t="str">
        <f t="shared" si="24"/>
        <v>Low Profit</v>
      </c>
      <c r="T320" s="15" t="str">
        <f t="shared" si="25"/>
        <v>Low Sales</v>
      </c>
      <c r="U320" s="15" t="str">
        <f t="shared" si="26"/>
        <v>Needs Improvement</v>
      </c>
      <c r="V320" s="15" t="str">
        <f t="shared" si="27"/>
        <v>High Discount</v>
      </c>
      <c r="W320" s="15">
        <f>VLOOKUP(D320,Lookup_Table!$A:$C,2,FALSE)</f>
        <v>0.16</v>
      </c>
      <c r="X320" s="15">
        <f t="shared" si="28"/>
        <v>0.255833884277284</v>
      </c>
      <c r="Y320" s="15" t="str">
        <f>VLOOKUP(D320,Lookup_Table!A:C,3,0)</f>
        <v>Vikram</v>
      </c>
      <c r="Z320" s="15" t="str">
        <f t="shared" si="29"/>
        <v>Achived</v>
      </c>
    </row>
    <row r="321" spans="1:26">
      <c r="A321" s="13" t="s">
        <v>412</v>
      </c>
      <c r="B321" s="14">
        <v>45885</v>
      </c>
      <c r="C321" s="13" t="s">
        <v>27</v>
      </c>
      <c r="D321" s="13" t="s">
        <v>44</v>
      </c>
      <c r="E321" s="13" t="s">
        <v>143</v>
      </c>
      <c r="F321" s="13" t="s">
        <v>50</v>
      </c>
      <c r="G321" s="13" t="s">
        <v>51</v>
      </c>
      <c r="H321" s="13" t="s">
        <v>32</v>
      </c>
      <c r="I321" s="13" t="s">
        <v>46</v>
      </c>
      <c r="J321" s="13">
        <v>4</v>
      </c>
      <c r="K321" s="13">
        <v>749.87</v>
      </c>
      <c r="L321" s="13">
        <v>0.05</v>
      </c>
      <c r="M321" s="13">
        <v>2849.51</v>
      </c>
      <c r="N321" s="13">
        <v>2119.51</v>
      </c>
      <c r="O321" s="13">
        <v>730</v>
      </c>
      <c r="P321" s="13">
        <v>2.6</v>
      </c>
      <c r="Q321" s="13" t="s">
        <v>47</v>
      </c>
      <c r="R321" s="13">
        <v>2025</v>
      </c>
      <c r="S321" s="15" t="str">
        <f t="shared" si="24"/>
        <v>High Profit</v>
      </c>
      <c r="T321" s="15" t="str">
        <f t="shared" si="25"/>
        <v>High Sales</v>
      </c>
      <c r="U321" s="15" t="str">
        <f t="shared" si="26"/>
        <v>Needs Improvement</v>
      </c>
      <c r="V321" s="15" t="str">
        <f t="shared" si="27"/>
        <v>Normal Discount</v>
      </c>
      <c r="W321" s="15">
        <f>VLOOKUP(D321,Lookup_Table!$A:$C,2,FALSE)</f>
        <v>0.18</v>
      </c>
      <c r="X321" s="15">
        <f t="shared" si="28"/>
        <v>0.256184396615558</v>
      </c>
      <c r="Y321" s="15" t="str">
        <f>VLOOKUP(D321,Lookup_Table!A:C,3,0)</f>
        <v>Amit</v>
      </c>
      <c r="Z321" s="15" t="str">
        <f t="shared" si="29"/>
        <v>Achived</v>
      </c>
    </row>
    <row r="322" spans="1:26">
      <c r="A322" s="13" t="s">
        <v>413</v>
      </c>
      <c r="B322" s="14">
        <v>45837</v>
      </c>
      <c r="C322" s="13" t="s">
        <v>55</v>
      </c>
      <c r="D322" s="13" t="s">
        <v>60</v>
      </c>
      <c r="E322" s="13" t="s">
        <v>150</v>
      </c>
      <c r="F322" s="13" t="s">
        <v>82</v>
      </c>
      <c r="G322" s="13" t="s">
        <v>83</v>
      </c>
      <c r="H322" s="13" t="s">
        <v>77</v>
      </c>
      <c r="I322" s="13" t="s">
        <v>96</v>
      </c>
      <c r="J322" s="13">
        <v>1</v>
      </c>
      <c r="K322" s="13">
        <v>730.8</v>
      </c>
      <c r="L322" s="13">
        <v>0</v>
      </c>
      <c r="M322" s="13">
        <v>730.8</v>
      </c>
      <c r="N322" s="13">
        <v>543.3</v>
      </c>
      <c r="O322" s="13">
        <v>187.5</v>
      </c>
      <c r="P322" s="13">
        <v>3.5</v>
      </c>
      <c r="Q322" s="13" t="s">
        <v>58</v>
      </c>
      <c r="R322" s="13">
        <v>2025</v>
      </c>
      <c r="S322" s="15" t="str">
        <f t="shared" ref="S322:S385" si="30">IF(O322&gt;500,"High Profit","Low Profit")</f>
        <v>Low Profit</v>
      </c>
      <c r="T322" s="15" t="str">
        <f t="shared" ref="T322:T385" si="31">IF(M322&gt;1000,"High Sales","Low Sales")</f>
        <v>Low Sales</v>
      </c>
      <c r="U322" s="15" t="str">
        <f t="shared" ref="U322:U385" si="32">IF(P322&gt;=4,"Good","Needs Improvement")</f>
        <v>Needs Improvement</v>
      </c>
      <c r="V322" s="15" t="str">
        <f t="shared" ref="V322:V385" si="33">IF(L322&gt;=15%,"High Discount","Normal Discount")</f>
        <v>Normal Discount</v>
      </c>
      <c r="W322" s="15">
        <f>VLOOKUP(D322,Lookup_Table!$A:$C,2,FALSE)</f>
        <v>0.15</v>
      </c>
      <c r="X322" s="15">
        <f t="shared" ref="X322:X385" si="34">O322/M322</f>
        <v>0.256568144499179</v>
      </c>
      <c r="Y322" s="15" t="str">
        <f>VLOOKUP(D322,Lookup_Table!A:C,3,0)</f>
        <v>Priya</v>
      </c>
      <c r="Z322" s="15" t="str">
        <f t="shared" ref="Z322:Z385" si="35">IF(X322&gt;=W322,"Achived","Not Achieved")</f>
        <v>Achived</v>
      </c>
    </row>
    <row r="323" spans="1:26">
      <c r="A323" s="13" t="s">
        <v>414</v>
      </c>
      <c r="B323" s="14">
        <v>45759</v>
      </c>
      <c r="C323" s="13" t="s">
        <v>36</v>
      </c>
      <c r="D323" s="13" t="s">
        <v>28</v>
      </c>
      <c r="E323" s="13" t="s">
        <v>49</v>
      </c>
      <c r="F323" s="13" t="s">
        <v>111</v>
      </c>
      <c r="G323" s="13" t="s">
        <v>76</v>
      </c>
      <c r="H323" s="13" t="s">
        <v>77</v>
      </c>
      <c r="I323" s="13" t="s">
        <v>96</v>
      </c>
      <c r="J323" s="13">
        <v>7</v>
      </c>
      <c r="K323" s="13">
        <v>35.81</v>
      </c>
      <c r="L323" s="13">
        <v>0.05</v>
      </c>
      <c r="M323" s="13">
        <v>238.14</v>
      </c>
      <c r="N323" s="13">
        <v>177.04</v>
      </c>
      <c r="O323" s="13">
        <v>61.1</v>
      </c>
      <c r="P323" s="13">
        <v>3.3</v>
      </c>
      <c r="Q323" s="13" t="s">
        <v>84</v>
      </c>
      <c r="R323" s="13">
        <v>2025</v>
      </c>
      <c r="S323" s="15" t="str">
        <f t="shared" si="30"/>
        <v>Low Profit</v>
      </c>
      <c r="T323" s="15" t="str">
        <f t="shared" si="31"/>
        <v>Low Sales</v>
      </c>
      <c r="U323" s="15" t="str">
        <f t="shared" si="32"/>
        <v>Needs Improvement</v>
      </c>
      <c r="V323" s="15" t="str">
        <f t="shared" si="33"/>
        <v>Normal Discount</v>
      </c>
      <c r="W323" s="15">
        <f>VLOOKUP(D323,Lookup_Table!$A:$C,2,FALSE)</f>
        <v>0.2</v>
      </c>
      <c r="X323" s="15">
        <f t="shared" si="34"/>
        <v>0.256571764508272</v>
      </c>
      <c r="Y323" s="15" t="str">
        <f>VLOOKUP(D323,Lookup_Table!A:C,3,0)</f>
        <v>Sneha</v>
      </c>
      <c r="Z323" s="15" t="str">
        <f t="shared" si="35"/>
        <v>Achived</v>
      </c>
    </row>
    <row r="324" spans="1:26">
      <c r="A324" s="13" t="s">
        <v>415</v>
      </c>
      <c r="B324" s="14">
        <v>45913</v>
      </c>
      <c r="C324" s="13" t="s">
        <v>36</v>
      </c>
      <c r="D324" s="13" t="s">
        <v>80</v>
      </c>
      <c r="E324" s="13" t="s">
        <v>81</v>
      </c>
      <c r="F324" s="13" t="s">
        <v>67</v>
      </c>
      <c r="G324" s="13" t="s">
        <v>68</v>
      </c>
      <c r="H324" s="13" t="s">
        <v>69</v>
      </c>
      <c r="I324" s="13" t="s">
        <v>46</v>
      </c>
      <c r="J324" s="13">
        <v>1</v>
      </c>
      <c r="K324" s="13">
        <v>66.54</v>
      </c>
      <c r="L324" s="13">
        <v>0.05</v>
      </c>
      <c r="M324" s="13">
        <v>63.21</v>
      </c>
      <c r="N324" s="13">
        <v>46.97</v>
      </c>
      <c r="O324" s="13">
        <v>16.24</v>
      </c>
      <c r="P324" s="13">
        <v>4.5</v>
      </c>
      <c r="Q324" s="13" t="s">
        <v>53</v>
      </c>
      <c r="R324" s="13">
        <v>2025</v>
      </c>
      <c r="S324" s="15" t="str">
        <f t="shared" si="30"/>
        <v>Low Profit</v>
      </c>
      <c r="T324" s="15" t="str">
        <f t="shared" si="31"/>
        <v>Low Sales</v>
      </c>
      <c r="U324" s="15" t="str">
        <f t="shared" si="32"/>
        <v>Good</v>
      </c>
      <c r="V324" s="15" t="str">
        <f t="shared" si="33"/>
        <v>Normal Discount</v>
      </c>
      <c r="W324" s="15">
        <f>VLOOKUP(D324,Lookup_Table!$A:$C,2,FALSE)</f>
        <v>0.12</v>
      </c>
      <c r="X324" s="15">
        <f t="shared" si="34"/>
        <v>0.256921373200443</v>
      </c>
      <c r="Y324" s="15" t="str">
        <f>VLOOKUP(D324,Lookup_Table!A:C,3,0)</f>
        <v>Rahul</v>
      </c>
      <c r="Z324" s="15" t="str">
        <f t="shared" si="35"/>
        <v>Achived</v>
      </c>
    </row>
    <row r="325" spans="1:26">
      <c r="A325" s="13" t="s">
        <v>416</v>
      </c>
      <c r="B325" s="14">
        <v>45753</v>
      </c>
      <c r="C325" s="13" t="s">
        <v>27</v>
      </c>
      <c r="D325" s="13" t="s">
        <v>60</v>
      </c>
      <c r="E325" s="13" t="s">
        <v>66</v>
      </c>
      <c r="F325" s="13" t="s">
        <v>30</v>
      </c>
      <c r="G325" s="13" t="s">
        <v>31</v>
      </c>
      <c r="H325" s="13" t="s">
        <v>32</v>
      </c>
      <c r="I325" s="13" t="s">
        <v>52</v>
      </c>
      <c r="J325" s="13">
        <v>4</v>
      </c>
      <c r="K325" s="13">
        <v>140.63</v>
      </c>
      <c r="L325" s="13">
        <v>0.05</v>
      </c>
      <c r="M325" s="13">
        <v>534.39</v>
      </c>
      <c r="N325" s="13">
        <v>396.97</v>
      </c>
      <c r="O325" s="13">
        <v>137.42</v>
      </c>
      <c r="P325" s="13">
        <v>4.3</v>
      </c>
      <c r="Q325" s="13" t="s">
        <v>84</v>
      </c>
      <c r="R325" s="13">
        <v>2025</v>
      </c>
      <c r="S325" s="15" t="str">
        <f t="shared" si="30"/>
        <v>Low Profit</v>
      </c>
      <c r="T325" s="15" t="str">
        <f t="shared" si="31"/>
        <v>Low Sales</v>
      </c>
      <c r="U325" s="15" t="str">
        <f t="shared" si="32"/>
        <v>Good</v>
      </c>
      <c r="V325" s="15" t="str">
        <f t="shared" si="33"/>
        <v>Normal Discount</v>
      </c>
      <c r="W325" s="15">
        <f>VLOOKUP(D325,Lookup_Table!$A:$C,2,FALSE)</f>
        <v>0.15</v>
      </c>
      <c r="X325" s="15">
        <f t="shared" si="34"/>
        <v>0.257153015587867</v>
      </c>
      <c r="Y325" s="15" t="str">
        <f>VLOOKUP(D325,Lookup_Table!A:C,3,0)</f>
        <v>Priya</v>
      </c>
      <c r="Z325" s="15" t="str">
        <f t="shared" si="35"/>
        <v>Achived</v>
      </c>
    </row>
    <row r="326" spans="1:26">
      <c r="A326" s="13" t="s">
        <v>417</v>
      </c>
      <c r="B326" s="14">
        <v>45876</v>
      </c>
      <c r="C326" s="13" t="s">
        <v>27</v>
      </c>
      <c r="D326" s="13" t="s">
        <v>37</v>
      </c>
      <c r="E326" s="13" t="s">
        <v>86</v>
      </c>
      <c r="F326" s="13" t="s">
        <v>39</v>
      </c>
      <c r="G326" s="13" t="s">
        <v>40</v>
      </c>
      <c r="H326" s="13" t="s">
        <v>41</v>
      </c>
      <c r="I326" s="13" t="s">
        <v>52</v>
      </c>
      <c r="J326" s="13">
        <v>1</v>
      </c>
      <c r="K326" s="13">
        <v>225.31</v>
      </c>
      <c r="L326" s="13">
        <v>0.05</v>
      </c>
      <c r="M326" s="13">
        <v>214.04</v>
      </c>
      <c r="N326" s="13">
        <v>158.96</v>
      </c>
      <c r="O326" s="13">
        <v>55.08</v>
      </c>
      <c r="P326" s="13">
        <v>4.7</v>
      </c>
      <c r="Q326" s="13" t="s">
        <v>47</v>
      </c>
      <c r="R326" s="13">
        <v>2025</v>
      </c>
      <c r="S326" s="15" t="str">
        <f t="shared" si="30"/>
        <v>Low Profit</v>
      </c>
      <c r="T326" s="15" t="str">
        <f t="shared" si="31"/>
        <v>Low Sales</v>
      </c>
      <c r="U326" s="15" t="str">
        <f t="shared" si="32"/>
        <v>Good</v>
      </c>
      <c r="V326" s="15" t="str">
        <f t="shared" si="33"/>
        <v>Normal Discount</v>
      </c>
      <c r="W326" s="15">
        <f>VLOOKUP(D326,Lookup_Table!$A:$C,2,FALSE)</f>
        <v>0.16</v>
      </c>
      <c r="X326" s="15">
        <f t="shared" si="34"/>
        <v>0.257335077555597</v>
      </c>
      <c r="Y326" s="15" t="str">
        <f>VLOOKUP(D326,Lookup_Table!A:C,3,0)</f>
        <v>Vikram</v>
      </c>
      <c r="Z326" s="15" t="str">
        <f t="shared" si="35"/>
        <v>Achived</v>
      </c>
    </row>
    <row r="327" spans="1:26">
      <c r="A327" s="13" t="s">
        <v>418</v>
      </c>
      <c r="B327" s="14">
        <v>45773</v>
      </c>
      <c r="C327" s="13" t="s">
        <v>36</v>
      </c>
      <c r="D327" s="13" t="s">
        <v>37</v>
      </c>
      <c r="E327" s="13" t="s">
        <v>38</v>
      </c>
      <c r="F327" s="13" t="s">
        <v>39</v>
      </c>
      <c r="G327" s="13" t="s">
        <v>40</v>
      </c>
      <c r="H327" s="13" t="s">
        <v>41</v>
      </c>
      <c r="I327" s="13" t="s">
        <v>52</v>
      </c>
      <c r="J327" s="13">
        <v>1</v>
      </c>
      <c r="K327" s="13">
        <v>141.78</v>
      </c>
      <c r="L327" s="13">
        <v>0.15</v>
      </c>
      <c r="M327" s="13">
        <v>120.51</v>
      </c>
      <c r="N327" s="13">
        <v>89.49</v>
      </c>
      <c r="O327" s="13">
        <v>31.02</v>
      </c>
      <c r="P327" s="13">
        <v>3.7</v>
      </c>
      <c r="Q327" s="13" t="s">
        <v>84</v>
      </c>
      <c r="R327" s="13">
        <v>2025</v>
      </c>
      <c r="S327" s="15" t="str">
        <f t="shared" si="30"/>
        <v>Low Profit</v>
      </c>
      <c r="T327" s="15" t="str">
        <f t="shared" si="31"/>
        <v>Low Sales</v>
      </c>
      <c r="U327" s="15" t="str">
        <f t="shared" si="32"/>
        <v>Needs Improvement</v>
      </c>
      <c r="V327" s="15" t="str">
        <f t="shared" si="33"/>
        <v>High Discount</v>
      </c>
      <c r="W327" s="15">
        <f>VLOOKUP(D327,Lookup_Table!$A:$C,2,FALSE)</f>
        <v>0.16</v>
      </c>
      <c r="X327" s="15">
        <f t="shared" si="34"/>
        <v>0.257406024396316</v>
      </c>
      <c r="Y327" s="15" t="str">
        <f>VLOOKUP(D327,Lookup_Table!A:C,3,0)</f>
        <v>Vikram</v>
      </c>
      <c r="Z327" s="15" t="str">
        <f t="shared" si="35"/>
        <v>Achived</v>
      </c>
    </row>
    <row r="328" spans="1:26">
      <c r="A328" s="13" t="s">
        <v>419</v>
      </c>
      <c r="B328" s="14">
        <v>45782</v>
      </c>
      <c r="C328" s="13" t="s">
        <v>55</v>
      </c>
      <c r="D328" s="13" t="s">
        <v>60</v>
      </c>
      <c r="E328" s="13" t="s">
        <v>127</v>
      </c>
      <c r="F328" s="13" t="s">
        <v>50</v>
      </c>
      <c r="G328" s="13" t="s">
        <v>51</v>
      </c>
      <c r="H328" s="13" t="s">
        <v>32</v>
      </c>
      <c r="I328" s="13" t="s">
        <v>46</v>
      </c>
      <c r="J328" s="13">
        <v>4</v>
      </c>
      <c r="K328" s="13">
        <v>439.32</v>
      </c>
      <c r="L328" s="13">
        <v>0</v>
      </c>
      <c r="M328" s="13">
        <v>1757.28</v>
      </c>
      <c r="N328" s="13">
        <v>1304.73</v>
      </c>
      <c r="O328" s="13">
        <v>452.55</v>
      </c>
      <c r="P328" s="13">
        <v>2.7</v>
      </c>
      <c r="Q328" s="13" t="s">
        <v>42</v>
      </c>
      <c r="R328" s="13">
        <v>2025</v>
      </c>
      <c r="S328" s="15" t="str">
        <f t="shared" si="30"/>
        <v>Low Profit</v>
      </c>
      <c r="T328" s="15" t="str">
        <f t="shared" si="31"/>
        <v>High Sales</v>
      </c>
      <c r="U328" s="15" t="str">
        <f t="shared" si="32"/>
        <v>Needs Improvement</v>
      </c>
      <c r="V328" s="15" t="str">
        <f t="shared" si="33"/>
        <v>Normal Discount</v>
      </c>
      <c r="W328" s="15">
        <f>VLOOKUP(D328,Lookup_Table!$A:$C,2,FALSE)</f>
        <v>0.15</v>
      </c>
      <c r="X328" s="15">
        <f t="shared" si="34"/>
        <v>0.257528680688337</v>
      </c>
      <c r="Y328" s="15" t="str">
        <f>VLOOKUP(D328,Lookup_Table!A:C,3,0)</f>
        <v>Priya</v>
      </c>
      <c r="Z328" s="15" t="str">
        <f t="shared" si="35"/>
        <v>Achived</v>
      </c>
    </row>
    <row r="329" spans="1:26">
      <c r="A329" s="13" t="s">
        <v>420</v>
      </c>
      <c r="B329" s="14">
        <v>45741</v>
      </c>
      <c r="C329" s="13" t="s">
        <v>27</v>
      </c>
      <c r="D329" s="13" t="s">
        <v>44</v>
      </c>
      <c r="E329" s="13" t="s">
        <v>45</v>
      </c>
      <c r="F329" s="13" t="s">
        <v>116</v>
      </c>
      <c r="G329" s="13" t="s">
        <v>117</v>
      </c>
      <c r="H329" s="13" t="s">
        <v>32</v>
      </c>
      <c r="I329" s="13" t="s">
        <v>52</v>
      </c>
      <c r="J329" s="13">
        <v>6</v>
      </c>
      <c r="K329" s="13">
        <v>1095.48</v>
      </c>
      <c r="L329" s="13">
        <v>0.05</v>
      </c>
      <c r="M329" s="13">
        <v>6244.24</v>
      </c>
      <c r="N329" s="13">
        <v>4634.13</v>
      </c>
      <c r="O329" s="13">
        <v>1610.11</v>
      </c>
      <c r="P329" s="13">
        <v>4.2</v>
      </c>
      <c r="Q329" s="13" t="s">
        <v>94</v>
      </c>
      <c r="R329" s="13">
        <v>2025</v>
      </c>
      <c r="S329" s="15" t="str">
        <f t="shared" si="30"/>
        <v>High Profit</v>
      </c>
      <c r="T329" s="15" t="str">
        <f t="shared" si="31"/>
        <v>High Sales</v>
      </c>
      <c r="U329" s="15" t="str">
        <f t="shared" si="32"/>
        <v>Good</v>
      </c>
      <c r="V329" s="15" t="str">
        <f t="shared" si="33"/>
        <v>Normal Discount</v>
      </c>
      <c r="W329" s="15">
        <f>VLOOKUP(D329,Lookup_Table!$A:$C,2,FALSE)</f>
        <v>0.18</v>
      </c>
      <c r="X329" s="15">
        <f t="shared" si="34"/>
        <v>0.257855239388621</v>
      </c>
      <c r="Y329" s="15" t="str">
        <f>VLOOKUP(D329,Lookup_Table!A:C,3,0)</f>
        <v>Amit</v>
      </c>
      <c r="Z329" s="15" t="str">
        <f t="shared" si="35"/>
        <v>Achived</v>
      </c>
    </row>
    <row r="330" spans="1:26">
      <c r="A330" s="13" t="s">
        <v>421</v>
      </c>
      <c r="B330" s="14">
        <v>45769</v>
      </c>
      <c r="C330" s="13" t="s">
        <v>27</v>
      </c>
      <c r="D330" s="13" t="s">
        <v>28</v>
      </c>
      <c r="E330" s="13" t="s">
        <v>73</v>
      </c>
      <c r="F330" s="13" t="s">
        <v>62</v>
      </c>
      <c r="G330" s="13" t="s">
        <v>63</v>
      </c>
      <c r="H330" s="13" t="s">
        <v>32</v>
      </c>
      <c r="I330" s="13" t="s">
        <v>46</v>
      </c>
      <c r="J330" s="13">
        <v>2</v>
      </c>
      <c r="K330" s="13">
        <v>76.85</v>
      </c>
      <c r="L330" s="13">
        <v>0.05</v>
      </c>
      <c r="M330" s="13">
        <v>146.01</v>
      </c>
      <c r="N330" s="13">
        <v>108.31</v>
      </c>
      <c r="O330" s="13">
        <v>37.7</v>
      </c>
      <c r="P330" s="13">
        <v>4.6</v>
      </c>
      <c r="Q330" s="13" t="s">
        <v>84</v>
      </c>
      <c r="R330" s="13">
        <v>2025</v>
      </c>
      <c r="S330" s="15" t="str">
        <f t="shared" si="30"/>
        <v>Low Profit</v>
      </c>
      <c r="T330" s="15" t="str">
        <f t="shared" si="31"/>
        <v>Low Sales</v>
      </c>
      <c r="U330" s="15" t="str">
        <f t="shared" si="32"/>
        <v>Good</v>
      </c>
      <c r="V330" s="15" t="str">
        <f t="shared" si="33"/>
        <v>Normal Discount</v>
      </c>
      <c r="W330" s="15">
        <f>VLOOKUP(D330,Lookup_Table!$A:$C,2,FALSE)</f>
        <v>0.2</v>
      </c>
      <c r="X330" s="15">
        <f t="shared" si="34"/>
        <v>0.258201493048421</v>
      </c>
      <c r="Y330" s="15" t="str">
        <f>VLOOKUP(D330,Lookup_Table!A:C,3,0)</f>
        <v>Sneha</v>
      </c>
      <c r="Z330" s="15" t="str">
        <f t="shared" si="35"/>
        <v>Achived</v>
      </c>
    </row>
    <row r="331" spans="1:26">
      <c r="A331" s="13" t="s">
        <v>422</v>
      </c>
      <c r="B331" s="14">
        <v>45878</v>
      </c>
      <c r="C331" s="13" t="s">
        <v>36</v>
      </c>
      <c r="D331" s="13" t="s">
        <v>44</v>
      </c>
      <c r="E331" s="13" t="s">
        <v>104</v>
      </c>
      <c r="F331" s="13" t="s">
        <v>111</v>
      </c>
      <c r="G331" s="13" t="s">
        <v>76</v>
      </c>
      <c r="H331" s="13" t="s">
        <v>77</v>
      </c>
      <c r="I331" s="13" t="s">
        <v>96</v>
      </c>
      <c r="J331" s="13">
        <v>7</v>
      </c>
      <c r="K331" s="13">
        <v>1250.08</v>
      </c>
      <c r="L331" s="13">
        <v>0.05</v>
      </c>
      <c r="M331" s="13">
        <v>8313.03</v>
      </c>
      <c r="N331" s="13">
        <v>6166.43</v>
      </c>
      <c r="O331" s="13">
        <v>2146.6</v>
      </c>
      <c r="P331" s="13">
        <v>3.2</v>
      </c>
      <c r="Q331" s="13" t="s">
        <v>47</v>
      </c>
      <c r="R331" s="13">
        <v>2025</v>
      </c>
      <c r="S331" s="15" t="str">
        <f t="shared" si="30"/>
        <v>High Profit</v>
      </c>
      <c r="T331" s="15" t="str">
        <f t="shared" si="31"/>
        <v>High Sales</v>
      </c>
      <c r="U331" s="15" t="str">
        <f t="shared" si="32"/>
        <v>Needs Improvement</v>
      </c>
      <c r="V331" s="15" t="str">
        <f t="shared" si="33"/>
        <v>Normal Discount</v>
      </c>
      <c r="W331" s="15">
        <f>VLOOKUP(D331,Lookup_Table!$A:$C,2,FALSE)</f>
        <v>0.18</v>
      </c>
      <c r="X331" s="15">
        <f t="shared" si="34"/>
        <v>0.258221129961037</v>
      </c>
      <c r="Y331" s="15" t="str">
        <f>VLOOKUP(D331,Lookup_Table!A:C,3,0)</f>
        <v>Amit</v>
      </c>
      <c r="Z331" s="15" t="str">
        <f t="shared" si="35"/>
        <v>Achived</v>
      </c>
    </row>
    <row r="332" spans="1:26">
      <c r="A332" s="13" t="s">
        <v>423</v>
      </c>
      <c r="B332" s="14">
        <v>45715</v>
      </c>
      <c r="C332" s="13" t="s">
        <v>36</v>
      </c>
      <c r="D332" s="13" t="s">
        <v>37</v>
      </c>
      <c r="E332" s="13" t="s">
        <v>109</v>
      </c>
      <c r="F332" s="13" t="s">
        <v>82</v>
      </c>
      <c r="G332" s="13" t="s">
        <v>83</v>
      </c>
      <c r="H332" s="13" t="s">
        <v>77</v>
      </c>
      <c r="I332" s="13" t="s">
        <v>33</v>
      </c>
      <c r="J332" s="13">
        <v>7</v>
      </c>
      <c r="K332" s="13">
        <v>102.6</v>
      </c>
      <c r="L332" s="13">
        <v>0.15</v>
      </c>
      <c r="M332" s="13">
        <v>610.47</v>
      </c>
      <c r="N332" s="13">
        <v>452.63</v>
      </c>
      <c r="O332" s="13">
        <v>157.84</v>
      </c>
      <c r="P332" s="13">
        <v>2.9</v>
      </c>
      <c r="Q332" s="13" t="s">
        <v>105</v>
      </c>
      <c r="R332" s="13">
        <v>2025</v>
      </c>
      <c r="S332" s="15" t="str">
        <f t="shared" si="30"/>
        <v>Low Profit</v>
      </c>
      <c r="T332" s="15" t="str">
        <f t="shared" si="31"/>
        <v>Low Sales</v>
      </c>
      <c r="U332" s="15" t="str">
        <f t="shared" si="32"/>
        <v>Needs Improvement</v>
      </c>
      <c r="V332" s="15" t="str">
        <f t="shared" si="33"/>
        <v>High Discount</v>
      </c>
      <c r="W332" s="15">
        <f>VLOOKUP(D332,Lookup_Table!$A:$C,2,FALSE)</f>
        <v>0.16</v>
      </c>
      <c r="X332" s="15">
        <f t="shared" si="34"/>
        <v>0.258554883941881</v>
      </c>
      <c r="Y332" s="15" t="str">
        <f>VLOOKUP(D332,Lookup_Table!A:C,3,0)</f>
        <v>Vikram</v>
      </c>
      <c r="Z332" s="15" t="str">
        <f t="shared" si="35"/>
        <v>Achived</v>
      </c>
    </row>
    <row r="333" spans="1:26">
      <c r="A333" s="13" t="s">
        <v>424</v>
      </c>
      <c r="B333" s="14">
        <v>45852</v>
      </c>
      <c r="C333" s="13" t="s">
        <v>55</v>
      </c>
      <c r="D333" s="13" t="s">
        <v>28</v>
      </c>
      <c r="E333" s="13" t="s">
        <v>49</v>
      </c>
      <c r="F333" s="13" t="s">
        <v>67</v>
      </c>
      <c r="G333" s="13" t="s">
        <v>68</v>
      </c>
      <c r="H333" s="13" t="s">
        <v>69</v>
      </c>
      <c r="I333" s="13" t="s">
        <v>46</v>
      </c>
      <c r="J333" s="13">
        <v>7</v>
      </c>
      <c r="K333" s="13">
        <v>101.03</v>
      </c>
      <c r="L333" s="13">
        <v>0.1</v>
      </c>
      <c r="M333" s="13">
        <v>636.49</v>
      </c>
      <c r="N333" s="13">
        <v>471.78</v>
      </c>
      <c r="O333" s="13">
        <v>164.71</v>
      </c>
      <c r="P333" s="13">
        <v>4</v>
      </c>
      <c r="Q333" s="13" t="s">
        <v>56</v>
      </c>
      <c r="R333" s="13">
        <v>2025</v>
      </c>
      <c r="S333" s="15" t="str">
        <f t="shared" si="30"/>
        <v>Low Profit</v>
      </c>
      <c r="T333" s="15" t="str">
        <f t="shared" si="31"/>
        <v>Low Sales</v>
      </c>
      <c r="U333" s="15" t="str">
        <f t="shared" si="32"/>
        <v>Good</v>
      </c>
      <c r="V333" s="15" t="str">
        <f t="shared" si="33"/>
        <v>Normal Discount</v>
      </c>
      <c r="W333" s="15">
        <f>VLOOKUP(D333,Lookup_Table!$A:$C,2,FALSE)</f>
        <v>0.2</v>
      </c>
      <c r="X333" s="15">
        <f t="shared" si="34"/>
        <v>0.258778613960942</v>
      </c>
      <c r="Y333" s="15" t="str">
        <f>VLOOKUP(D333,Lookup_Table!A:C,3,0)</f>
        <v>Sneha</v>
      </c>
      <c r="Z333" s="15" t="str">
        <f t="shared" si="35"/>
        <v>Achived</v>
      </c>
    </row>
    <row r="334" spans="1:26">
      <c r="A334" s="13" t="s">
        <v>425</v>
      </c>
      <c r="B334" s="14">
        <v>45932</v>
      </c>
      <c r="C334" s="13" t="s">
        <v>36</v>
      </c>
      <c r="D334" s="13" t="s">
        <v>44</v>
      </c>
      <c r="E334" s="13" t="s">
        <v>104</v>
      </c>
      <c r="F334" s="13" t="s">
        <v>50</v>
      </c>
      <c r="G334" s="13" t="s">
        <v>51</v>
      </c>
      <c r="H334" s="13" t="s">
        <v>32</v>
      </c>
      <c r="I334" s="13" t="s">
        <v>46</v>
      </c>
      <c r="J334" s="13">
        <v>1</v>
      </c>
      <c r="K334" s="13">
        <v>713.07</v>
      </c>
      <c r="L334" s="13">
        <v>0.1</v>
      </c>
      <c r="M334" s="13">
        <v>641.76</v>
      </c>
      <c r="N334" s="13">
        <v>475</v>
      </c>
      <c r="O334" s="13">
        <v>166.76</v>
      </c>
      <c r="P334" s="13">
        <v>5</v>
      </c>
      <c r="Q334" s="13" t="s">
        <v>87</v>
      </c>
      <c r="R334" s="13">
        <v>2025</v>
      </c>
      <c r="S334" s="15" t="str">
        <f t="shared" si="30"/>
        <v>Low Profit</v>
      </c>
      <c r="T334" s="15" t="str">
        <f t="shared" si="31"/>
        <v>Low Sales</v>
      </c>
      <c r="U334" s="15" t="str">
        <f t="shared" si="32"/>
        <v>Good</v>
      </c>
      <c r="V334" s="15" t="str">
        <f t="shared" si="33"/>
        <v>Normal Discount</v>
      </c>
      <c r="W334" s="15">
        <f>VLOOKUP(D334,Lookup_Table!$A:$C,2,FALSE)</f>
        <v>0.18</v>
      </c>
      <c r="X334" s="15">
        <f t="shared" si="34"/>
        <v>0.259847918224882</v>
      </c>
      <c r="Y334" s="15" t="str">
        <f>VLOOKUP(D334,Lookup_Table!A:C,3,0)</f>
        <v>Amit</v>
      </c>
      <c r="Z334" s="15" t="str">
        <f t="shared" si="35"/>
        <v>Achived</v>
      </c>
    </row>
    <row r="335" spans="1:26">
      <c r="A335" s="13" t="s">
        <v>426</v>
      </c>
      <c r="B335" s="14">
        <v>45801</v>
      </c>
      <c r="C335" s="13" t="s">
        <v>55</v>
      </c>
      <c r="D335" s="13" t="s">
        <v>37</v>
      </c>
      <c r="E335" s="13" t="s">
        <v>38</v>
      </c>
      <c r="F335" s="13" t="s">
        <v>75</v>
      </c>
      <c r="G335" s="13" t="s">
        <v>76</v>
      </c>
      <c r="H335" s="13" t="s">
        <v>77</v>
      </c>
      <c r="I335" s="13" t="s">
        <v>52</v>
      </c>
      <c r="J335" s="13">
        <v>5</v>
      </c>
      <c r="K335" s="13">
        <v>105.18</v>
      </c>
      <c r="L335" s="13">
        <v>0.05</v>
      </c>
      <c r="M335" s="13">
        <v>499.61</v>
      </c>
      <c r="N335" s="13">
        <v>369.7</v>
      </c>
      <c r="O335" s="13">
        <v>129.91</v>
      </c>
      <c r="P335" s="13">
        <v>3.6</v>
      </c>
      <c r="Q335" s="13" t="s">
        <v>42</v>
      </c>
      <c r="R335" s="13">
        <v>2025</v>
      </c>
      <c r="S335" s="15" t="str">
        <f t="shared" si="30"/>
        <v>Low Profit</v>
      </c>
      <c r="T335" s="15" t="str">
        <f t="shared" si="31"/>
        <v>Low Sales</v>
      </c>
      <c r="U335" s="15" t="str">
        <f t="shared" si="32"/>
        <v>Needs Improvement</v>
      </c>
      <c r="V335" s="15" t="str">
        <f t="shared" si="33"/>
        <v>Normal Discount</v>
      </c>
      <c r="W335" s="15">
        <f>VLOOKUP(D335,Lookup_Table!$A:$C,2,FALSE)</f>
        <v>0.16</v>
      </c>
      <c r="X335" s="15">
        <f t="shared" si="34"/>
        <v>0.260022817797882</v>
      </c>
      <c r="Y335" s="15" t="str">
        <f>VLOOKUP(D335,Lookup_Table!A:C,3,0)</f>
        <v>Vikram</v>
      </c>
      <c r="Z335" s="15" t="str">
        <f t="shared" si="35"/>
        <v>Achived</v>
      </c>
    </row>
    <row r="336" spans="1:26">
      <c r="A336" s="13" t="s">
        <v>427</v>
      </c>
      <c r="B336" s="14">
        <v>45979</v>
      </c>
      <c r="C336" s="13" t="s">
        <v>27</v>
      </c>
      <c r="D336" s="13" t="s">
        <v>44</v>
      </c>
      <c r="E336" s="13" t="s">
        <v>104</v>
      </c>
      <c r="F336" s="13" t="s">
        <v>111</v>
      </c>
      <c r="G336" s="13" t="s">
        <v>76</v>
      </c>
      <c r="H336" s="13" t="s">
        <v>77</v>
      </c>
      <c r="I336" s="13" t="s">
        <v>96</v>
      </c>
      <c r="J336" s="13">
        <v>7</v>
      </c>
      <c r="K336" s="13">
        <v>1000.82</v>
      </c>
      <c r="L336" s="13">
        <v>0.15</v>
      </c>
      <c r="M336" s="13">
        <v>5954.88</v>
      </c>
      <c r="N336" s="13">
        <v>4401.71</v>
      </c>
      <c r="O336" s="13">
        <v>1553.17</v>
      </c>
      <c r="P336" s="13">
        <v>3.5</v>
      </c>
      <c r="Q336" s="13" t="s">
        <v>71</v>
      </c>
      <c r="R336" s="13">
        <v>2025</v>
      </c>
      <c r="S336" s="15" t="str">
        <f t="shared" si="30"/>
        <v>High Profit</v>
      </c>
      <c r="T336" s="15" t="str">
        <f t="shared" si="31"/>
        <v>High Sales</v>
      </c>
      <c r="U336" s="15" t="str">
        <f t="shared" si="32"/>
        <v>Needs Improvement</v>
      </c>
      <c r="V336" s="15" t="str">
        <f t="shared" si="33"/>
        <v>High Discount</v>
      </c>
      <c r="W336" s="15">
        <f>VLOOKUP(D336,Lookup_Table!$A:$C,2,FALSE)</f>
        <v>0.18</v>
      </c>
      <c r="X336" s="15">
        <f t="shared" si="34"/>
        <v>0.260823056048149</v>
      </c>
      <c r="Y336" s="15" t="str">
        <f>VLOOKUP(D336,Lookup_Table!A:C,3,0)</f>
        <v>Amit</v>
      </c>
      <c r="Z336" s="15" t="str">
        <f t="shared" si="35"/>
        <v>Achived</v>
      </c>
    </row>
    <row r="337" spans="1:26">
      <c r="A337" s="13" t="s">
        <v>428</v>
      </c>
      <c r="B337" s="14">
        <v>45841</v>
      </c>
      <c r="C337" s="13" t="s">
        <v>27</v>
      </c>
      <c r="D337" s="13" t="s">
        <v>80</v>
      </c>
      <c r="E337" s="13" t="s">
        <v>101</v>
      </c>
      <c r="F337" s="13" t="s">
        <v>62</v>
      </c>
      <c r="G337" s="13" t="s">
        <v>63</v>
      </c>
      <c r="H337" s="13" t="s">
        <v>32</v>
      </c>
      <c r="I337" s="13" t="s">
        <v>46</v>
      </c>
      <c r="J337" s="13">
        <v>3</v>
      </c>
      <c r="K337" s="13">
        <v>63.75</v>
      </c>
      <c r="L337" s="13">
        <v>0</v>
      </c>
      <c r="M337" s="13">
        <v>191.25</v>
      </c>
      <c r="N337" s="13">
        <v>141.29</v>
      </c>
      <c r="O337" s="13">
        <v>49.96</v>
      </c>
      <c r="P337" s="13">
        <v>3.6</v>
      </c>
      <c r="Q337" s="13" t="s">
        <v>56</v>
      </c>
      <c r="R337" s="13">
        <v>2025</v>
      </c>
      <c r="S337" s="15" t="str">
        <f t="shared" si="30"/>
        <v>Low Profit</v>
      </c>
      <c r="T337" s="15" t="str">
        <f t="shared" si="31"/>
        <v>Low Sales</v>
      </c>
      <c r="U337" s="15" t="str">
        <f t="shared" si="32"/>
        <v>Needs Improvement</v>
      </c>
      <c r="V337" s="15" t="str">
        <f t="shared" si="33"/>
        <v>Normal Discount</v>
      </c>
      <c r="W337" s="15">
        <f>VLOOKUP(D337,Lookup_Table!$A:$C,2,FALSE)</f>
        <v>0.12</v>
      </c>
      <c r="X337" s="15">
        <f t="shared" si="34"/>
        <v>0.261228758169935</v>
      </c>
      <c r="Y337" s="15" t="str">
        <f>VLOOKUP(D337,Lookup_Table!A:C,3,0)</f>
        <v>Rahul</v>
      </c>
      <c r="Z337" s="15" t="str">
        <f t="shared" si="35"/>
        <v>Achived</v>
      </c>
    </row>
    <row r="338" spans="1:26">
      <c r="A338" s="13" t="s">
        <v>429</v>
      </c>
      <c r="B338" s="14">
        <v>45914</v>
      </c>
      <c r="C338" s="13" t="s">
        <v>27</v>
      </c>
      <c r="D338" s="13" t="s">
        <v>37</v>
      </c>
      <c r="E338" s="13" t="s">
        <v>86</v>
      </c>
      <c r="F338" s="13" t="s">
        <v>82</v>
      </c>
      <c r="G338" s="13" t="s">
        <v>83</v>
      </c>
      <c r="H338" s="13" t="s">
        <v>77</v>
      </c>
      <c r="I338" s="13" t="s">
        <v>52</v>
      </c>
      <c r="J338" s="13">
        <v>5</v>
      </c>
      <c r="K338" s="13">
        <v>386.9</v>
      </c>
      <c r="L338" s="13">
        <v>0</v>
      </c>
      <c r="M338" s="13">
        <v>1934.5</v>
      </c>
      <c r="N338" s="13">
        <v>1428</v>
      </c>
      <c r="O338" s="13">
        <v>506.5</v>
      </c>
      <c r="P338" s="13">
        <v>4</v>
      </c>
      <c r="Q338" s="13" t="s">
        <v>53</v>
      </c>
      <c r="R338" s="13">
        <v>2025</v>
      </c>
      <c r="S338" s="15" t="str">
        <f t="shared" si="30"/>
        <v>High Profit</v>
      </c>
      <c r="T338" s="15" t="str">
        <f t="shared" si="31"/>
        <v>High Sales</v>
      </c>
      <c r="U338" s="15" t="str">
        <f t="shared" si="32"/>
        <v>Good</v>
      </c>
      <c r="V338" s="15" t="str">
        <f t="shared" si="33"/>
        <v>Normal Discount</v>
      </c>
      <c r="W338" s="15">
        <f>VLOOKUP(D338,Lookup_Table!$A:$C,2,FALSE)</f>
        <v>0.16</v>
      </c>
      <c r="X338" s="15">
        <f t="shared" si="34"/>
        <v>0.261824760920134</v>
      </c>
      <c r="Y338" s="15" t="str">
        <f>VLOOKUP(D338,Lookup_Table!A:C,3,0)</f>
        <v>Vikram</v>
      </c>
      <c r="Z338" s="15" t="str">
        <f t="shared" si="35"/>
        <v>Achived</v>
      </c>
    </row>
    <row r="339" spans="1:26">
      <c r="A339" s="13" t="s">
        <v>430</v>
      </c>
      <c r="B339" s="14">
        <v>45968</v>
      </c>
      <c r="C339" s="13" t="s">
        <v>55</v>
      </c>
      <c r="D339" s="13" t="s">
        <v>80</v>
      </c>
      <c r="E339" s="13" t="s">
        <v>191</v>
      </c>
      <c r="F339" s="13" t="s">
        <v>50</v>
      </c>
      <c r="G339" s="13" t="s">
        <v>51</v>
      </c>
      <c r="H339" s="13" t="s">
        <v>32</v>
      </c>
      <c r="I339" s="13" t="s">
        <v>33</v>
      </c>
      <c r="J339" s="13">
        <v>6</v>
      </c>
      <c r="K339" s="13">
        <v>35.8</v>
      </c>
      <c r="L339" s="13">
        <v>0.15</v>
      </c>
      <c r="M339" s="13">
        <v>182.58</v>
      </c>
      <c r="N339" s="13">
        <v>134.72</v>
      </c>
      <c r="O339" s="13">
        <v>47.86</v>
      </c>
      <c r="P339" s="13">
        <v>4.9</v>
      </c>
      <c r="Q339" s="13" t="s">
        <v>71</v>
      </c>
      <c r="R339" s="13">
        <v>2025</v>
      </c>
      <c r="S339" s="15" t="str">
        <f t="shared" si="30"/>
        <v>Low Profit</v>
      </c>
      <c r="T339" s="15" t="str">
        <f t="shared" si="31"/>
        <v>Low Sales</v>
      </c>
      <c r="U339" s="15" t="str">
        <f t="shared" si="32"/>
        <v>Good</v>
      </c>
      <c r="V339" s="15" t="str">
        <f t="shared" si="33"/>
        <v>High Discount</v>
      </c>
      <c r="W339" s="15">
        <f>VLOOKUP(D339,Lookup_Table!$A:$C,2,FALSE)</f>
        <v>0.12</v>
      </c>
      <c r="X339" s="15">
        <f t="shared" si="34"/>
        <v>0.262131668309782</v>
      </c>
      <c r="Y339" s="15" t="str">
        <f>VLOOKUP(D339,Lookup_Table!A:C,3,0)</f>
        <v>Rahul</v>
      </c>
      <c r="Z339" s="15" t="str">
        <f t="shared" si="35"/>
        <v>Achived</v>
      </c>
    </row>
    <row r="340" spans="1:26">
      <c r="A340" s="13" t="s">
        <v>431</v>
      </c>
      <c r="B340" s="14">
        <v>45852</v>
      </c>
      <c r="C340" s="13" t="s">
        <v>55</v>
      </c>
      <c r="D340" s="13" t="s">
        <v>28</v>
      </c>
      <c r="E340" s="13" t="s">
        <v>29</v>
      </c>
      <c r="F340" s="13" t="s">
        <v>75</v>
      </c>
      <c r="G340" s="13" t="s">
        <v>76</v>
      </c>
      <c r="H340" s="13" t="s">
        <v>77</v>
      </c>
      <c r="I340" s="13" t="s">
        <v>33</v>
      </c>
      <c r="J340" s="13">
        <v>4</v>
      </c>
      <c r="K340" s="13">
        <v>95.81</v>
      </c>
      <c r="L340" s="13">
        <v>0.1</v>
      </c>
      <c r="M340" s="13">
        <v>344.92</v>
      </c>
      <c r="N340" s="13">
        <v>254.36</v>
      </c>
      <c r="O340" s="13">
        <v>90.56</v>
      </c>
      <c r="P340" s="13">
        <v>3.1</v>
      </c>
      <c r="Q340" s="13" t="s">
        <v>56</v>
      </c>
      <c r="R340" s="13">
        <v>2025</v>
      </c>
      <c r="S340" s="15" t="str">
        <f t="shared" si="30"/>
        <v>Low Profit</v>
      </c>
      <c r="T340" s="15" t="str">
        <f t="shared" si="31"/>
        <v>Low Sales</v>
      </c>
      <c r="U340" s="15" t="str">
        <f t="shared" si="32"/>
        <v>Needs Improvement</v>
      </c>
      <c r="V340" s="15" t="str">
        <f t="shared" si="33"/>
        <v>Normal Discount</v>
      </c>
      <c r="W340" s="15">
        <f>VLOOKUP(D340,Lookup_Table!$A:$C,2,FALSE)</f>
        <v>0.2</v>
      </c>
      <c r="X340" s="15">
        <f t="shared" si="34"/>
        <v>0.262553635625652</v>
      </c>
      <c r="Y340" s="15" t="str">
        <f>VLOOKUP(D340,Lookup_Table!A:C,3,0)</f>
        <v>Sneha</v>
      </c>
      <c r="Z340" s="15" t="str">
        <f t="shared" si="35"/>
        <v>Achived</v>
      </c>
    </row>
    <row r="341" spans="1:26">
      <c r="A341" s="13" t="s">
        <v>432</v>
      </c>
      <c r="B341" s="14">
        <v>45962</v>
      </c>
      <c r="C341" s="13" t="s">
        <v>55</v>
      </c>
      <c r="D341" s="13" t="s">
        <v>28</v>
      </c>
      <c r="E341" s="13" t="s">
        <v>49</v>
      </c>
      <c r="F341" s="13" t="s">
        <v>50</v>
      </c>
      <c r="G341" s="13" t="s">
        <v>51</v>
      </c>
      <c r="H341" s="13" t="s">
        <v>32</v>
      </c>
      <c r="I341" s="13" t="s">
        <v>46</v>
      </c>
      <c r="J341" s="13">
        <v>6</v>
      </c>
      <c r="K341" s="13">
        <v>176.14</v>
      </c>
      <c r="L341" s="13">
        <v>0.15</v>
      </c>
      <c r="M341" s="13">
        <v>898.31</v>
      </c>
      <c r="N341" s="13">
        <v>662.42</v>
      </c>
      <c r="O341" s="13">
        <v>235.89</v>
      </c>
      <c r="P341" s="13">
        <v>4.5</v>
      </c>
      <c r="Q341" s="13" t="s">
        <v>71</v>
      </c>
      <c r="R341" s="13">
        <v>2025</v>
      </c>
      <c r="S341" s="15" t="str">
        <f t="shared" si="30"/>
        <v>Low Profit</v>
      </c>
      <c r="T341" s="15" t="str">
        <f t="shared" si="31"/>
        <v>Low Sales</v>
      </c>
      <c r="U341" s="15" t="str">
        <f t="shared" si="32"/>
        <v>Good</v>
      </c>
      <c r="V341" s="15" t="str">
        <f t="shared" si="33"/>
        <v>High Discount</v>
      </c>
      <c r="W341" s="15">
        <f>VLOOKUP(D341,Lookup_Table!$A:$C,2,FALSE)</f>
        <v>0.2</v>
      </c>
      <c r="X341" s="15">
        <f t="shared" si="34"/>
        <v>0.262593091471764</v>
      </c>
      <c r="Y341" s="15" t="str">
        <f>VLOOKUP(D341,Lookup_Table!A:C,3,0)</f>
        <v>Sneha</v>
      </c>
      <c r="Z341" s="15" t="str">
        <f t="shared" si="35"/>
        <v>Achived</v>
      </c>
    </row>
    <row r="342" spans="1:26">
      <c r="A342" s="13" t="s">
        <v>433</v>
      </c>
      <c r="B342" s="14">
        <v>45863</v>
      </c>
      <c r="C342" s="13" t="s">
        <v>27</v>
      </c>
      <c r="D342" s="13" t="s">
        <v>80</v>
      </c>
      <c r="E342" s="13" t="s">
        <v>115</v>
      </c>
      <c r="F342" s="13" t="s">
        <v>30</v>
      </c>
      <c r="G342" s="13" t="s">
        <v>31</v>
      </c>
      <c r="H342" s="13" t="s">
        <v>32</v>
      </c>
      <c r="I342" s="13" t="s">
        <v>33</v>
      </c>
      <c r="J342" s="13">
        <v>4</v>
      </c>
      <c r="K342" s="13">
        <v>51.06</v>
      </c>
      <c r="L342" s="13">
        <v>0.1</v>
      </c>
      <c r="M342" s="13">
        <v>183.82</v>
      </c>
      <c r="N342" s="13">
        <v>135.47</v>
      </c>
      <c r="O342" s="13">
        <v>48.35</v>
      </c>
      <c r="P342" s="13">
        <v>3.6</v>
      </c>
      <c r="Q342" s="13" t="s">
        <v>56</v>
      </c>
      <c r="R342" s="13">
        <v>2025</v>
      </c>
      <c r="S342" s="15" t="str">
        <f t="shared" si="30"/>
        <v>Low Profit</v>
      </c>
      <c r="T342" s="15" t="str">
        <f t="shared" si="31"/>
        <v>Low Sales</v>
      </c>
      <c r="U342" s="15" t="str">
        <f t="shared" si="32"/>
        <v>Needs Improvement</v>
      </c>
      <c r="V342" s="15" t="str">
        <f t="shared" si="33"/>
        <v>Normal Discount</v>
      </c>
      <c r="W342" s="15">
        <f>VLOOKUP(D342,Lookup_Table!$A:$C,2,FALSE)</f>
        <v>0.12</v>
      </c>
      <c r="X342" s="15">
        <f t="shared" si="34"/>
        <v>0.263029050157763</v>
      </c>
      <c r="Y342" s="15" t="str">
        <f>VLOOKUP(D342,Lookup_Table!A:C,3,0)</f>
        <v>Rahul</v>
      </c>
      <c r="Z342" s="15" t="str">
        <f t="shared" si="35"/>
        <v>Achived</v>
      </c>
    </row>
    <row r="343" spans="1:26">
      <c r="A343" s="13" t="s">
        <v>434</v>
      </c>
      <c r="B343" s="14">
        <v>45667</v>
      </c>
      <c r="C343" s="13" t="s">
        <v>36</v>
      </c>
      <c r="D343" s="13" t="s">
        <v>44</v>
      </c>
      <c r="E343" s="13" t="s">
        <v>45</v>
      </c>
      <c r="F343" s="13" t="s">
        <v>50</v>
      </c>
      <c r="G343" s="13" t="s">
        <v>51</v>
      </c>
      <c r="H343" s="13" t="s">
        <v>32</v>
      </c>
      <c r="I343" s="13" t="s">
        <v>96</v>
      </c>
      <c r="J343" s="13">
        <v>3</v>
      </c>
      <c r="K343" s="13">
        <v>749.74</v>
      </c>
      <c r="L343" s="13">
        <v>0</v>
      </c>
      <c r="M343" s="13">
        <v>2249.22</v>
      </c>
      <c r="N343" s="13">
        <v>1657.57</v>
      </c>
      <c r="O343" s="13">
        <v>591.65</v>
      </c>
      <c r="P343" s="13">
        <v>4.3</v>
      </c>
      <c r="Q343" s="13" t="s">
        <v>64</v>
      </c>
      <c r="R343" s="13">
        <v>2025</v>
      </c>
      <c r="S343" s="15" t="str">
        <f t="shared" si="30"/>
        <v>High Profit</v>
      </c>
      <c r="T343" s="15" t="str">
        <f t="shared" si="31"/>
        <v>High Sales</v>
      </c>
      <c r="U343" s="15" t="str">
        <f t="shared" si="32"/>
        <v>Good</v>
      </c>
      <c r="V343" s="15" t="str">
        <f t="shared" si="33"/>
        <v>Normal Discount</v>
      </c>
      <c r="W343" s="15">
        <f>VLOOKUP(D343,Lookup_Table!$A:$C,2,FALSE)</f>
        <v>0.18</v>
      </c>
      <c r="X343" s="15">
        <f t="shared" si="34"/>
        <v>0.263046745093855</v>
      </c>
      <c r="Y343" s="15" t="str">
        <f>VLOOKUP(D343,Lookup_Table!A:C,3,0)</f>
        <v>Amit</v>
      </c>
      <c r="Z343" s="15" t="str">
        <f t="shared" si="35"/>
        <v>Achived</v>
      </c>
    </row>
    <row r="344" spans="1:26">
      <c r="A344" s="13" t="s">
        <v>435</v>
      </c>
      <c r="B344" s="14">
        <v>45808</v>
      </c>
      <c r="C344" s="13" t="s">
        <v>27</v>
      </c>
      <c r="D344" s="13" t="s">
        <v>37</v>
      </c>
      <c r="E344" s="13" t="s">
        <v>38</v>
      </c>
      <c r="F344" s="13" t="s">
        <v>111</v>
      </c>
      <c r="G344" s="13" t="s">
        <v>76</v>
      </c>
      <c r="H344" s="13" t="s">
        <v>77</v>
      </c>
      <c r="I344" s="13" t="s">
        <v>96</v>
      </c>
      <c r="J344" s="13">
        <v>5</v>
      </c>
      <c r="K344" s="13">
        <v>122.02</v>
      </c>
      <c r="L344" s="13">
        <v>0.1</v>
      </c>
      <c r="M344" s="13">
        <v>549.09</v>
      </c>
      <c r="N344" s="13">
        <v>404.55</v>
      </c>
      <c r="O344" s="13">
        <v>144.54</v>
      </c>
      <c r="P344" s="13">
        <v>3.3</v>
      </c>
      <c r="Q344" s="13" t="s">
        <v>42</v>
      </c>
      <c r="R344" s="13">
        <v>2025</v>
      </c>
      <c r="S344" s="15" t="str">
        <f t="shared" si="30"/>
        <v>Low Profit</v>
      </c>
      <c r="T344" s="15" t="str">
        <f t="shared" si="31"/>
        <v>Low Sales</v>
      </c>
      <c r="U344" s="15" t="str">
        <f t="shared" si="32"/>
        <v>Needs Improvement</v>
      </c>
      <c r="V344" s="15" t="str">
        <f t="shared" si="33"/>
        <v>Normal Discount</v>
      </c>
      <c r="W344" s="15">
        <f>VLOOKUP(D344,Lookup_Table!$A:$C,2,FALSE)</f>
        <v>0.16</v>
      </c>
      <c r="X344" s="15">
        <f t="shared" si="34"/>
        <v>0.263235535158171</v>
      </c>
      <c r="Y344" s="15" t="str">
        <f>VLOOKUP(D344,Lookup_Table!A:C,3,0)</f>
        <v>Vikram</v>
      </c>
      <c r="Z344" s="15" t="str">
        <f t="shared" si="35"/>
        <v>Achived</v>
      </c>
    </row>
    <row r="345" spans="1:26">
      <c r="A345" s="13" t="s">
        <v>436</v>
      </c>
      <c r="B345" s="14">
        <v>45930</v>
      </c>
      <c r="C345" s="13" t="s">
        <v>27</v>
      </c>
      <c r="D345" s="13" t="s">
        <v>28</v>
      </c>
      <c r="E345" s="13" t="s">
        <v>29</v>
      </c>
      <c r="F345" s="13" t="s">
        <v>82</v>
      </c>
      <c r="G345" s="13" t="s">
        <v>83</v>
      </c>
      <c r="H345" s="13" t="s">
        <v>77</v>
      </c>
      <c r="I345" s="13" t="s">
        <v>96</v>
      </c>
      <c r="J345" s="13">
        <v>1</v>
      </c>
      <c r="K345" s="13">
        <v>178.76</v>
      </c>
      <c r="L345" s="13">
        <v>0</v>
      </c>
      <c r="M345" s="13">
        <v>178.76</v>
      </c>
      <c r="N345" s="13">
        <v>131.65</v>
      </c>
      <c r="O345" s="13">
        <v>47.11</v>
      </c>
      <c r="P345" s="13">
        <v>2.8</v>
      </c>
      <c r="Q345" s="13" t="s">
        <v>53</v>
      </c>
      <c r="R345" s="13">
        <v>2025</v>
      </c>
      <c r="S345" s="15" t="str">
        <f t="shared" si="30"/>
        <v>Low Profit</v>
      </c>
      <c r="T345" s="15" t="str">
        <f t="shared" si="31"/>
        <v>Low Sales</v>
      </c>
      <c r="U345" s="15" t="str">
        <f t="shared" si="32"/>
        <v>Needs Improvement</v>
      </c>
      <c r="V345" s="15" t="str">
        <f t="shared" si="33"/>
        <v>Normal Discount</v>
      </c>
      <c r="W345" s="15">
        <f>VLOOKUP(D345,Lookup_Table!$A:$C,2,FALSE)</f>
        <v>0.2</v>
      </c>
      <c r="X345" s="15">
        <f t="shared" si="34"/>
        <v>0.263537704184381</v>
      </c>
      <c r="Y345" s="15" t="str">
        <f>VLOOKUP(D345,Lookup_Table!A:C,3,0)</f>
        <v>Sneha</v>
      </c>
      <c r="Z345" s="15" t="str">
        <f t="shared" si="35"/>
        <v>Achived</v>
      </c>
    </row>
    <row r="346" spans="1:26">
      <c r="A346" s="13" t="s">
        <v>437</v>
      </c>
      <c r="B346" s="14">
        <v>45729</v>
      </c>
      <c r="C346" s="13" t="s">
        <v>27</v>
      </c>
      <c r="D346" s="13" t="s">
        <v>44</v>
      </c>
      <c r="E346" s="13" t="s">
        <v>143</v>
      </c>
      <c r="F346" s="13" t="s">
        <v>111</v>
      </c>
      <c r="G346" s="13" t="s">
        <v>76</v>
      </c>
      <c r="H346" s="13" t="s">
        <v>77</v>
      </c>
      <c r="I346" s="13" t="s">
        <v>33</v>
      </c>
      <c r="J346" s="13">
        <v>5</v>
      </c>
      <c r="K346" s="13">
        <v>717.69</v>
      </c>
      <c r="L346" s="13">
        <v>0.05</v>
      </c>
      <c r="M346" s="13">
        <v>3409.03</v>
      </c>
      <c r="N346" s="13">
        <v>2510.54</v>
      </c>
      <c r="O346" s="13">
        <v>898.49</v>
      </c>
      <c r="P346" s="13">
        <v>3.5</v>
      </c>
      <c r="Q346" s="13" t="s">
        <v>94</v>
      </c>
      <c r="R346" s="13">
        <v>2025</v>
      </c>
      <c r="S346" s="15" t="str">
        <f t="shared" si="30"/>
        <v>High Profit</v>
      </c>
      <c r="T346" s="15" t="str">
        <f t="shared" si="31"/>
        <v>High Sales</v>
      </c>
      <c r="U346" s="15" t="str">
        <f t="shared" si="32"/>
        <v>Needs Improvement</v>
      </c>
      <c r="V346" s="15" t="str">
        <f t="shared" si="33"/>
        <v>Normal Discount</v>
      </c>
      <c r="W346" s="15">
        <f>VLOOKUP(D346,Lookup_Table!$A:$C,2,FALSE)</f>
        <v>0.18</v>
      </c>
      <c r="X346" s="15">
        <f t="shared" si="34"/>
        <v>0.263561775637058</v>
      </c>
      <c r="Y346" s="15" t="str">
        <f>VLOOKUP(D346,Lookup_Table!A:C,3,0)</f>
        <v>Amit</v>
      </c>
      <c r="Z346" s="15" t="str">
        <f t="shared" si="35"/>
        <v>Achived</v>
      </c>
    </row>
    <row r="347" spans="1:26">
      <c r="A347" s="13" t="s">
        <v>438</v>
      </c>
      <c r="B347" s="14">
        <v>45819</v>
      </c>
      <c r="C347" s="13" t="s">
        <v>55</v>
      </c>
      <c r="D347" s="13" t="s">
        <v>80</v>
      </c>
      <c r="E347" s="13" t="s">
        <v>191</v>
      </c>
      <c r="F347" s="13" t="s">
        <v>62</v>
      </c>
      <c r="G347" s="13" t="s">
        <v>63</v>
      </c>
      <c r="H347" s="13" t="s">
        <v>32</v>
      </c>
      <c r="I347" s="13" t="s">
        <v>52</v>
      </c>
      <c r="J347" s="13">
        <v>4</v>
      </c>
      <c r="K347" s="13">
        <v>61.24</v>
      </c>
      <c r="L347" s="13">
        <v>0</v>
      </c>
      <c r="M347" s="13">
        <v>244.96</v>
      </c>
      <c r="N347" s="13">
        <v>180.19</v>
      </c>
      <c r="O347" s="13">
        <v>64.77</v>
      </c>
      <c r="P347" s="13">
        <v>4.3</v>
      </c>
      <c r="Q347" s="13" t="s">
        <v>58</v>
      </c>
      <c r="R347" s="13">
        <v>2025</v>
      </c>
      <c r="S347" s="15" t="str">
        <f t="shared" si="30"/>
        <v>Low Profit</v>
      </c>
      <c r="T347" s="15" t="str">
        <f t="shared" si="31"/>
        <v>Low Sales</v>
      </c>
      <c r="U347" s="15" t="str">
        <f t="shared" si="32"/>
        <v>Good</v>
      </c>
      <c r="V347" s="15" t="str">
        <f t="shared" si="33"/>
        <v>Normal Discount</v>
      </c>
      <c r="W347" s="15">
        <f>VLOOKUP(D347,Lookup_Table!$A:$C,2,FALSE)</f>
        <v>0.12</v>
      </c>
      <c r="X347" s="15">
        <f t="shared" si="34"/>
        <v>0.264410516002613</v>
      </c>
      <c r="Y347" s="15" t="str">
        <f>VLOOKUP(D347,Lookup_Table!A:C,3,0)</f>
        <v>Rahul</v>
      </c>
      <c r="Z347" s="15" t="str">
        <f t="shared" si="35"/>
        <v>Achived</v>
      </c>
    </row>
    <row r="348" spans="1:26">
      <c r="A348" s="13" t="s">
        <v>439</v>
      </c>
      <c r="B348" s="14">
        <v>45845</v>
      </c>
      <c r="C348" s="13" t="s">
        <v>36</v>
      </c>
      <c r="D348" s="13" t="s">
        <v>37</v>
      </c>
      <c r="E348" s="13" t="s">
        <v>109</v>
      </c>
      <c r="F348" s="13" t="s">
        <v>50</v>
      </c>
      <c r="G348" s="13" t="s">
        <v>51</v>
      </c>
      <c r="H348" s="13" t="s">
        <v>32</v>
      </c>
      <c r="I348" s="13" t="s">
        <v>96</v>
      </c>
      <c r="J348" s="13">
        <v>1</v>
      </c>
      <c r="K348" s="13">
        <v>344.06</v>
      </c>
      <c r="L348" s="13">
        <v>0.15</v>
      </c>
      <c r="M348" s="13">
        <v>292.45</v>
      </c>
      <c r="N348" s="13">
        <v>215.05</v>
      </c>
      <c r="O348" s="13">
        <v>77.4</v>
      </c>
      <c r="P348" s="13">
        <v>3.1</v>
      </c>
      <c r="Q348" s="13" t="s">
        <v>56</v>
      </c>
      <c r="R348" s="13">
        <v>2025</v>
      </c>
      <c r="S348" s="15" t="str">
        <f t="shared" si="30"/>
        <v>Low Profit</v>
      </c>
      <c r="T348" s="15" t="str">
        <f t="shared" si="31"/>
        <v>Low Sales</v>
      </c>
      <c r="U348" s="15" t="str">
        <f t="shared" si="32"/>
        <v>Needs Improvement</v>
      </c>
      <c r="V348" s="15" t="str">
        <f t="shared" si="33"/>
        <v>High Discount</v>
      </c>
      <c r="W348" s="15">
        <f>VLOOKUP(D348,Lookup_Table!$A:$C,2,FALSE)</f>
        <v>0.16</v>
      </c>
      <c r="X348" s="15">
        <f t="shared" si="34"/>
        <v>0.264660625747991</v>
      </c>
      <c r="Y348" s="15" t="str">
        <f>VLOOKUP(D348,Lookup_Table!A:C,3,0)</f>
        <v>Vikram</v>
      </c>
      <c r="Z348" s="15" t="str">
        <f t="shared" si="35"/>
        <v>Achived</v>
      </c>
    </row>
    <row r="349" spans="1:26">
      <c r="A349" s="13" t="s">
        <v>440</v>
      </c>
      <c r="B349" s="14">
        <v>45771</v>
      </c>
      <c r="C349" s="13" t="s">
        <v>27</v>
      </c>
      <c r="D349" s="13" t="s">
        <v>28</v>
      </c>
      <c r="E349" s="13" t="s">
        <v>90</v>
      </c>
      <c r="F349" s="13" t="s">
        <v>62</v>
      </c>
      <c r="G349" s="13" t="s">
        <v>63</v>
      </c>
      <c r="H349" s="13" t="s">
        <v>32</v>
      </c>
      <c r="I349" s="13" t="s">
        <v>52</v>
      </c>
      <c r="J349" s="13">
        <v>6</v>
      </c>
      <c r="K349" s="13">
        <v>101.36</v>
      </c>
      <c r="L349" s="13">
        <v>0</v>
      </c>
      <c r="M349" s="13">
        <v>608.16</v>
      </c>
      <c r="N349" s="13">
        <v>446.79</v>
      </c>
      <c r="O349" s="13">
        <v>161.37</v>
      </c>
      <c r="P349" s="13">
        <v>4.9</v>
      </c>
      <c r="Q349" s="13" t="s">
        <v>84</v>
      </c>
      <c r="R349" s="13">
        <v>2025</v>
      </c>
      <c r="S349" s="15" t="str">
        <f t="shared" si="30"/>
        <v>Low Profit</v>
      </c>
      <c r="T349" s="15" t="str">
        <f t="shared" si="31"/>
        <v>Low Sales</v>
      </c>
      <c r="U349" s="15" t="str">
        <f t="shared" si="32"/>
        <v>Good</v>
      </c>
      <c r="V349" s="15" t="str">
        <f t="shared" si="33"/>
        <v>Normal Discount</v>
      </c>
      <c r="W349" s="15">
        <f>VLOOKUP(D349,Lookup_Table!$A:$C,2,FALSE)</f>
        <v>0.2</v>
      </c>
      <c r="X349" s="15">
        <f t="shared" si="34"/>
        <v>0.26534135753749</v>
      </c>
      <c r="Y349" s="15" t="str">
        <f>VLOOKUP(D349,Lookup_Table!A:C,3,0)</f>
        <v>Sneha</v>
      </c>
      <c r="Z349" s="15" t="str">
        <f t="shared" si="35"/>
        <v>Achived</v>
      </c>
    </row>
    <row r="350" spans="1:26">
      <c r="A350" s="13" t="s">
        <v>441</v>
      </c>
      <c r="B350" s="14">
        <v>45870</v>
      </c>
      <c r="C350" s="13" t="s">
        <v>36</v>
      </c>
      <c r="D350" s="13" t="s">
        <v>80</v>
      </c>
      <c r="E350" s="13" t="s">
        <v>115</v>
      </c>
      <c r="F350" s="13" t="s">
        <v>116</v>
      </c>
      <c r="G350" s="13" t="s">
        <v>117</v>
      </c>
      <c r="H350" s="13" t="s">
        <v>32</v>
      </c>
      <c r="I350" s="13" t="s">
        <v>33</v>
      </c>
      <c r="J350" s="13">
        <v>1</v>
      </c>
      <c r="K350" s="13">
        <v>51.92</v>
      </c>
      <c r="L350" s="13">
        <v>0.05</v>
      </c>
      <c r="M350" s="13">
        <v>49.32</v>
      </c>
      <c r="N350" s="13">
        <v>36.23</v>
      </c>
      <c r="O350" s="13">
        <v>13.09</v>
      </c>
      <c r="P350" s="13">
        <v>2.8</v>
      </c>
      <c r="Q350" s="13" t="s">
        <v>47</v>
      </c>
      <c r="R350" s="13">
        <v>2025</v>
      </c>
      <c r="S350" s="15" t="str">
        <f t="shared" si="30"/>
        <v>Low Profit</v>
      </c>
      <c r="T350" s="15" t="str">
        <f t="shared" si="31"/>
        <v>Low Sales</v>
      </c>
      <c r="U350" s="15" t="str">
        <f t="shared" si="32"/>
        <v>Needs Improvement</v>
      </c>
      <c r="V350" s="15" t="str">
        <f t="shared" si="33"/>
        <v>Normal Discount</v>
      </c>
      <c r="W350" s="15">
        <f>VLOOKUP(D350,Lookup_Table!$A:$C,2,FALSE)</f>
        <v>0.12</v>
      </c>
      <c r="X350" s="15">
        <f t="shared" si="34"/>
        <v>0.265409570154096</v>
      </c>
      <c r="Y350" s="15" t="str">
        <f>VLOOKUP(D350,Lookup_Table!A:C,3,0)</f>
        <v>Rahul</v>
      </c>
      <c r="Z350" s="15" t="str">
        <f t="shared" si="35"/>
        <v>Achived</v>
      </c>
    </row>
    <row r="351" spans="1:26">
      <c r="A351" s="13" t="s">
        <v>442</v>
      </c>
      <c r="B351" s="14">
        <v>45997</v>
      </c>
      <c r="C351" s="13" t="s">
        <v>55</v>
      </c>
      <c r="D351" s="13" t="s">
        <v>80</v>
      </c>
      <c r="E351" s="13" t="s">
        <v>115</v>
      </c>
      <c r="F351" s="13" t="s">
        <v>111</v>
      </c>
      <c r="G351" s="13" t="s">
        <v>76</v>
      </c>
      <c r="H351" s="13" t="s">
        <v>77</v>
      </c>
      <c r="I351" s="13" t="s">
        <v>96</v>
      </c>
      <c r="J351" s="13">
        <v>5</v>
      </c>
      <c r="K351" s="13">
        <v>74.35</v>
      </c>
      <c r="L351" s="13">
        <v>0.15</v>
      </c>
      <c r="M351" s="13">
        <v>315.99</v>
      </c>
      <c r="N351" s="13">
        <v>232.09</v>
      </c>
      <c r="O351" s="13">
        <v>83.9</v>
      </c>
      <c r="P351" s="13">
        <v>2.9</v>
      </c>
      <c r="Q351" s="13" t="s">
        <v>34</v>
      </c>
      <c r="R351" s="13">
        <v>2025</v>
      </c>
      <c r="S351" s="15" t="str">
        <f t="shared" si="30"/>
        <v>Low Profit</v>
      </c>
      <c r="T351" s="15" t="str">
        <f t="shared" si="31"/>
        <v>Low Sales</v>
      </c>
      <c r="U351" s="15" t="str">
        <f t="shared" si="32"/>
        <v>Needs Improvement</v>
      </c>
      <c r="V351" s="15" t="str">
        <f t="shared" si="33"/>
        <v>High Discount</v>
      </c>
      <c r="W351" s="15">
        <f>VLOOKUP(D351,Lookup_Table!$A:$C,2,FALSE)</f>
        <v>0.12</v>
      </c>
      <c r="X351" s="15">
        <f t="shared" si="34"/>
        <v>0.265514731478844</v>
      </c>
      <c r="Y351" s="15" t="str">
        <f>VLOOKUP(D351,Lookup_Table!A:C,3,0)</f>
        <v>Rahul</v>
      </c>
      <c r="Z351" s="15" t="str">
        <f t="shared" si="35"/>
        <v>Achived</v>
      </c>
    </row>
    <row r="352" spans="1:26">
      <c r="A352" s="13" t="s">
        <v>443</v>
      </c>
      <c r="B352" s="14">
        <v>45696</v>
      </c>
      <c r="C352" s="13" t="s">
        <v>55</v>
      </c>
      <c r="D352" s="13" t="s">
        <v>37</v>
      </c>
      <c r="E352" s="13" t="s">
        <v>86</v>
      </c>
      <c r="F352" s="13" t="s">
        <v>116</v>
      </c>
      <c r="G352" s="13" t="s">
        <v>117</v>
      </c>
      <c r="H352" s="13" t="s">
        <v>32</v>
      </c>
      <c r="I352" s="13" t="s">
        <v>96</v>
      </c>
      <c r="J352" s="13">
        <v>5</v>
      </c>
      <c r="K352" s="13">
        <v>243.67</v>
      </c>
      <c r="L352" s="13">
        <v>0</v>
      </c>
      <c r="M352" s="13">
        <v>1218.35</v>
      </c>
      <c r="N352" s="13">
        <v>894.71</v>
      </c>
      <c r="O352" s="13">
        <v>323.64</v>
      </c>
      <c r="P352" s="13">
        <v>4.3</v>
      </c>
      <c r="Q352" s="13" t="s">
        <v>105</v>
      </c>
      <c r="R352" s="13">
        <v>2025</v>
      </c>
      <c r="S352" s="15" t="str">
        <f t="shared" si="30"/>
        <v>Low Profit</v>
      </c>
      <c r="T352" s="15" t="str">
        <f t="shared" si="31"/>
        <v>High Sales</v>
      </c>
      <c r="U352" s="15" t="str">
        <f t="shared" si="32"/>
        <v>Good</v>
      </c>
      <c r="V352" s="15" t="str">
        <f t="shared" si="33"/>
        <v>Normal Discount</v>
      </c>
      <c r="W352" s="15">
        <f>VLOOKUP(D352,Lookup_Table!$A:$C,2,FALSE)</f>
        <v>0.16</v>
      </c>
      <c r="X352" s="15">
        <f t="shared" si="34"/>
        <v>0.26563795296918</v>
      </c>
      <c r="Y352" s="15" t="str">
        <f>VLOOKUP(D352,Lookup_Table!A:C,3,0)</f>
        <v>Vikram</v>
      </c>
      <c r="Z352" s="15" t="str">
        <f t="shared" si="35"/>
        <v>Achived</v>
      </c>
    </row>
    <row r="353" spans="1:26">
      <c r="A353" s="13" t="s">
        <v>444</v>
      </c>
      <c r="B353" s="14">
        <v>45763</v>
      </c>
      <c r="C353" s="13" t="s">
        <v>27</v>
      </c>
      <c r="D353" s="13" t="s">
        <v>60</v>
      </c>
      <c r="E353" s="13" t="s">
        <v>66</v>
      </c>
      <c r="F353" s="13" t="s">
        <v>50</v>
      </c>
      <c r="G353" s="13" t="s">
        <v>51</v>
      </c>
      <c r="H353" s="13" t="s">
        <v>32</v>
      </c>
      <c r="I353" s="13" t="s">
        <v>96</v>
      </c>
      <c r="J353" s="13">
        <v>2</v>
      </c>
      <c r="K353" s="13">
        <v>224.93</v>
      </c>
      <c r="L353" s="13">
        <v>0.15</v>
      </c>
      <c r="M353" s="13">
        <v>382.38</v>
      </c>
      <c r="N353" s="13">
        <v>280.76</v>
      </c>
      <c r="O353" s="13">
        <v>101.62</v>
      </c>
      <c r="P353" s="13">
        <v>3.2</v>
      </c>
      <c r="Q353" s="13" t="s">
        <v>84</v>
      </c>
      <c r="R353" s="13">
        <v>2025</v>
      </c>
      <c r="S353" s="15" t="str">
        <f t="shared" si="30"/>
        <v>Low Profit</v>
      </c>
      <c r="T353" s="15" t="str">
        <f t="shared" si="31"/>
        <v>Low Sales</v>
      </c>
      <c r="U353" s="15" t="str">
        <f t="shared" si="32"/>
        <v>Needs Improvement</v>
      </c>
      <c r="V353" s="15" t="str">
        <f t="shared" si="33"/>
        <v>High Discount</v>
      </c>
      <c r="W353" s="15">
        <f>VLOOKUP(D353,Lookup_Table!$A:$C,2,FALSE)</f>
        <v>0.15</v>
      </c>
      <c r="X353" s="15">
        <f t="shared" si="34"/>
        <v>0.265756577226842</v>
      </c>
      <c r="Y353" s="15" t="str">
        <f>VLOOKUP(D353,Lookup_Table!A:C,3,0)</f>
        <v>Priya</v>
      </c>
      <c r="Z353" s="15" t="str">
        <f t="shared" si="35"/>
        <v>Achived</v>
      </c>
    </row>
    <row r="354" spans="1:26">
      <c r="A354" s="13" t="s">
        <v>445</v>
      </c>
      <c r="B354" s="14">
        <v>45711</v>
      </c>
      <c r="C354" s="13" t="s">
        <v>27</v>
      </c>
      <c r="D354" s="13" t="s">
        <v>60</v>
      </c>
      <c r="E354" s="13" t="s">
        <v>61</v>
      </c>
      <c r="F354" s="13" t="s">
        <v>82</v>
      </c>
      <c r="G354" s="13" t="s">
        <v>83</v>
      </c>
      <c r="H354" s="13" t="s">
        <v>77</v>
      </c>
      <c r="I354" s="13" t="s">
        <v>33</v>
      </c>
      <c r="J354" s="13">
        <v>4</v>
      </c>
      <c r="K354" s="13">
        <v>290.35</v>
      </c>
      <c r="L354" s="13">
        <v>0.05</v>
      </c>
      <c r="M354" s="13">
        <v>1103.33</v>
      </c>
      <c r="N354" s="13">
        <v>810.01</v>
      </c>
      <c r="O354" s="13">
        <v>293.32</v>
      </c>
      <c r="P354" s="13">
        <v>2.5</v>
      </c>
      <c r="Q354" s="13" t="s">
        <v>105</v>
      </c>
      <c r="R354" s="13">
        <v>2025</v>
      </c>
      <c r="S354" s="15" t="str">
        <f t="shared" si="30"/>
        <v>Low Profit</v>
      </c>
      <c r="T354" s="15" t="str">
        <f t="shared" si="31"/>
        <v>High Sales</v>
      </c>
      <c r="U354" s="15" t="str">
        <f t="shared" si="32"/>
        <v>Needs Improvement</v>
      </c>
      <c r="V354" s="15" t="str">
        <f t="shared" si="33"/>
        <v>Normal Discount</v>
      </c>
      <c r="W354" s="15">
        <f>VLOOKUP(D354,Lookup_Table!$A:$C,2,FALSE)</f>
        <v>0.15</v>
      </c>
      <c r="X354" s="15">
        <f t="shared" si="34"/>
        <v>0.265849745769625</v>
      </c>
      <c r="Y354" s="15" t="str">
        <f>VLOOKUP(D354,Lookup_Table!A:C,3,0)</f>
        <v>Priya</v>
      </c>
      <c r="Z354" s="15" t="str">
        <f t="shared" si="35"/>
        <v>Achived</v>
      </c>
    </row>
    <row r="355" spans="1:26">
      <c r="A355" s="13" t="s">
        <v>446</v>
      </c>
      <c r="B355" s="14">
        <v>45871</v>
      </c>
      <c r="C355" s="13" t="s">
        <v>27</v>
      </c>
      <c r="D355" s="13" t="s">
        <v>28</v>
      </c>
      <c r="E355" s="13" t="s">
        <v>29</v>
      </c>
      <c r="F355" s="13" t="s">
        <v>82</v>
      </c>
      <c r="G355" s="13" t="s">
        <v>83</v>
      </c>
      <c r="H355" s="13" t="s">
        <v>77</v>
      </c>
      <c r="I355" s="13" t="s">
        <v>33</v>
      </c>
      <c r="J355" s="13">
        <v>5</v>
      </c>
      <c r="K355" s="13">
        <v>50.31</v>
      </c>
      <c r="L355" s="13">
        <v>0.15</v>
      </c>
      <c r="M355" s="13">
        <v>213.82</v>
      </c>
      <c r="N355" s="13">
        <v>156.95</v>
      </c>
      <c r="O355" s="13">
        <v>56.87</v>
      </c>
      <c r="P355" s="13">
        <v>2.6</v>
      </c>
      <c r="Q355" s="13" t="s">
        <v>47</v>
      </c>
      <c r="R355" s="13">
        <v>2025</v>
      </c>
      <c r="S355" s="15" t="str">
        <f t="shared" si="30"/>
        <v>Low Profit</v>
      </c>
      <c r="T355" s="15" t="str">
        <f t="shared" si="31"/>
        <v>Low Sales</v>
      </c>
      <c r="U355" s="15" t="str">
        <f t="shared" si="32"/>
        <v>Needs Improvement</v>
      </c>
      <c r="V355" s="15" t="str">
        <f t="shared" si="33"/>
        <v>High Discount</v>
      </c>
      <c r="W355" s="15">
        <f>VLOOKUP(D355,Lookup_Table!$A:$C,2,FALSE)</f>
        <v>0.2</v>
      </c>
      <c r="X355" s="15">
        <f t="shared" si="34"/>
        <v>0.265971377794406</v>
      </c>
      <c r="Y355" s="15" t="str">
        <f>VLOOKUP(D355,Lookup_Table!A:C,3,0)</f>
        <v>Sneha</v>
      </c>
      <c r="Z355" s="15" t="str">
        <f t="shared" si="35"/>
        <v>Achived</v>
      </c>
    </row>
    <row r="356" spans="1:26">
      <c r="A356" s="13" t="s">
        <v>447</v>
      </c>
      <c r="B356" s="14">
        <v>45984</v>
      </c>
      <c r="C356" s="13" t="s">
        <v>27</v>
      </c>
      <c r="D356" s="13" t="s">
        <v>60</v>
      </c>
      <c r="E356" s="13" t="s">
        <v>127</v>
      </c>
      <c r="F356" s="13" t="s">
        <v>75</v>
      </c>
      <c r="G356" s="13" t="s">
        <v>76</v>
      </c>
      <c r="H356" s="13" t="s">
        <v>77</v>
      </c>
      <c r="I356" s="13" t="s">
        <v>52</v>
      </c>
      <c r="J356" s="13">
        <v>2</v>
      </c>
      <c r="K356" s="13">
        <v>803.42</v>
      </c>
      <c r="L356" s="13">
        <v>0.1</v>
      </c>
      <c r="M356" s="13">
        <v>1446.16</v>
      </c>
      <c r="N356" s="13">
        <v>1061.41</v>
      </c>
      <c r="O356" s="13">
        <v>384.75</v>
      </c>
      <c r="P356" s="13">
        <v>4.3</v>
      </c>
      <c r="Q356" s="13" t="s">
        <v>71</v>
      </c>
      <c r="R356" s="13">
        <v>2025</v>
      </c>
      <c r="S356" s="15" t="str">
        <f t="shared" si="30"/>
        <v>Low Profit</v>
      </c>
      <c r="T356" s="15" t="str">
        <f t="shared" si="31"/>
        <v>High Sales</v>
      </c>
      <c r="U356" s="15" t="str">
        <f t="shared" si="32"/>
        <v>Good</v>
      </c>
      <c r="V356" s="15" t="str">
        <f t="shared" si="33"/>
        <v>Normal Discount</v>
      </c>
      <c r="W356" s="15">
        <f>VLOOKUP(D356,Lookup_Table!$A:$C,2,FALSE)</f>
        <v>0.15</v>
      </c>
      <c r="X356" s="15">
        <f t="shared" si="34"/>
        <v>0.266049399789788</v>
      </c>
      <c r="Y356" s="15" t="str">
        <f>VLOOKUP(D356,Lookup_Table!A:C,3,0)</f>
        <v>Priya</v>
      </c>
      <c r="Z356" s="15" t="str">
        <f t="shared" si="35"/>
        <v>Achived</v>
      </c>
    </row>
    <row r="357" spans="1:26">
      <c r="A357" s="13" t="s">
        <v>448</v>
      </c>
      <c r="B357" s="14">
        <v>45973</v>
      </c>
      <c r="C357" s="13" t="s">
        <v>55</v>
      </c>
      <c r="D357" s="13" t="s">
        <v>80</v>
      </c>
      <c r="E357" s="13" t="s">
        <v>81</v>
      </c>
      <c r="F357" s="13" t="s">
        <v>116</v>
      </c>
      <c r="G357" s="13" t="s">
        <v>117</v>
      </c>
      <c r="H357" s="13" t="s">
        <v>32</v>
      </c>
      <c r="I357" s="13" t="s">
        <v>46</v>
      </c>
      <c r="J357" s="13">
        <v>3</v>
      </c>
      <c r="K357" s="13">
        <v>41.2</v>
      </c>
      <c r="L357" s="13">
        <v>0.2</v>
      </c>
      <c r="M357" s="13">
        <v>98.88</v>
      </c>
      <c r="N357" s="13">
        <v>72.56</v>
      </c>
      <c r="O357" s="13">
        <v>26.32</v>
      </c>
      <c r="P357" s="13">
        <v>2.6</v>
      </c>
      <c r="Q357" s="13" t="s">
        <v>71</v>
      </c>
      <c r="R357" s="13">
        <v>2025</v>
      </c>
      <c r="S357" s="15" t="str">
        <f t="shared" si="30"/>
        <v>Low Profit</v>
      </c>
      <c r="T357" s="15" t="str">
        <f t="shared" si="31"/>
        <v>Low Sales</v>
      </c>
      <c r="U357" s="15" t="str">
        <f t="shared" si="32"/>
        <v>Needs Improvement</v>
      </c>
      <c r="V357" s="15" t="str">
        <f t="shared" si="33"/>
        <v>High Discount</v>
      </c>
      <c r="W357" s="15">
        <f>VLOOKUP(D357,Lookup_Table!$A:$C,2,FALSE)</f>
        <v>0.12</v>
      </c>
      <c r="X357" s="15">
        <f t="shared" si="34"/>
        <v>0.266181229773463</v>
      </c>
      <c r="Y357" s="15" t="str">
        <f>VLOOKUP(D357,Lookup_Table!A:C,3,0)</f>
        <v>Rahul</v>
      </c>
      <c r="Z357" s="15" t="str">
        <f t="shared" si="35"/>
        <v>Achived</v>
      </c>
    </row>
    <row r="358" spans="1:26">
      <c r="A358" s="13" t="s">
        <v>449</v>
      </c>
      <c r="B358" s="14">
        <v>45677</v>
      </c>
      <c r="C358" s="13" t="s">
        <v>27</v>
      </c>
      <c r="D358" s="13" t="s">
        <v>44</v>
      </c>
      <c r="E358" s="13" t="s">
        <v>143</v>
      </c>
      <c r="F358" s="13" t="s">
        <v>67</v>
      </c>
      <c r="G358" s="13" t="s">
        <v>68</v>
      </c>
      <c r="H358" s="13" t="s">
        <v>69</v>
      </c>
      <c r="I358" s="13" t="s">
        <v>96</v>
      </c>
      <c r="J358" s="13">
        <v>3</v>
      </c>
      <c r="K358" s="13">
        <v>624.42</v>
      </c>
      <c r="L358" s="13">
        <v>0.15</v>
      </c>
      <c r="M358" s="13">
        <v>1592.27</v>
      </c>
      <c r="N358" s="13">
        <v>1167.92</v>
      </c>
      <c r="O358" s="13">
        <v>424.35</v>
      </c>
      <c r="P358" s="13">
        <v>3.8</v>
      </c>
      <c r="Q358" s="13" t="s">
        <v>64</v>
      </c>
      <c r="R358" s="13">
        <v>2025</v>
      </c>
      <c r="S358" s="15" t="str">
        <f t="shared" si="30"/>
        <v>Low Profit</v>
      </c>
      <c r="T358" s="15" t="str">
        <f t="shared" si="31"/>
        <v>High Sales</v>
      </c>
      <c r="U358" s="15" t="str">
        <f t="shared" si="32"/>
        <v>Needs Improvement</v>
      </c>
      <c r="V358" s="15" t="str">
        <f t="shared" si="33"/>
        <v>High Discount</v>
      </c>
      <c r="W358" s="15">
        <f>VLOOKUP(D358,Lookup_Table!$A:$C,2,FALSE)</f>
        <v>0.18</v>
      </c>
      <c r="X358" s="15">
        <f t="shared" si="34"/>
        <v>0.26650630860344</v>
      </c>
      <c r="Y358" s="15" t="str">
        <f>VLOOKUP(D358,Lookup_Table!A:C,3,0)</f>
        <v>Amit</v>
      </c>
      <c r="Z358" s="15" t="str">
        <f t="shared" si="35"/>
        <v>Achived</v>
      </c>
    </row>
    <row r="359" spans="1:26">
      <c r="A359" s="13" t="s">
        <v>450</v>
      </c>
      <c r="B359" s="14">
        <v>45953</v>
      </c>
      <c r="C359" s="13" t="s">
        <v>55</v>
      </c>
      <c r="D359" s="13" t="s">
        <v>28</v>
      </c>
      <c r="E359" s="13" t="s">
        <v>90</v>
      </c>
      <c r="F359" s="13" t="s">
        <v>116</v>
      </c>
      <c r="G359" s="13" t="s">
        <v>117</v>
      </c>
      <c r="H359" s="13" t="s">
        <v>32</v>
      </c>
      <c r="I359" s="13" t="s">
        <v>46</v>
      </c>
      <c r="J359" s="13">
        <v>6</v>
      </c>
      <c r="K359" s="13">
        <v>126.17</v>
      </c>
      <c r="L359" s="13">
        <v>0.1</v>
      </c>
      <c r="M359" s="13">
        <v>681.32</v>
      </c>
      <c r="N359" s="13">
        <v>499.3</v>
      </c>
      <c r="O359" s="13">
        <v>182.02</v>
      </c>
      <c r="P359" s="13">
        <v>3.3</v>
      </c>
      <c r="Q359" s="13" t="s">
        <v>87</v>
      </c>
      <c r="R359" s="13">
        <v>2025</v>
      </c>
      <c r="S359" s="15" t="str">
        <f t="shared" si="30"/>
        <v>Low Profit</v>
      </c>
      <c r="T359" s="15" t="str">
        <f t="shared" si="31"/>
        <v>Low Sales</v>
      </c>
      <c r="U359" s="15" t="str">
        <f t="shared" si="32"/>
        <v>Needs Improvement</v>
      </c>
      <c r="V359" s="15" t="str">
        <f t="shared" si="33"/>
        <v>Normal Discount</v>
      </c>
      <c r="W359" s="15">
        <f>VLOOKUP(D359,Lookup_Table!$A:$C,2,FALSE)</f>
        <v>0.2</v>
      </c>
      <c r="X359" s="15">
        <f t="shared" si="34"/>
        <v>0.267157870017026</v>
      </c>
      <c r="Y359" s="15" t="str">
        <f>VLOOKUP(D359,Lookup_Table!A:C,3,0)</f>
        <v>Sneha</v>
      </c>
      <c r="Z359" s="15" t="str">
        <f t="shared" si="35"/>
        <v>Achived</v>
      </c>
    </row>
    <row r="360" spans="1:26">
      <c r="A360" s="13" t="s">
        <v>451</v>
      </c>
      <c r="B360" s="14">
        <v>45662</v>
      </c>
      <c r="C360" s="13" t="s">
        <v>27</v>
      </c>
      <c r="D360" s="13" t="s">
        <v>28</v>
      </c>
      <c r="E360" s="13" t="s">
        <v>29</v>
      </c>
      <c r="F360" s="13" t="s">
        <v>98</v>
      </c>
      <c r="G360" s="13" t="s">
        <v>99</v>
      </c>
      <c r="H360" s="13" t="s">
        <v>77</v>
      </c>
      <c r="I360" s="13" t="s">
        <v>52</v>
      </c>
      <c r="J360" s="13">
        <v>4</v>
      </c>
      <c r="K360" s="13">
        <v>28.3</v>
      </c>
      <c r="L360" s="13">
        <v>0.1</v>
      </c>
      <c r="M360" s="13">
        <v>101.88</v>
      </c>
      <c r="N360" s="13">
        <v>74.61</v>
      </c>
      <c r="O360" s="13">
        <v>27.27</v>
      </c>
      <c r="P360" s="13">
        <v>4.1</v>
      </c>
      <c r="Q360" s="13" t="s">
        <v>64</v>
      </c>
      <c r="R360" s="13">
        <v>2025</v>
      </c>
      <c r="S360" s="15" t="str">
        <f t="shared" si="30"/>
        <v>Low Profit</v>
      </c>
      <c r="T360" s="15" t="str">
        <f t="shared" si="31"/>
        <v>Low Sales</v>
      </c>
      <c r="U360" s="15" t="str">
        <f t="shared" si="32"/>
        <v>Good</v>
      </c>
      <c r="V360" s="15" t="str">
        <f t="shared" si="33"/>
        <v>Normal Discount</v>
      </c>
      <c r="W360" s="15">
        <f>VLOOKUP(D360,Lookup_Table!$A:$C,2,FALSE)</f>
        <v>0.2</v>
      </c>
      <c r="X360" s="15">
        <f t="shared" si="34"/>
        <v>0.267667844522968</v>
      </c>
      <c r="Y360" s="15" t="str">
        <f>VLOOKUP(D360,Lookup_Table!A:C,3,0)</f>
        <v>Sneha</v>
      </c>
      <c r="Z360" s="15" t="str">
        <f t="shared" si="35"/>
        <v>Achived</v>
      </c>
    </row>
    <row r="361" spans="1:26">
      <c r="A361" s="13" t="s">
        <v>452</v>
      </c>
      <c r="B361" s="14">
        <v>45856</v>
      </c>
      <c r="C361" s="13" t="s">
        <v>36</v>
      </c>
      <c r="D361" s="13" t="s">
        <v>28</v>
      </c>
      <c r="E361" s="13" t="s">
        <v>90</v>
      </c>
      <c r="F361" s="13" t="s">
        <v>116</v>
      </c>
      <c r="G361" s="13" t="s">
        <v>117</v>
      </c>
      <c r="H361" s="13" t="s">
        <v>32</v>
      </c>
      <c r="I361" s="13" t="s">
        <v>33</v>
      </c>
      <c r="J361" s="13">
        <v>1</v>
      </c>
      <c r="K361" s="13">
        <v>137.37</v>
      </c>
      <c r="L361" s="13">
        <v>0.15</v>
      </c>
      <c r="M361" s="13">
        <v>116.76</v>
      </c>
      <c r="N361" s="13">
        <v>85.47</v>
      </c>
      <c r="O361" s="13">
        <v>31.29</v>
      </c>
      <c r="P361" s="13">
        <v>4.8</v>
      </c>
      <c r="Q361" s="13" t="s">
        <v>56</v>
      </c>
      <c r="R361" s="13">
        <v>2025</v>
      </c>
      <c r="S361" s="15" t="str">
        <f t="shared" si="30"/>
        <v>Low Profit</v>
      </c>
      <c r="T361" s="15" t="str">
        <f t="shared" si="31"/>
        <v>Low Sales</v>
      </c>
      <c r="U361" s="15" t="str">
        <f t="shared" si="32"/>
        <v>Good</v>
      </c>
      <c r="V361" s="15" t="str">
        <f t="shared" si="33"/>
        <v>High Discount</v>
      </c>
      <c r="W361" s="15">
        <f>VLOOKUP(D361,Lookup_Table!$A:$C,2,FALSE)</f>
        <v>0.2</v>
      </c>
      <c r="X361" s="15">
        <f t="shared" si="34"/>
        <v>0.267985611510791</v>
      </c>
      <c r="Y361" s="15" t="str">
        <f>VLOOKUP(D361,Lookup_Table!A:C,3,0)</f>
        <v>Sneha</v>
      </c>
      <c r="Z361" s="15" t="str">
        <f t="shared" si="35"/>
        <v>Achived</v>
      </c>
    </row>
    <row r="362" spans="1:26">
      <c r="A362" s="13" t="s">
        <v>453</v>
      </c>
      <c r="B362" s="14">
        <v>45717</v>
      </c>
      <c r="C362" s="13" t="s">
        <v>36</v>
      </c>
      <c r="D362" s="13" t="s">
        <v>60</v>
      </c>
      <c r="E362" s="13" t="s">
        <v>66</v>
      </c>
      <c r="F362" s="13" t="s">
        <v>111</v>
      </c>
      <c r="G362" s="13" t="s">
        <v>76</v>
      </c>
      <c r="H362" s="13" t="s">
        <v>77</v>
      </c>
      <c r="I362" s="13" t="s">
        <v>46</v>
      </c>
      <c r="J362" s="13">
        <v>2</v>
      </c>
      <c r="K362" s="13">
        <v>419.97</v>
      </c>
      <c r="L362" s="13">
        <v>0</v>
      </c>
      <c r="M362" s="13">
        <v>839.94</v>
      </c>
      <c r="N362" s="13">
        <v>614.67</v>
      </c>
      <c r="O362" s="13">
        <v>225.27</v>
      </c>
      <c r="P362" s="13">
        <v>2.6</v>
      </c>
      <c r="Q362" s="13" t="s">
        <v>94</v>
      </c>
      <c r="R362" s="13">
        <v>2025</v>
      </c>
      <c r="S362" s="15" t="str">
        <f t="shared" si="30"/>
        <v>Low Profit</v>
      </c>
      <c r="T362" s="15" t="str">
        <f t="shared" si="31"/>
        <v>Low Sales</v>
      </c>
      <c r="U362" s="15" t="str">
        <f t="shared" si="32"/>
        <v>Needs Improvement</v>
      </c>
      <c r="V362" s="15" t="str">
        <f t="shared" si="33"/>
        <v>Normal Discount</v>
      </c>
      <c r="W362" s="15">
        <f>VLOOKUP(D362,Lookup_Table!$A:$C,2,FALSE)</f>
        <v>0.15</v>
      </c>
      <c r="X362" s="15">
        <f t="shared" si="34"/>
        <v>0.268197728409172</v>
      </c>
      <c r="Y362" s="15" t="str">
        <f>VLOOKUP(D362,Lookup_Table!A:C,3,0)</f>
        <v>Priya</v>
      </c>
      <c r="Z362" s="15" t="str">
        <f t="shared" si="35"/>
        <v>Achived</v>
      </c>
    </row>
    <row r="363" spans="1:26">
      <c r="A363" s="13" t="s">
        <v>454</v>
      </c>
      <c r="B363" s="14">
        <v>45813</v>
      </c>
      <c r="C363" s="13" t="s">
        <v>27</v>
      </c>
      <c r="D363" s="13" t="s">
        <v>80</v>
      </c>
      <c r="E363" s="13" t="s">
        <v>101</v>
      </c>
      <c r="F363" s="13" t="s">
        <v>98</v>
      </c>
      <c r="G363" s="13" t="s">
        <v>99</v>
      </c>
      <c r="H363" s="13" t="s">
        <v>77</v>
      </c>
      <c r="I363" s="13" t="s">
        <v>52</v>
      </c>
      <c r="J363" s="13">
        <v>3</v>
      </c>
      <c r="K363" s="13">
        <v>22.06</v>
      </c>
      <c r="L363" s="13">
        <v>0.05</v>
      </c>
      <c r="M363" s="13">
        <v>62.87</v>
      </c>
      <c r="N363" s="13">
        <v>46</v>
      </c>
      <c r="O363" s="13">
        <v>16.87</v>
      </c>
      <c r="P363" s="13">
        <v>3.8</v>
      </c>
      <c r="Q363" s="13" t="s">
        <v>58</v>
      </c>
      <c r="R363" s="13">
        <v>2025</v>
      </c>
      <c r="S363" s="15" t="str">
        <f t="shared" si="30"/>
        <v>Low Profit</v>
      </c>
      <c r="T363" s="15" t="str">
        <f t="shared" si="31"/>
        <v>Low Sales</v>
      </c>
      <c r="U363" s="15" t="str">
        <f t="shared" si="32"/>
        <v>Needs Improvement</v>
      </c>
      <c r="V363" s="15" t="str">
        <f t="shared" si="33"/>
        <v>Normal Discount</v>
      </c>
      <c r="W363" s="15">
        <f>VLOOKUP(D363,Lookup_Table!$A:$C,2,FALSE)</f>
        <v>0.12</v>
      </c>
      <c r="X363" s="15">
        <f t="shared" si="34"/>
        <v>0.268331477652298</v>
      </c>
      <c r="Y363" s="15" t="str">
        <f>VLOOKUP(D363,Lookup_Table!A:C,3,0)</f>
        <v>Rahul</v>
      </c>
      <c r="Z363" s="15" t="str">
        <f t="shared" si="35"/>
        <v>Achived</v>
      </c>
    </row>
    <row r="364" spans="1:26">
      <c r="A364" s="13" t="s">
        <v>455</v>
      </c>
      <c r="B364" s="14">
        <v>45798</v>
      </c>
      <c r="C364" s="13" t="s">
        <v>55</v>
      </c>
      <c r="D364" s="13" t="s">
        <v>80</v>
      </c>
      <c r="E364" s="13" t="s">
        <v>81</v>
      </c>
      <c r="F364" s="13" t="s">
        <v>116</v>
      </c>
      <c r="G364" s="13" t="s">
        <v>117</v>
      </c>
      <c r="H364" s="13" t="s">
        <v>32</v>
      </c>
      <c r="I364" s="13" t="s">
        <v>33</v>
      </c>
      <c r="J364" s="13">
        <v>7</v>
      </c>
      <c r="K364" s="13">
        <v>53.43</v>
      </c>
      <c r="L364" s="13">
        <v>0</v>
      </c>
      <c r="M364" s="13">
        <v>374.01</v>
      </c>
      <c r="N364" s="13">
        <v>273.6</v>
      </c>
      <c r="O364" s="13">
        <v>100.41</v>
      </c>
      <c r="P364" s="13">
        <v>3.4</v>
      </c>
      <c r="Q364" s="13" t="s">
        <v>42</v>
      </c>
      <c r="R364" s="13">
        <v>2025</v>
      </c>
      <c r="S364" s="15" t="str">
        <f t="shared" si="30"/>
        <v>Low Profit</v>
      </c>
      <c r="T364" s="15" t="str">
        <f t="shared" si="31"/>
        <v>Low Sales</v>
      </c>
      <c r="U364" s="15" t="str">
        <f t="shared" si="32"/>
        <v>Needs Improvement</v>
      </c>
      <c r="V364" s="15" t="str">
        <f t="shared" si="33"/>
        <v>Normal Discount</v>
      </c>
      <c r="W364" s="15">
        <f>VLOOKUP(D364,Lookup_Table!$A:$C,2,FALSE)</f>
        <v>0.12</v>
      </c>
      <c r="X364" s="15">
        <f t="shared" si="34"/>
        <v>0.268468757519852</v>
      </c>
      <c r="Y364" s="15" t="str">
        <f>VLOOKUP(D364,Lookup_Table!A:C,3,0)</f>
        <v>Rahul</v>
      </c>
      <c r="Z364" s="15" t="str">
        <f t="shared" si="35"/>
        <v>Achived</v>
      </c>
    </row>
    <row r="365" spans="1:26">
      <c r="A365" s="13" t="s">
        <v>456</v>
      </c>
      <c r="B365" s="14">
        <v>46021</v>
      </c>
      <c r="C365" s="13" t="s">
        <v>55</v>
      </c>
      <c r="D365" s="13" t="s">
        <v>28</v>
      </c>
      <c r="E365" s="13" t="s">
        <v>90</v>
      </c>
      <c r="F365" s="13" t="s">
        <v>75</v>
      </c>
      <c r="G365" s="13" t="s">
        <v>76</v>
      </c>
      <c r="H365" s="13" t="s">
        <v>77</v>
      </c>
      <c r="I365" s="13" t="s">
        <v>33</v>
      </c>
      <c r="J365" s="13">
        <v>2</v>
      </c>
      <c r="K365" s="13">
        <v>17.18</v>
      </c>
      <c r="L365" s="13">
        <v>0.15</v>
      </c>
      <c r="M365" s="13">
        <v>29.21</v>
      </c>
      <c r="N365" s="13">
        <v>21.36</v>
      </c>
      <c r="O365" s="13">
        <v>7.85</v>
      </c>
      <c r="P365" s="13">
        <v>4.4</v>
      </c>
      <c r="Q365" s="13" t="s">
        <v>34</v>
      </c>
      <c r="R365" s="13">
        <v>2025</v>
      </c>
      <c r="S365" s="15" t="str">
        <f t="shared" si="30"/>
        <v>Low Profit</v>
      </c>
      <c r="T365" s="15" t="str">
        <f t="shared" si="31"/>
        <v>Low Sales</v>
      </c>
      <c r="U365" s="15" t="str">
        <f t="shared" si="32"/>
        <v>Good</v>
      </c>
      <c r="V365" s="15" t="str">
        <f t="shared" si="33"/>
        <v>High Discount</v>
      </c>
      <c r="W365" s="15">
        <f>VLOOKUP(D365,Lookup_Table!$A:$C,2,FALSE)</f>
        <v>0.2</v>
      </c>
      <c r="X365" s="15">
        <f t="shared" si="34"/>
        <v>0.268743580965423</v>
      </c>
      <c r="Y365" s="15" t="str">
        <f>VLOOKUP(D365,Lookup_Table!A:C,3,0)</f>
        <v>Sneha</v>
      </c>
      <c r="Z365" s="15" t="str">
        <f t="shared" si="35"/>
        <v>Achived</v>
      </c>
    </row>
    <row r="366" spans="1:26">
      <c r="A366" s="13" t="s">
        <v>457</v>
      </c>
      <c r="B366" s="14">
        <v>45945</v>
      </c>
      <c r="C366" s="13" t="s">
        <v>27</v>
      </c>
      <c r="D366" s="13" t="s">
        <v>44</v>
      </c>
      <c r="E366" s="13" t="s">
        <v>45</v>
      </c>
      <c r="F366" s="13" t="s">
        <v>39</v>
      </c>
      <c r="G366" s="13" t="s">
        <v>40</v>
      </c>
      <c r="H366" s="13" t="s">
        <v>41</v>
      </c>
      <c r="I366" s="13" t="s">
        <v>52</v>
      </c>
      <c r="J366" s="13">
        <v>1</v>
      </c>
      <c r="K366" s="13">
        <v>945.93</v>
      </c>
      <c r="L366" s="13">
        <v>0.05</v>
      </c>
      <c r="M366" s="13">
        <v>898.63</v>
      </c>
      <c r="N366" s="13">
        <v>657.08</v>
      </c>
      <c r="O366" s="13">
        <v>241.55</v>
      </c>
      <c r="P366" s="13">
        <v>3.6</v>
      </c>
      <c r="Q366" s="13" t="s">
        <v>87</v>
      </c>
      <c r="R366" s="13">
        <v>2025</v>
      </c>
      <c r="S366" s="15" t="str">
        <f t="shared" si="30"/>
        <v>Low Profit</v>
      </c>
      <c r="T366" s="15" t="str">
        <f t="shared" si="31"/>
        <v>Low Sales</v>
      </c>
      <c r="U366" s="15" t="str">
        <f t="shared" si="32"/>
        <v>Needs Improvement</v>
      </c>
      <c r="V366" s="15" t="str">
        <f t="shared" si="33"/>
        <v>Normal Discount</v>
      </c>
      <c r="W366" s="15">
        <f>VLOOKUP(D366,Lookup_Table!$A:$C,2,FALSE)</f>
        <v>0.18</v>
      </c>
      <c r="X366" s="15">
        <f t="shared" si="34"/>
        <v>0.268798059267997</v>
      </c>
      <c r="Y366" s="15" t="str">
        <f>VLOOKUP(D366,Lookup_Table!A:C,3,0)</f>
        <v>Amit</v>
      </c>
      <c r="Z366" s="15" t="str">
        <f t="shared" si="35"/>
        <v>Achived</v>
      </c>
    </row>
    <row r="367" spans="1:26">
      <c r="A367" s="13" t="s">
        <v>458</v>
      </c>
      <c r="B367" s="14">
        <v>45841</v>
      </c>
      <c r="C367" s="13" t="s">
        <v>27</v>
      </c>
      <c r="D367" s="13" t="s">
        <v>28</v>
      </c>
      <c r="E367" s="13" t="s">
        <v>90</v>
      </c>
      <c r="F367" s="13" t="s">
        <v>67</v>
      </c>
      <c r="G367" s="13" t="s">
        <v>68</v>
      </c>
      <c r="H367" s="13" t="s">
        <v>69</v>
      </c>
      <c r="I367" s="13" t="s">
        <v>33</v>
      </c>
      <c r="J367" s="13">
        <v>4</v>
      </c>
      <c r="K367" s="13">
        <v>37.31</v>
      </c>
      <c r="L367" s="13">
        <v>0</v>
      </c>
      <c r="M367" s="13">
        <v>149.24</v>
      </c>
      <c r="N367" s="13">
        <v>109.12</v>
      </c>
      <c r="O367" s="13">
        <v>40.12</v>
      </c>
      <c r="P367" s="13">
        <v>3.1</v>
      </c>
      <c r="Q367" s="13" t="s">
        <v>56</v>
      </c>
      <c r="R367" s="13">
        <v>2025</v>
      </c>
      <c r="S367" s="15" t="str">
        <f t="shared" si="30"/>
        <v>Low Profit</v>
      </c>
      <c r="T367" s="15" t="str">
        <f t="shared" si="31"/>
        <v>Low Sales</v>
      </c>
      <c r="U367" s="15" t="str">
        <f t="shared" si="32"/>
        <v>Needs Improvement</v>
      </c>
      <c r="V367" s="15" t="str">
        <f t="shared" si="33"/>
        <v>Normal Discount</v>
      </c>
      <c r="W367" s="15">
        <f>VLOOKUP(D367,Lookup_Table!$A:$C,2,FALSE)</f>
        <v>0.2</v>
      </c>
      <c r="X367" s="15">
        <f t="shared" si="34"/>
        <v>0.268828732243366</v>
      </c>
      <c r="Y367" s="15" t="str">
        <f>VLOOKUP(D367,Lookup_Table!A:C,3,0)</f>
        <v>Sneha</v>
      </c>
      <c r="Z367" s="15" t="str">
        <f t="shared" si="35"/>
        <v>Achived</v>
      </c>
    </row>
    <row r="368" spans="1:26">
      <c r="A368" s="13" t="s">
        <v>459</v>
      </c>
      <c r="B368" s="14">
        <v>45889</v>
      </c>
      <c r="C368" s="13" t="s">
        <v>27</v>
      </c>
      <c r="D368" s="13" t="s">
        <v>44</v>
      </c>
      <c r="E368" s="13" t="s">
        <v>45</v>
      </c>
      <c r="F368" s="13" t="s">
        <v>50</v>
      </c>
      <c r="G368" s="13" t="s">
        <v>51</v>
      </c>
      <c r="H368" s="13" t="s">
        <v>32</v>
      </c>
      <c r="I368" s="13" t="s">
        <v>33</v>
      </c>
      <c r="J368" s="13">
        <v>2</v>
      </c>
      <c r="K368" s="13">
        <v>1376.79</v>
      </c>
      <c r="L368" s="13">
        <v>0</v>
      </c>
      <c r="M368" s="13">
        <v>2753.58</v>
      </c>
      <c r="N368" s="13">
        <v>2013.22</v>
      </c>
      <c r="O368" s="13">
        <v>740.36</v>
      </c>
      <c r="P368" s="13">
        <v>4</v>
      </c>
      <c r="Q368" s="13" t="s">
        <v>47</v>
      </c>
      <c r="R368" s="13">
        <v>2025</v>
      </c>
      <c r="S368" s="15" t="str">
        <f t="shared" si="30"/>
        <v>High Profit</v>
      </c>
      <c r="T368" s="15" t="str">
        <f t="shared" si="31"/>
        <v>High Sales</v>
      </c>
      <c r="U368" s="15" t="str">
        <f t="shared" si="32"/>
        <v>Good</v>
      </c>
      <c r="V368" s="15" t="str">
        <f t="shared" si="33"/>
        <v>Normal Discount</v>
      </c>
      <c r="W368" s="15">
        <f>VLOOKUP(D368,Lookup_Table!$A:$C,2,FALSE)</f>
        <v>0.18</v>
      </c>
      <c r="X368" s="15">
        <f t="shared" si="34"/>
        <v>0.268871795989221</v>
      </c>
      <c r="Y368" s="15" t="str">
        <f>VLOOKUP(D368,Lookup_Table!A:C,3,0)</f>
        <v>Amit</v>
      </c>
      <c r="Z368" s="15" t="str">
        <f t="shared" si="35"/>
        <v>Achived</v>
      </c>
    </row>
    <row r="369" spans="1:26">
      <c r="A369" s="13" t="s">
        <v>460</v>
      </c>
      <c r="B369" s="14">
        <v>45918</v>
      </c>
      <c r="C369" s="13" t="s">
        <v>55</v>
      </c>
      <c r="D369" s="13" t="s">
        <v>37</v>
      </c>
      <c r="E369" s="13" t="s">
        <v>109</v>
      </c>
      <c r="F369" s="13" t="s">
        <v>50</v>
      </c>
      <c r="G369" s="13" t="s">
        <v>51</v>
      </c>
      <c r="H369" s="13" t="s">
        <v>32</v>
      </c>
      <c r="I369" s="13" t="s">
        <v>52</v>
      </c>
      <c r="J369" s="13">
        <v>3</v>
      </c>
      <c r="K369" s="13">
        <v>287.59</v>
      </c>
      <c r="L369" s="13">
        <v>0</v>
      </c>
      <c r="M369" s="13">
        <v>862.77</v>
      </c>
      <c r="N369" s="13">
        <v>630.66</v>
      </c>
      <c r="O369" s="13">
        <v>232.11</v>
      </c>
      <c r="P369" s="13">
        <v>3.1</v>
      </c>
      <c r="Q369" s="13" t="s">
        <v>53</v>
      </c>
      <c r="R369" s="13">
        <v>2025</v>
      </c>
      <c r="S369" s="15" t="str">
        <f t="shared" si="30"/>
        <v>Low Profit</v>
      </c>
      <c r="T369" s="15" t="str">
        <f t="shared" si="31"/>
        <v>Low Sales</v>
      </c>
      <c r="U369" s="15" t="str">
        <f t="shared" si="32"/>
        <v>Needs Improvement</v>
      </c>
      <c r="V369" s="15" t="str">
        <f t="shared" si="33"/>
        <v>Normal Discount</v>
      </c>
      <c r="W369" s="15">
        <f>VLOOKUP(D369,Lookup_Table!$A:$C,2,FALSE)</f>
        <v>0.16</v>
      </c>
      <c r="X369" s="15">
        <f t="shared" si="34"/>
        <v>0.269028825758893</v>
      </c>
      <c r="Y369" s="15" t="str">
        <f>VLOOKUP(D369,Lookup_Table!A:C,3,0)</f>
        <v>Vikram</v>
      </c>
      <c r="Z369" s="15" t="str">
        <f t="shared" si="35"/>
        <v>Achived</v>
      </c>
    </row>
    <row r="370" spans="1:26">
      <c r="A370" s="13" t="s">
        <v>461</v>
      </c>
      <c r="B370" s="14">
        <v>45970</v>
      </c>
      <c r="C370" s="13" t="s">
        <v>36</v>
      </c>
      <c r="D370" s="13" t="s">
        <v>28</v>
      </c>
      <c r="E370" s="13" t="s">
        <v>73</v>
      </c>
      <c r="F370" s="13" t="s">
        <v>98</v>
      </c>
      <c r="G370" s="13" t="s">
        <v>99</v>
      </c>
      <c r="H370" s="13" t="s">
        <v>77</v>
      </c>
      <c r="I370" s="13" t="s">
        <v>52</v>
      </c>
      <c r="J370" s="13">
        <v>5</v>
      </c>
      <c r="K370" s="13">
        <v>27.67</v>
      </c>
      <c r="L370" s="13">
        <v>0</v>
      </c>
      <c r="M370" s="13">
        <v>138.35</v>
      </c>
      <c r="N370" s="13">
        <v>101.07</v>
      </c>
      <c r="O370" s="13">
        <v>37.28</v>
      </c>
      <c r="P370" s="13">
        <v>4.1</v>
      </c>
      <c r="Q370" s="13" t="s">
        <v>71</v>
      </c>
      <c r="R370" s="13">
        <v>2025</v>
      </c>
      <c r="S370" s="15" t="str">
        <f t="shared" si="30"/>
        <v>Low Profit</v>
      </c>
      <c r="T370" s="15" t="str">
        <f t="shared" si="31"/>
        <v>Low Sales</v>
      </c>
      <c r="U370" s="15" t="str">
        <f t="shared" si="32"/>
        <v>Good</v>
      </c>
      <c r="V370" s="15" t="str">
        <f t="shared" si="33"/>
        <v>Normal Discount</v>
      </c>
      <c r="W370" s="15">
        <f>VLOOKUP(D370,Lookup_Table!$A:$C,2,FALSE)</f>
        <v>0.2</v>
      </c>
      <c r="X370" s="15">
        <f t="shared" si="34"/>
        <v>0.269461510661366</v>
      </c>
      <c r="Y370" s="15" t="str">
        <f>VLOOKUP(D370,Lookup_Table!A:C,3,0)</f>
        <v>Sneha</v>
      </c>
      <c r="Z370" s="15" t="str">
        <f t="shared" si="35"/>
        <v>Achived</v>
      </c>
    </row>
    <row r="371" spans="1:26">
      <c r="A371" s="13" t="s">
        <v>462</v>
      </c>
      <c r="B371" s="14">
        <v>45947</v>
      </c>
      <c r="C371" s="13" t="s">
        <v>27</v>
      </c>
      <c r="D371" s="13" t="s">
        <v>28</v>
      </c>
      <c r="E371" s="13" t="s">
        <v>29</v>
      </c>
      <c r="F371" s="13" t="s">
        <v>111</v>
      </c>
      <c r="G371" s="13" t="s">
        <v>76</v>
      </c>
      <c r="H371" s="13" t="s">
        <v>77</v>
      </c>
      <c r="I371" s="13" t="s">
        <v>52</v>
      </c>
      <c r="J371" s="13">
        <v>2</v>
      </c>
      <c r="K371" s="13">
        <v>96.88</v>
      </c>
      <c r="L371" s="13">
        <v>0.15</v>
      </c>
      <c r="M371" s="13">
        <v>164.7</v>
      </c>
      <c r="N371" s="13">
        <v>120.28</v>
      </c>
      <c r="O371" s="13">
        <v>44.42</v>
      </c>
      <c r="P371" s="13">
        <v>2.5</v>
      </c>
      <c r="Q371" s="13" t="s">
        <v>87</v>
      </c>
      <c r="R371" s="13">
        <v>2025</v>
      </c>
      <c r="S371" s="15" t="str">
        <f t="shared" si="30"/>
        <v>Low Profit</v>
      </c>
      <c r="T371" s="15" t="str">
        <f t="shared" si="31"/>
        <v>Low Sales</v>
      </c>
      <c r="U371" s="15" t="str">
        <f t="shared" si="32"/>
        <v>Needs Improvement</v>
      </c>
      <c r="V371" s="15" t="str">
        <f t="shared" si="33"/>
        <v>High Discount</v>
      </c>
      <c r="W371" s="15">
        <f>VLOOKUP(D371,Lookup_Table!$A:$C,2,FALSE)</f>
        <v>0.2</v>
      </c>
      <c r="X371" s="15">
        <f t="shared" si="34"/>
        <v>0.269702489374621</v>
      </c>
      <c r="Y371" s="15" t="str">
        <f>VLOOKUP(D371,Lookup_Table!A:C,3,0)</f>
        <v>Sneha</v>
      </c>
      <c r="Z371" s="15" t="str">
        <f t="shared" si="35"/>
        <v>Achived</v>
      </c>
    </row>
    <row r="372" spans="1:26">
      <c r="A372" s="13" t="s">
        <v>463</v>
      </c>
      <c r="B372" s="14">
        <v>46016</v>
      </c>
      <c r="C372" s="13" t="s">
        <v>36</v>
      </c>
      <c r="D372" s="13" t="s">
        <v>60</v>
      </c>
      <c r="E372" s="13" t="s">
        <v>150</v>
      </c>
      <c r="F372" s="13" t="s">
        <v>75</v>
      </c>
      <c r="G372" s="13" t="s">
        <v>76</v>
      </c>
      <c r="H372" s="13" t="s">
        <v>77</v>
      </c>
      <c r="I372" s="13" t="s">
        <v>46</v>
      </c>
      <c r="J372" s="13">
        <v>1</v>
      </c>
      <c r="K372" s="13">
        <v>688.71</v>
      </c>
      <c r="L372" s="13">
        <v>0.2</v>
      </c>
      <c r="M372" s="13">
        <v>550.97</v>
      </c>
      <c r="N372" s="13">
        <v>402.11</v>
      </c>
      <c r="O372" s="13">
        <v>148.86</v>
      </c>
      <c r="P372" s="13">
        <v>3.8</v>
      </c>
      <c r="Q372" s="13" t="s">
        <v>34</v>
      </c>
      <c r="R372" s="13">
        <v>2025</v>
      </c>
      <c r="S372" s="15" t="str">
        <f t="shared" si="30"/>
        <v>Low Profit</v>
      </c>
      <c r="T372" s="15" t="str">
        <f t="shared" si="31"/>
        <v>Low Sales</v>
      </c>
      <c r="U372" s="15" t="str">
        <f t="shared" si="32"/>
        <v>Needs Improvement</v>
      </c>
      <c r="V372" s="15" t="str">
        <f t="shared" si="33"/>
        <v>High Discount</v>
      </c>
      <c r="W372" s="15">
        <f>VLOOKUP(D372,Lookup_Table!$A:$C,2,FALSE)</f>
        <v>0.15</v>
      </c>
      <c r="X372" s="15">
        <f t="shared" si="34"/>
        <v>0.270178049621576</v>
      </c>
      <c r="Y372" s="15" t="str">
        <f>VLOOKUP(D372,Lookup_Table!A:C,3,0)</f>
        <v>Priya</v>
      </c>
      <c r="Z372" s="15" t="str">
        <f t="shared" si="35"/>
        <v>Achived</v>
      </c>
    </row>
    <row r="373" spans="1:26">
      <c r="A373" s="13" t="s">
        <v>464</v>
      </c>
      <c r="B373" s="14">
        <v>46009</v>
      </c>
      <c r="C373" s="13" t="s">
        <v>36</v>
      </c>
      <c r="D373" s="13" t="s">
        <v>37</v>
      </c>
      <c r="E373" s="13" t="s">
        <v>109</v>
      </c>
      <c r="F373" s="13" t="s">
        <v>50</v>
      </c>
      <c r="G373" s="13" t="s">
        <v>51</v>
      </c>
      <c r="H373" s="13" t="s">
        <v>32</v>
      </c>
      <c r="I373" s="13" t="s">
        <v>52</v>
      </c>
      <c r="J373" s="13">
        <v>2</v>
      </c>
      <c r="K373" s="13">
        <v>132.81</v>
      </c>
      <c r="L373" s="13">
        <v>0.05</v>
      </c>
      <c r="M373" s="13">
        <v>252.34</v>
      </c>
      <c r="N373" s="13">
        <v>184.15</v>
      </c>
      <c r="O373" s="13">
        <v>68.19</v>
      </c>
      <c r="P373" s="13">
        <v>3.1</v>
      </c>
      <c r="Q373" s="13" t="s">
        <v>34</v>
      </c>
      <c r="R373" s="13">
        <v>2025</v>
      </c>
      <c r="S373" s="15" t="str">
        <f t="shared" si="30"/>
        <v>Low Profit</v>
      </c>
      <c r="T373" s="15" t="str">
        <f t="shared" si="31"/>
        <v>Low Sales</v>
      </c>
      <c r="U373" s="15" t="str">
        <f t="shared" si="32"/>
        <v>Needs Improvement</v>
      </c>
      <c r="V373" s="15" t="str">
        <f t="shared" si="33"/>
        <v>Normal Discount</v>
      </c>
      <c r="W373" s="15">
        <f>VLOOKUP(D373,Lookup_Table!$A:$C,2,FALSE)</f>
        <v>0.16</v>
      </c>
      <c r="X373" s="15">
        <f t="shared" si="34"/>
        <v>0.270230641198383</v>
      </c>
      <c r="Y373" s="15" t="str">
        <f>VLOOKUP(D373,Lookup_Table!A:C,3,0)</f>
        <v>Vikram</v>
      </c>
      <c r="Z373" s="15" t="str">
        <f t="shared" si="35"/>
        <v>Achived</v>
      </c>
    </row>
    <row r="374" spans="1:26">
      <c r="A374" s="13" t="s">
        <v>465</v>
      </c>
      <c r="B374" s="14">
        <v>45927</v>
      </c>
      <c r="C374" s="13" t="s">
        <v>55</v>
      </c>
      <c r="D374" s="13" t="s">
        <v>37</v>
      </c>
      <c r="E374" s="13" t="s">
        <v>109</v>
      </c>
      <c r="F374" s="13" t="s">
        <v>82</v>
      </c>
      <c r="G374" s="13" t="s">
        <v>83</v>
      </c>
      <c r="H374" s="13" t="s">
        <v>77</v>
      </c>
      <c r="I374" s="13" t="s">
        <v>52</v>
      </c>
      <c r="J374" s="13">
        <v>3</v>
      </c>
      <c r="K374" s="13">
        <v>387.67</v>
      </c>
      <c r="L374" s="13">
        <v>0.15</v>
      </c>
      <c r="M374" s="13">
        <v>988.56</v>
      </c>
      <c r="N374" s="13">
        <v>720.79</v>
      </c>
      <c r="O374" s="13">
        <v>267.77</v>
      </c>
      <c r="P374" s="13">
        <v>3.4</v>
      </c>
      <c r="Q374" s="13" t="s">
        <v>53</v>
      </c>
      <c r="R374" s="13">
        <v>2025</v>
      </c>
      <c r="S374" s="15" t="str">
        <f t="shared" si="30"/>
        <v>Low Profit</v>
      </c>
      <c r="T374" s="15" t="str">
        <f t="shared" si="31"/>
        <v>Low Sales</v>
      </c>
      <c r="U374" s="15" t="str">
        <f t="shared" si="32"/>
        <v>Needs Improvement</v>
      </c>
      <c r="V374" s="15" t="str">
        <f t="shared" si="33"/>
        <v>High Discount</v>
      </c>
      <c r="W374" s="15">
        <f>VLOOKUP(D374,Lookup_Table!$A:$C,2,FALSE)</f>
        <v>0.16</v>
      </c>
      <c r="X374" s="15">
        <f t="shared" si="34"/>
        <v>0.270868738366918</v>
      </c>
      <c r="Y374" s="15" t="str">
        <f>VLOOKUP(D374,Lookup_Table!A:C,3,0)</f>
        <v>Vikram</v>
      </c>
      <c r="Z374" s="15" t="str">
        <f t="shared" si="35"/>
        <v>Achived</v>
      </c>
    </row>
    <row r="375" spans="1:26">
      <c r="A375" s="13" t="s">
        <v>466</v>
      </c>
      <c r="B375" s="14">
        <v>45861</v>
      </c>
      <c r="C375" s="13" t="s">
        <v>27</v>
      </c>
      <c r="D375" s="13" t="s">
        <v>80</v>
      </c>
      <c r="E375" s="13" t="s">
        <v>101</v>
      </c>
      <c r="F375" s="13" t="s">
        <v>62</v>
      </c>
      <c r="G375" s="13" t="s">
        <v>63</v>
      </c>
      <c r="H375" s="13" t="s">
        <v>32</v>
      </c>
      <c r="I375" s="13" t="s">
        <v>52</v>
      </c>
      <c r="J375" s="13">
        <v>3</v>
      </c>
      <c r="K375" s="13">
        <v>12.47</v>
      </c>
      <c r="L375" s="13">
        <v>0.15</v>
      </c>
      <c r="M375" s="13">
        <v>31.8</v>
      </c>
      <c r="N375" s="13">
        <v>23.15</v>
      </c>
      <c r="O375" s="13">
        <v>8.65</v>
      </c>
      <c r="P375" s="13">
        <v>2.5</v>
      </c>
      <c r="Q375" s="13" t="s">
        <v>56</v>
      </c>
      <c r="R375" s="13">
        <v>2025</v>
      </c>
      <c r="S375" s="15" t="str">
        <f t="shared" si="30"/>
        <v>Low Profit</v>
      </c>
      <c r="T375" s="15" t="str">
        <f t="shared" si="31"/>
        <v>Low Sales</v>
      </c>
      <c r="U375" s="15" t="str">
        <f t="shared" si="32"/>
        <v>Needs Improvement</v>
      </c>
      <c r="V375" s="15" t="str">
        <f t="shared" si="33"/>
        <v>High Discount</v>
      </c>
      <c r="W375" s="15">
        <f>VLOOKUP(D375,Lookup_Table!$A:$C,2,FALSE)</f>
        <v>0.12</v>
      </c>
      <c r="X375" s="15">
        <f t="shared" si="34"/>
        <v>0.272012578616352</v>
      </c>
      <c r="Y375" s="15" t="str">
        <f>VLOOKUP(D375,Lookup_Table!A:C,3,0)</f>
        <v>Rahul</v>
      </c>
      <c r="Z375" s="15" t="str">
        <f t="shared" si="35"/>
        <v>Achived</v>
      </c>
    </row>
    <row r="376" spans="1:26">
      <c r="A376" s="13" t="s">
        <v>467</v>
      </c>
      <c r="B376" s="14">
        <v>45930</v>
      </c>
      <c r="C376" s="13" t="s">
        <v>27</v>
      </c>
      <c r="D376" s="13" t="s">
        <v>28</v>
      </c>
      <c r="E376" s="13" t="s">
        <v>90</v>
      </c>
      <c r="F376" s="13" t="s">
        <v>50</v>
      </c>
      <c r="G376" s="13" t="s">
        <v>51</v>
      </c>
      <c r="H376" s="13" t="s">
        <v>32</v>
      </c>
      <c r="I376" s="13" t="s">
        <v>33</v>
      </c>
      <c r="J376" s="13">
        <v>2</v>
      </c>
      <c r="K376" s="13">
        <v>127.62</v>
      </c>
      <c r="L376" s="13">
        <v>0.15</v>
      </c>
      <c r="M376" s="13">
        <v>216.95</v>
      </c>
      <c r="N376" s="13">
        <v>157.89</v>
      </c>
      <c r="O376" s="13">
        <v>59.06</v>
      </c>
      <c r="P376" s="13">
        <v>3.1</v>
      </c>
      <c r="Q376" s="13" t="s">
        <v>53</v>
      </c>
      <c r="R376" s="13">
        <v>2025</v>
      </c>
      <c r="S376" s="15" t="str">
        <f t="shared" si="30"/>
        <v>Low Profit</v>
      </c>
      <c r="T376" s="15" t="str">
        <f t="shared" si="31"/>
        <v>Low Sales</v>
      </c>
      <c r="U376" s="15" t="str">
        <f t="shared" si="32"/>
        <v>Needs Improvement</v>
      </c>
      <c r="V376" s="15" t="str">
        <f t="shared" si="33"/>
        <v>High Discount</v>
      </c>
      <c r="W376" s="15">
        <f>VLOOKUP(D376,Lookup_Table!$A:$C,2,FALSE)</f>
        <v>0.2</v>
      </c>
      <c r="X376" s="15">
        <f t="shared" si="34"/>
        <v>0.272228624106937</v>
      </c>
      <c r="Y376" s="15" t="str">
        <f>VLOOKUP(D376,Lookup_Table!A:C,3,0)</f>
        <v>Sneha</v>
      </c>
      <c r="Z376" s="15" t="str">
        <f t="shared" si="35"/>
        <v>Achived</v>
      </c>
    </row>
    <row r="377" spans="1:26">
      <c r="A377" s="13" t="s">
        <v>468</v>
      </c>
      <c r="B377" s="14">
        <v>45786</v>
      </c>
      <c r="C377" s="13" t="s">
        <v>36</v>
      </c>
      <c r="D377" s="13" t="s">
        <v>44</v>
      </c>
      <c r="E377" s="13" t="s">
        <v>143</v>
      </c>
      <c r="F377" s="13" t="s">
        <v>39</v>
      </c>
      <c r="G377" s="13" t="s">
        <v>40</v>
      </c>
      <c r="H377" s="13" t="s">
        <v>41</v>
      </c>
      <c r="I377" s="13" t="s">
        <v>96</v>
      </c>
      <c r="J377" s="13">
        <v>3</v>
      </c>
      <c r="K377" s="13">
        <v>868.29</v>
      </c>
      <c r="L377" s="13">
        <v>0.1</v>
      </c>
      <c r="M377" s="13">
        <v>2344.38</v>
      </c>
      <c r="N377" s="13">
        <v>1706.11</v>
      </c>
      <c r="O377" s="13">
        <v>638.27</v>
      </c>
      <c r="P377" s="13">
        <v>4.8</v>
      </c>
      <c r="Q377" s="13" t="s">
        <v>42</v>
      </c>
      <c r="R377" s="13">
        <v>2025</v>
      </c>
      <c r="S377" s="15" t="str">
        <f t="shared" si="30"/>
        <v>High Profit</v>
      </c>
      <c r="T377" s="15" t="str">
        <f t="shared" si="31"/>
        <v>High Sales</v>
      </c>
      <c r="U377" s="15" t="str">
        <f t="shared" si="32"/>
        <v>Good</v>
      </c>
      <c r="V377" s="15" t="str">
        <f t="shared" si="33"/>
        <v>Normal Discount</v>
      </c>
      <c r="W377" s="15">
        <f>VLOOKUP(D377,Lookup_Table!$A:$C,2,FALSE)</f>
        <v>0.18</v>
      </c>
      <c r="X377" s="15">
        <f t="shared" si="34"/>
        <v>0.272255351094959</v>
      </c>
      <c r="Y377" s="15" t="str">
        <f>VLOOKUP(D377,Lookup_Table!A:C,3,0)</f>
        <v>Amit</v>
      </c>
      <c r="Z377" s="15" t="str">
        <f t="shared" si="35"/>
        <v>Achived</v>
      </c>
    </row>
    <row r="378" spans="1:26">
      <c r="A378" s="13" t="s">
        <v>469</v>
      </c>
      <c r="B378" s="14">
        <v>45908</v>
      </c>
      <c r="C378" s="13" t="s">
        <v>36</v>
      </c>
      <c r="D378" s="13" t="s">
        <v>60</v>
      </c>
      <c r="E378" s="13" t="s">
        <v>61</v>
      </c>
      <c r="F378" s="13" t="s">
        <v>67</v>
      </c>
      <c r="G378" s="13" t="s">
        <v>68</v>
      </c>
      <c r="H378" s="13" t="s">
        <v>69</v>
      </c>
      <c r="I378" s="13" t="s">
        <v>52</v>
      </c>
      <c r="J378" s="13">
        <v>6</v>
      </c>
      <c r="K378" s="13">
        <v>540.29</v>
      </c>
      <c r="L378" s="13">
        <v>0.15</v>
      </c>
      <c r="M378" s="13">
        <v>2755.48</v>
      </c>
      <c r="N378" s="13">
        <v>2004.73</v>
      </c>
      <c r="O378" s="13">
        <v>750.75</v>
      </c>
      <c r="P378" s="13">
        <v>3</v>
      </c>
      <c r="Q378" s="13" t="s">
        <v>53</v>
      </c>
      <c r="R378" s="13">
        <v>2025</v>
      </c>
      <c r="S378" s="15" t="str">
        <f t="shared" si="30"/>
        <v>High Profit</v>
      </c>
      <c r="T378" s="15" t="str">
        <f t="shared" si="31"/>
        <v>High Sales</v>
      </c>
      <c r="U378" s="15" t="str">
        <f t="shared" si="32"/>
        <v>Needs Improvement</v>
      </c>
      <c r="V378" s="15" t="str">
        <f t="shared" si="33"/>
        <v>High Discount</v>
      </c>
      <c r="W378" s="15">
        <f>VLOOKUP(D378,Lookup_Table!$A:$C,2,FALSE)</f>
        <v>0.15</v>
      </c>
      <c r="X378" s="15">
        <f t="shared" si="34"/>
        <v>0.272457067371202</v>
      </c>
      <c r="Y378" s="15" t="str">
        <f>VLOOKUP(D378,Lookup_Table!A:C,3,0)</f>
        <v>Priya</v>
      </c>
      <c r="Z378" s="15" t="str">
        <f t="shared" si="35"/>
        <v>Achived</v>
      </c>
    </row>
    <row r="379" spans="1:26">
      <c r="A379" s="13" t="s">
        <v>470</v>
      </c>
      <c r="B379" s="14">
        <v>45865</v>
      </c>
      <c r="C379" s="13" t="s">
        <v>55</v>
      </c>
      <c r="D379" s="13" t="s">
        <v>60</v>
      </c>
      <c r="E379" s="13" t="s">
        <v>150</v>
      </c>
      <c r="F379" s="13" t="s">
        <v>67</v>
      </c>
      <c r="G379" s="13" t="s">
        <v>68</v>
      </c>
      <c r="H379" s="13" t="s">
        <v>69</v>
      </c>
      <c r="I379" s="13" t="s">
        <v>33</v>
      </c>
      <c r="J379" s="13">
        <v>5</v>
      </c>
      <c r="K379" s="13">
        <v>256</v>
      </c>
      <c r="L379" s="13">
        <v>0.2</v>
      </c>
      <c r="M379" s="13">
        <v>1024</v>
      </c>
      <c r="N379" s="13">
        <v>744.73</v>
      </c>
      <c r="O379" s="13">
        <v>279.27</v>
      </c>
      <c r="P379" s="13">
        <v>4.5</v>
      </c>
      <c r="Q379" s="13" t="s">
        <v>56</v>
      </c>
      <c r="R379" s="13">
        <v>2025</v>
      </c>
      <c r="S379" s="15" t="str">
        <f t="shared" si="30"/>
        <v>Low Profit</v>
      </c>
      <c r="T379" s="15" t="str">
        <f t="shared" si="31"/>
        <v>High Sales</v>
      </c>
      <c r="U379" s="15" t="str">
        <f t="shared" si="32"/>
        <v>Good</v>
      </c>
      <c r="V379" s="15" t="str">
        <f t="shared" si="33"/>
        <v>High Discount</v>
      </c>
      <c r="W379" s="15">
        <f>VLOOKUP(D379,Lookup_Table!$A:$C,2,FALSE)</f>
        <v>0.15</v>
      </c>
      <c r="X379" s="15">
        <f t="shared" si="34"/>
        <v>0.272724609375</v>
      </c>
      <c r="Y379" s="15" t="str">
        <f>VLOOKUP(D379,Lookup_Table!A:C,3,0)</f>
        <v>Priya</v>
      </c>
      <c r="Z379" s="15" t="str">
        <f t="shared" si="35"/>
        <v>Achived</v>
      </c>
    </row>
    <row r="380" spans="1:26">
      <c r="A380" s="13" t="s">
        <v>471</v>
      </c>
      <c r="B380" s="14">
        <v>45845</v>
      </c>
      <c r="C380" s="13" t="s">
        <v>27</v>
      </c>
      <c r="D380" s="13" t="s">
        <v>44</v>
      </c>
      <c r="E380" s="13" t="s">
        <v>137</v>
      </c>
      <c r="F380" s="13" t="s">
        <v>30</v>
      </c>
      <c r="G380" s="13" t="s">
        <v>31</v>
      </c>
      <c r="H380" s="13" t="s">
        <v>32</v>
      </c>
      <c r="I380" s="13" t="s">
        <v>52</v>
      </c>
      <c r="J380" s="13">
        <v>5</v>
      </c>
      <c r="K380" s="13">
        <v>1243.87</v>
      </c>
      <c r="L380" s="13">
        <v>0.2</v>
      </c>
      <c r="M380" s="13">
        <v>4975.48</v>
      </c>
      <c r="N380" s="13">
        <v>3615.4</v>
      </c>
      <c r="O380" s="13">
        <v>1360.08</v>
      </c>
      <c r="P380" s="13">
        <v>3.9</v>
      </c>
      <c r="Q380" s="13" t="s">
        <v>56</v>
      </c>
      <c r="R380" s="13">
        <v>2025</v>
      </c>
      <c r="S380" s="15" t="str">
        <f t="shared" si="30"/>
        <v>High Profit</v>
      </c>
      <c r="T380" s="15" t="str">
        <f t="shared" si="31"/>
        <v>High Sales</v>
      </c>
      <c r="U380" s="15" t="str">
        <f t="shared" si="32"/>
        <v>Needs Improvement</v>
      </c>
      <c r="V380" s="15" t="str">
        <f t="shared" si="33"/>
        <v>High Discount</v>
      </c>
      <c r="W380" s="15">
        <f>VLOOKUP(D380,Lookup_Table!$A:$C,2,FALSE)</f>
        <v>0.18</v>
      </c>
      <c r="X380" s="15">
        <f t="shared" si="34"/>
        <v>0.273356540474487</v>
      </c>
      <c r="Y380" s="15" t="str">
        <f>VLOOKUP(D380,Lookup_Table!A:C,3,0)</f>
        <v>Amit</v>
      </c>
      <c r="Z380" s="15" t="str">
        <f t="shared" si="35"/>
        <v>Achived</v>
      </c>
    </row>
    <row r="381" spans="1:26">
      <c r="A381" s="13" t="s">
        <v>472</v>
      </c>
      <c r="B381" s="14">
        <v>45834</v>
      </c>
      <c r="C381" s="13" t="s">
        <v>27</v>
      </c>
      <c r="D381" s="13" t="s">
        <v>37</v>
      </c>
      <c r="E381" s="13" t="s">
        <v>93</v>
      </c>
      <c r="F381" s="13" t="s">
        <v>62</v>
      </c>
      <c r="G381" s="13" t="s">
        <v>63</v>
      </c>
      <c r="H381" s="13" t="s">
        <v>32</v>
      </c>
      <c r="I381" s="13" t="s">
        <v>96</v>
      </c>
      <c r="J381" s="13">
        <v>3</v>
      </c>
      <c r="K381" s="13">
        <v>123.95</v>
      </c>
      <c r="L381" s="13">
        <v>0</v>
      </c>
      <c r="M381" s="13">
        <v>371.85</v>
      </c>
      <c r="N381" s="13">
        <v>269.97</v>
      </c>
      <c r="O381" s="13">
        <v>101.88</v>
      </c>
      <c r="P381" s="13">
        <v>2.8</v>
      </c>
      <c r="Q381" s="13" t="s">
        <v>58</v>
      </c>
      <c r="R381" s="13">
        <v>2025</v>
      </c>
      <c r="S381" s="15" t="str">
        <f t="shared" si="30"/>
        <v>Low Profit</v>
      </c>
      <c r="T381" s="15" t="str">
        <f t="shared" si="31"/>
        <v>Low Sales</v>
      </c>
      <c r="U381" s="15" t="str">
        <f t="shared" si="32"/>
        <v>Needs Improvement</v>
      </c>
      <c r="V381" s="15" t="str">
        <f t="shared" si="33"/>
        <v>Normal Discount</v>
      </c>
      <c r="W381" s="15">
        <f>VLOOKUP(D381,Lookup_Table!$A:$C,2,FALSE)</f>
        <v>0.16</v>
      </c>
      <c r="X381" s="15">
        <f t="shared" si="34"/>
        <v>0.273981444130698</v>
      </c>
      <c r="Y381" s="15" t="str">
        <f>VLOOKUP(D381,Lookup_Table!A:C,3,0)</f>
        <v>Vikram</v>
      </c>
      <c r="Z381" s="15" t="str">
        <f t="shared" si="35"/>
        <v>Achived</v>
      </c>
    </row>
    <row r="382" spans="1:26">
      <c r="A382" s="13" t="s">
        <v>473</v>
      </c>
      <c r="B382" s="14">
        <v>45875</v>
      </c>
      <c r="C382" s="13" t="s">
        <v>55</v>
      </c>
      <c r="D382" s="13" t="s">
        <v>44</v>
      </c>
      <c r="E382" s="13" t="s">
        <v>137</v>
      </c>
      <c r="F382" s="13" t="s">
        <v>62</v>
      </c>
      <c r="G382" s="13" t="s">
        <v>63</v>
      </c>
      <c r="H382" s="13" t="s">
        <v>32</v>
      </c>
      <c r="I382" s="13" t="s">
        <v>52</v>
      </c>
      <c r="J382" s="13">
        <v>2</v>
      </c>
      <c r="K382" s="13">
        <v>1487.98</v>
      </c>
      <c r="L382" s="13">
        <v>0.15</v>
      </c>
      <c r="M382" s="13">
        <v>2529.57</v>
      </c>
      <c r="N382" s="13">
        <v>1835.79</v>
      </c>
      <c r="O382" s="13">
        <v>693.78</v>
      </c>
      <c r="P382" s="13">
        <v>3.1</v>
      </c>
      <c r="Q382" s="13" t="s">
        <v>47</v>
      </c>
      <c r="R382" s="13">
        <v>2025</v>
      </c>
      <c r="S382" s="15" t="str">
        <f t="shared" si="30"/>
        <v>High Profit</v>
      </c>
      <c r="T382" s="15" t="str">
        <f t="shared" si="31"/>
        <v>High Sales</v>
      </c>
      <c r="U382" s="15" t="str">
        <f t="shared" si="32"/>
        <v>Needs Improvement</v>
      </c>
      <c r="V382" s="15" t="str">
        <f t="shared" si="33"/>
        <v>High Discount</v>
      </c>
      <c r="W382" s="15">
        <f>VLOOKUP(D382,Lookup_Table!$A:$C,2,FALSE)</f>
        <v>0.18</v>
      </c>
      <c r="X382" s="15">
        <f t="shared" si="34"/>
        <v>0.274267958585847</v>
      </c>
      <c r="Y382" s="15" t="str">
        <f>VLOOKUP(D382,Lookup_Table!A:C,3,0)</f>
        <v>Amit</v>
      </c>
      <c r="Z382" s="15" t="str">
        <f t="shared" si="35"/>
        <v>Achived</v>
      </c>
    </row>
    <row r="383" spans="1:26">
      <c r="A383" s="13" t="s">
        <v>474</v>
      </c>
      <c r="B383" s="14">
        <v>45839</v>
      </c>
      <c r="C383" s="13" t="s">
        <v>27</v>
      </c>
      <c r="D383" s="13" t="s">
        <v>44</v>
      </c>
      <c r="E383" s="13" t="s">
        <v>137</v>
      </c>
      <c r="F383" s="13" t="s">
        <v>30</v>
      </c>
      <c r="G383" s="13" t="s">
        <v>31</v>
      </c>
      <c r="H383" s="13" t="s">
        <v>32</v>
      </c>
      <c r="I383" s="13" t="s">
        <v>52</v>
      </c>
      <c r="J383" s="13">
        <v>1</v>
      </c>
      <c r="K383" s="13">
        <v>386.76</v>
      </c>
      <c r="L383" s="13">
        <v>0</v>
      </c>
      <c r="M383" s="13">
        <v>386.76</v>
      </c>
      <c r="N383" s="13">
        <v>280.64</v>
      </c>
      <c r="O383" s="13">
        <v>106.12</v>
      </c>
      <c r="P383" s="13">
        <v>3.6</v>
      </c>
      <c r="Q383" s="13" t="s">
        <v>56</v>
      </c>
      <c r="R383" s="13">
        <v>2025</v>
      </c>
      <c r="S383" s="15" t="str">
        <f t="shared" si="30"/>
        <v>Low Profit</v>
      </c>
      <c r="T383" s="15" t="str">
        <f t="shared" si="31"/>
        <v>Low Sales</v>
      </c>
      <c r="U383" s="15" t="str">
        <f t="shared" si="32"/>
        <v>Needs Improvement</v>
      </c>
      <c r="V383" s="15" t="str">
        <f t="shared" si="33"/>
        <v>Normal Discount</v>
      </c>
      <c r="W383" s="15">
        <f>VLOOKUP(D383,Lookup_Table!$A:$C,2,FALSE)</f>
        <v>0.18</v>
      </c>
      <c r="X383" s="15">
        <f t="shared" si="34"/>
        <v>0.274382045713104</v>
      </c>
      <c r="Y383" s="15" t="str">
        <f>VLOOKUP(D383,Lookup_Table!A:C,3,0)</f>
        <v>Amit</v>
      </c>
      <c r="Z383" s="15" t="str">
        <f t="shared" si="35"/>
        <v>Achived</v>
      </c>
    </row>
    <row r="384" spans="1:26">
      <c r="A384" s="13" t="s">
        <v>475</v>
      </c>
      <c r="B384" s="14">
        <v>45830</v>
      </c>
      <c r="C384" s="13" t="s">
        <v>27</v>
      </c>
      <c r="D384" s="13" t="s">
        <v>44</v>
      </c>
      <c r="E384" s="13" t="s">
        <v>137</v>
      </c>
      <c r="F384" s="13" t="s">
        <v>67</v>
      </c>
      <c r="G384" s="13" t="s">
        <v>68</v>
      </c>
      <c r="H384" s="13" t="s">
        <v>69</v>
      </c>
      <c r="I384" s="13" t="s">
        <v>52</v>
      </c>
      <c r="J384" s="13">
        <v>6</v>
      </c>
      <c r="K384" s="13">
        <v>295.47</v>
      </c>
      <c r="L384" s="13">
        <v>0.1</v>
      </c>
      <c r="M384" s="13">
        <v>1595.54</v>
      </c>
      <c r="N384" s="13">
        <v>1155.85</v>
      </c>
      <c r="O384" s="13">
        <v>439.69</v>
      </c>
      <c r="P384" s="13">
        <v>4.2</v>
      </c>
      <c r="Q384" s="13" t="s">
        <v>58</v>
      </c>
      <c r="R384" s="13">
        <v>2025</v>
      </c>
      <c r="S384" s="15" t="str">
        <f t="shared" si="30"/>
        <v>Low Profit</v>
      </c>
      <c r="T384" s="15" t="str">
        <f t="shared" si="31"/>
        <v>High Sales</v>
      </c>
      <c r="U384" s="15" t="str">
        <f t="shared" si="32"/>
        <v>Good</v>
      </c>
      <c r="V384" s="15" t="str">
        <f t="shared" si="33"/>
        <v>Normal Discount</v>
      </c>
      <c r="W384" s="15">
        <f>VLOOKUP(D384,Lookup_Table!$A:$C,2,FALSE)</f>
        <v>0.18</v>
      </c>
      <c r="X384" s="15">
        <f t="shared" si="34"/>
        <v>0.275574413678128</v>
      </c>
      <c r="Y384" s="15" t="str">
        <f>VLOOKUP(D384,Lookup_Table!A:C,3,0)</f>
        <v>Amit</v>
      </c>
      <c r="Z384" s="15" t="str">
        <f t="shared" si="35"/>
        <v>Achived</v>
      </c>
    </row>
    <row r="385" spans="1:26">
      <c r="A385" s="13" t="s">
        <v>476</v>
      </c>
      <c r="B385" s="14">
        <v>45760</v>
      </c>
      <c r="C385" s="13" t="s">
        <v>55</v>
      </c>
      <c r="D385" s="13" t="s">
        <v>44</v>
      </c>
      <c r="E385" s="13" t="s">
        <v>45</v>
      </c>
      <c r="F385" s="13" t="s">
        <v>75</v>
      </c>
      <c r="G385" s="13" t="s">
        <v>76</v>
      </c>
      <c r="H385" s="13" t="s">
        <v>77</v>
      </c>
      <c r="I385" s="13" t="s">
        <v>96</v>
      </c>
      <c r="J385" s="13">
        <v>7</v>
      </c>
      <c r="K385" s="13">
        <v>655.56</v>
      </c>
      <c r="L385" s="13">
        <v>0.15</v>
      </c>
      <c r="M385" s="13">
        <v>3900.58</v>
      </c>
      <c r="N385" s="13">
        <v>2825.15</v>
      </c>
      <c r="O385" s="13">
        <v>1075.43</v>
      </c>
      <c r="P385" s="13">
        <v>4.5</v>
      </c>
      <c r="Q385" s="13" t="s">
        <v>84</v>
      </c>
      <c r="R385" s="13">
        <v>2025</v>
      </c>
      <c r="S385" s="15" t="str">
        <f t="shared" si="30"/>
        <v>High Profit</v>
      </c>
      <c r="T385" s="15" t="str">
        <f t="shared" si="31"/>
        <v>High Sales</v>
      </c>
      <c r="U385" s="15" t="str">
        <f t="shared" si="32"/>
        <v>Good</v>
      </c>
      <c r="V385" s="15" t="str">
        <f t="shared" si="33"/>
        <v>High Discount</v>
      </c>
      <c r="W385" s="15">
        <f>VLOOKUP(D385,Lookup_Table!$A:$C,2,FALSE)</f>
        <v>0.18</v>
      </c>
      <c r="X385" s="15">
        <f t="shared" si="34"/>
        <v>0.275710278984151</v>
      </c>
      <c r="Y385" s="15" t="str">
        <f>VLOOKUP(D385,Lookup_Table!A:C,3,0)</f>
        <v>Amit</v>
      </c>
      <c r="Z385" s="15" t="str">
        <f t="shared" si="35"/>
        <v>Achived</v>
      </c>
    </row>
    <row r="386" spans="1:26">
      <c r="A386" s="13" t="s">
        <v>477</v>
      </c>
      <c r="B386" s="14">
        <v>45672</v>
      </c>
      <c r="C386" s="13" t="s">
        <v>55</v>
      </c>
      <c r="D386" s="13" t="s">
        <v>80</v>
      </c>
      <c r="E386" s="13" t="s">
        <v>191</v>
      </c>
      <c r="F386" s="13" t="s">
        <v>116</v>
      </c>
      <c r="G386" s="13" t="s">
        <v>117</v>
      </c>
      <c r="H386" s="13" t="s">
        <v>32</v>
      </c>
      <c r="I386" s="13" t="s">
        <v>52</v>
      </c>
      <c r="J386" s="13">
        <v>3</v>
      </c>
      <c r="K386" s="13">
        <v>20.88</v>
      </c>
      <c r="L386" s="13">
        <v>0.15</v>
      </c>
      <c r="M386" s="13">
        <v>53.24</v>
      </c>
      <c r="N386" s="13">
        <v>38.56</v>
      </c>
      <c r="O386" s="13">
        <v>14.68</v>
      </c>
      <c r="P386" s="13">
        <v>4.2</v>
      </c>
      <c r="Q386" s="13" t="s">
        <v>64</v>
      </c>
      <c r="R386" s="13">
        <v>2025</v>
      </c>
      <c r="S386" s="15" t="str">
        <f t="shared" ref="S386:S449" si="36">IF(O386&gt;500,"High Profit","Low Profit")</f>
        <v>Low Profit</v>
      </c>
      <c r="T386" s="15" t="str">
        <f t="shared" ref="T386:T449" si="37">IF(M386&gt;1000,"High Sales","Low Sales")</f>
        <v>Low Sales</v>
      </c>
      <c r="U386" s="15" t="str">
        <f t="shared" ref="U386:U449" si="38">IF(P386&gt;=4,"Good","Needs Improvement")</f>
        <v>Good</v>
      </c>
      <c r="V386" s="15" t="str">
        <f t="shared" ref="V386:V449" si="39">IF(L386&gt;=15%,"High Discount","Normal Discount")</f>
        <v>High Discount</v>
      </c>
      <c r="W386" s="15">
        <f>VLOOKUP(D386,Lookup_Table!$A:$C,2,FALSE)</f>
        <v>0.12</v>
      </c>
      <c r="X386" s="15">
        <f t="shared" ref="X386:X449" si="40">O386/M386</f>
        <v>0.275732531930879</v>
      </c>
      <c r="Y386" s="15" t="str">
        <f>VLOOKUP(D386,Lookup_Table!A:C,3,0)</f>
        <v>Rahul</v>
      </c>
      <c r="Z386" s="15" t="str">
        <f t="shared" ref="Z386:Z449" si="41">IF(X386&gt;=W386,"Achived","Not Achieved")</f>
        <v>Achived</v>
      </c>
    </row>
    <row r="387" spans="1:26">
      <c r="A387" s="13" t="s">
        <v>478</v>
      </c>
      <c r="B387" s="14">
        <v>45753</v>
      </c>
      <c r="C387" s="13" t="s">
        <v>55</v>
      </c>
      <c r="D387" s="13" t="s">
        <v>37</v>
      </c>
      <c r="E387" s="13" t="s">
        <v>38</v>
      </c>
      <c r="F387" s="13" t="s">
        <v>30</v>
      </c>
      <c r="G387" s="13" t="s">
        <v>31</v>
      </c>
      <c r="H387" s="13" t="s">
        <v>32</v>
      </c>
      <c r="I387" s="13" t="s">
        <v>96</v>
      </c>
      <c r="J387" s="13">
        <v>1</v>
      </c>
      <c r="K387" s="13">
        <v>306.07</v>
      </c>
      <c r="L387" s="13">
        <v>0.05</v>
      </c>
      <c r="M387" s="13">
        <v>290.77</v>
      </c>
      <c r="N387" s="13">
        <v>210.54</v>
      </c>
      <c r="O387" s="13">
        <v>80.23</v>
      </c>
      <c r="P387" s="13">
        <v>4.7</v>
      </c>
      <c r="Q387" s="13" t="s">
        <v>84</v>
      </c>
      <c r="R387" s="13">
        <v>2025</v>
      </c>
      <c r="S387" s="15" t="str">
        <f t="shared" si="36"/>
        <v>Low Profit</v>
      </c>
      <c r="T387" s="15" t="str">
        <f t="shared" si="37"/>
        <v>Low Sales</v>
      </c>
      <c r="U387" s="15" t="str">
        <f t="shared" si="38"/>
        <v>Good</v>
      </c>
      <c r="V387" s="15" t="str">
        <f t="shared" si="39"/>
        <v>Normal Discount</v>
      </c>
      <c r="W387" s="15">
        <f>VLOOKUP(D387,Lookup_Table!$A:$C,2,FALSE)</f>
        <v>0.16</v>
      </c>
      <c r="X387" s="15">
        <f t="shared" si="40"/>
        <v>0.275922550469443</v>
      </c>
      <c r="Y387" s="15" t="str">
        <f>VLOOKUP(D387,Lookup_Table!A:C,3,0)</f>
        <v>Vikram</v>
      </c>
      <c r="Z387" s="15" t="str">
        <f t="shared" si="41"/>
        <v>Achived</v>
      </c>
    </row>
    <row r="388" spans="1:26">
      <c r="A388" s="13" t="s">
        <v>479</v>
      </c>
      <c r="B388" s="14">
        <v>45796</v>
      </c>
      <c r="C388" s="13" t="s">
        <v>27</v>
      </c>
      <c r="D388" s="13" t="s">
        <v>60</v>
      </c>
      <c r="E388" s="13" t="s">
        <v>61</v>
      </c>
      <c r="F388" s="13" t="s">
        <v>50</v>
      </c>
      <c r="G388" s="13" t="s">
        <v>51</v>
      </c>
      <c r="H388" s="13" t="s">
        <v>32</v>
      </c>
      <c r="I388" s="13" t="s">
        <v>33</v>
      </c>
      <c r="J388" s="13">
        <v>4</v>
      </c>
      <c r="K388" s="13">
        <v>111.82</v>
      </c>
      <c r="L388" s="13">
        <v>0.1</v>
      </c>
      <c r="M388" s="13">
        <v>402.55</v>
      </c>
      <c r="N388" s="13">
        <v>291.41</v>
      </c>
      <c r="O388" s="13">
        <v>111.14</v>
      </c>
      <c r="P388" s="13">
        <v>3.2</v>
      </c>
      <c r="Q388" s="13" t="s">
        <v>42</v>
      </c>
      <c r="R388" s="13">
        <v>2025</v>
      </c>
      <c r="S388" s="15" t="str">
        <f t="shared" si="36"/>
        <v>Low Profit</v>
      </c>
      <c r="T388" s="15" t="str">
        <f t="shared" si="37"/>
        <v>Low Sales</v>
      </c>
      <c r="U388" s="15" t="str">
        <f t="shared" si="38"/>
        <v>Needs Improvement</v>
      </c>
      <c r="V388" s="15" t="str">
        <f t="shared" si="39"/>
        <v>Normal Discount</v>
      </c>
      <c r="W388" s="15">
        <f>VLOOKUP(D388,Lookup_Table!$A:$C,2,FALSE)</f>
        <v>0.15</v>
      </c>
      <c r="X388" s="15">
        <f t="shared" si="40"/>
        <v>0.276089926717178</v>
      </c>
      <c r="Y388" s="15" t="str">
        <f>VLOOKUP(D388,Lookup_Table!A:C,3,0)</f>
        <v>Priya</v>
      </c>
      <c r="Z388" s="15" t="str">
        <f t="shared" si="41"/>
        <v>Achived</v>
      </c>
    </row>
    <row r="389" spans="1:26">
      <c r="A389" s="13" t="s">
        <v>480</v>
      </c>
      <c r="B389" s="14">
        <v>45900</v>
      </c>
      <c r="C389" s="13" t="s">
        <v>27</v>
      </c>
      <c r="D389" s="13" t="s">
        <v>37</v>
      </c>
      <c r="E389" s="13" t="s">
        <v>86</v>
      </c>
      <c r="F389" s="13" t="s">
        <v>75</v>
      </c>
      <c r="G389" s="13" t="s">
        <v>76</v>
      </c>
      <c r="H389" s="13" t="s">
        <v>77</v>
      </c>
      <c r="I389" s="13" t="s">
        <v>33</v>
      </c>
      <c r="J389" s="13">
        <v>5</v>
      </c>
      <c r="K389" s="13">
        <v>61.98</v>
      </c>
      <c r="L389" s="13">
        <v>0</v>
      </c>
      <c r="M389" s="13">
        <v>309.9</v>
      </c>
      <c r="N389" s="13">
        <v>224.29</v>
      </c>
      <c r="O389" s="13">
        <v>85.61</v>
      </c>
      <c r="P389" s="13">
        <v>4.5</v>
      </c>
      <c r="Q389" s="13" t="s">
        <v>47</v>
      </c>
      <c r="R389" s="13">
        <v>2025</v>
      </c>
      <c r="S389" s="15" t="str">
        <f t="shared" si="36"/>
        <v>Low Profit</v>
      </c>
      <c r="T389" s="15" t="str">
        <f t="shared" si="37"/>
        <v>Low Sales</v>
      </c>
      <c r="U389" s="15" t="str">
        <f t="shared" si="38"/>
        <v>Good</v>
      </c>
      <c r="V389" s="15" t="str">
        <f t="shared" si="39"/>
        <v>Normal Discount</v>
      </c>
      <c r="W389" s="15">
        <f>VLOOKUP(D389,Lookup_Table!$A:$C,2,FALSE)</f>
        <v>0.16</v>
      </c>
      <c r="X389" s="15">
        <f t="shared" si="40"/>
        <v>0.276250403355921</v>
      </c>
      <c r="Y389" s="15" t="str">
        <f>VLOOKUP(D389,Lookup_Table!A:C,3,0)</f>
        <v>Vikram</v>
      </c>
      <c r="Z389" s="15" t="str">
        <f t="shared" si="41"/>
        <v>Achived</v>
      </c>
    </row>
    <row r="390" spans="1:26">
      <c r="A390" s="13" t="s">
        <v>481</v>
      </c>
      <c r="B390" s="14">
        <v>45703</v>
      </c>
      <c r="C390" s="13" t="s">
        <v>27</v>
      </c>
      <c r="D390" s="13" t="s">
        <v>80</v>
      </c>
      <c r="E390" s="13" t="s">
        <v>191</v>
      </c>
      <c r="F390" s="13" t="s">
        <v>30</v>
      </c>
      <c r="G390" s="13" t="s">
        <v>31</v>
      </c>
      <c r="H390" s="13" t="s">
        <v>32</v>
      </c>
      <c r="I390" s="13" t="s">
        <v>33</v>
      </c>
      <c r="J390" s="13">
        <v>6</v>
      </c>
      <c r="K390" s="13">
        <v>26.39</v>
      </c>
      <c r="L390" s="13">
        <v>0.15</v>
      </c>
      <c r="M390" s="13">
        <v>134.59</v>
      </c>
      <c r="N390" s="13">
        <v>97.36</v>
      </c>
      <c r="O390" s="13">
        <v>37.23</v>
      </c>
      <c r="P390" s="13">
        <v>3.3</v>
      </c>
      <c r="Q390" s="13" t="s">
        <v>105</v>
      </c>
      <c r="R390" s="13">
        <v>2025</v>
      </c>
      <c r="S390" s="15" t="str">
        <f t="shared" si="36"/>
        <v>Low Profit</v>
      </c>
      <c r="T390" s="15" t="str">
        <f t="shared" si="37"/>
        <v>Low Sales</v>
      </c>
      <c r="U390" s="15" t="str">
        <f t="shared" si="38"/>
        <v>Needs Improvement</v>
      </c>
      <c r="V390" s="15" t="str">
        <f t="shared" si="39"/>
        <v>High Discount</v>
      </c>
      <c r="W390" s="15">
        <f>VLOOKUP(D390,Lookup_Table!$A:$C,2,FALSE)</f>
        <v>0.12</v>
      </c>
      <c r="X390" s="15">
        <f t="shared" si="40"/>
        <v>0.276617876513857</v>
      </c>
      <c r="Y390" s="15" t="str">
        <f>VLOOKUP(D390,Lookup_Table!A:C,3,0)</f>
        <v>Rahul</v>
      </c>
      <c r="Z390" s="15" t="str">
        <f t="shared" si="41"/>
        <v>Achived</v>
      </c>
    </row>
    <row r="391" spans="1:26">
      <c r="A391" s="13" t="s">
        <v>482</v>
      </c>
      <c r="B391" s="14">
        <v>45662</v>
      </c>
      <c r="C391" s="13" t="s">
        <v>36</v>
      </c>
      <c r="D391" s="13" t="s">
        <v>60</v>
      </c>
      <c r="E391" s="13" t="s">
        <v>66</v>
      </c>
      <c r="F391" s="13" t="s">
        <v>98</v>
      </c>
      <c r="G391" s="13" t="s">
        <v>99</v>
      </c>
      <c r="H391" s="13" t="s">
        <v>77</v>
      </c>
      <c r="I391" s="13" t="s">
        <v>46</v>
      </c>
      <c r="J391" s="13">
        <v>7</v>
      </c>
      <c r="K391" s="13">
        <v>396.26</v>
      </c>
      <c r="L391" s="13">
        <v>0.05</v>
      </c>
      <c r="M391" s="13">
        <v>2635.13</v>
      </c>
      <c r="N391" s="13">
        <v>1903.07</v>
      </c>
      <c r="O391" s="13">
        <v>732.06</v>
      </c>
      <c r="P391" s="13">
        <v>4</v>
      </c>
      <c r="Q391" s="13" t="s">
        <v>64</v>
      </c>
      <c r="R391" s="13">
        <v>2025</v>
      </c>
      <c r="S391" s="15" t="str">
        <f t="shared" si="36"/>
        <v>High Profit</v>
      </c>
      <c r="T391" s="15" t="str">
        <f t="shared" si="37"/>
        <v>High Sales</v>
      </c>
      <c r="U391" s="15" t="str">
        <f t="shared" si="38"/>
        <v>Good</v>
      </c>
      <c r="V391" s="15" t="str">
        <f t="shared" si="39"/>
        <v>Normal Discount</v>
      </c>
      <c r="W391" s="15">
        <f>VLOOKUP(D391,Lookup_Table!$A:$C,2,FALSE)</f>
        <v>0.15</v>
      </c>
      <c r="X391" s="15">
        <f t="shared" si="40"/>
        <v>0.277807925984676</v>
      </c>
      <c r="Y391" s="15" t="str">
        <f>VLOOKUP(D391,Lookup_Table!A:C,3,0)</f>
        <v>Priya</v>
      </c>
      <c r="Z391" s="15" t="str">
        <f t="shared" si="41"/>
        <v>Achived</v>
      </c>
    </row>
    <row r="392" spans="1:26">
      <c r="A392" s="13" t="s">
        <v>483</v>
      </c>
      <c r="B392" s="14">
        <v>45782</v>
      </c>
      <c r="C392" s="13" t="s">
        <v>55</v>
      </c>
      <c r="D392" s="13" t="s">
        <v>80</v>
      </c>
      <c r="E392" s="13" t="s">
        <v>191</v>
      </c>
      <c r="F392" s="13" t="s">
        <v>98</v>
      </c>
      <c r="G392" s="13" t="s">
        <v>99</v>
      </c>
      <c r="H392" s="13" t="s">
        <v>77</v>
      </c>
      <c r="I392" s="13" t="s">
        <v>52</v>
      </c>
      <c r="J392" s="13">
        <v>3</v>
      </c>
      <c r="K392" s="13">
        <v>57.98</v>
      </c>
      <c r="L392" s="13">
        <v>0</v>
      </c>
      <c r="M392" s="13">
        <v>173.94</v>
      </c>
      <c r="N392" s="13">
        <v>125.59</v>
      </c>
      <c r="O392" s="13">
        <v>48.35</v>
      </c>
      <c r="P392" s="13">
        <v>3.7</v>
      </c>
      <c r="Q392" s="13" t="s">
        <v>42</v>
      </c>
      <c r="R392" s="13">
        <v>2025</v>
      </c>
      <c r="S392" s="15" t="str">
        <f t="shared" si="36"/>
        <v>Low Profit</v>
      </c>
      <c r="T392" s="15" t="str">
        <f t="shared" si="37"/>
        <v>Low Sales</v>
      </c>
      <c r="U392" s="15" t="str">
        <f t="shared" si="38"/>
        <v>Needs Improvement</v>
      </c>
      <c r="V392" s="15" t="str">
        <f t="shared" si="39"/>
        <v>Normal Discount</v>
      </c>
      <c r="W392" s="15">
        <f>VLOOKUP(D392,Lookup_Table!$A:$C,2,FALSE)</f>
        <v>0.12</v>
      </c>
      <c r="X392" s="15">
        <f t="shared" si="40"/>
        <v>0.277969414740715</v>
      </c>
      <c r="Y392" s="15" t="str">
        <f>VLOOKUP(D392,Lookup_Table!A:C,3,0)</f>
        <v>Rahul</v>
      </c>
      <c r="Z392" s="15" t="str">
        <f t="shared" si="41"/>
        <v>Achived</v>
      </c>
    </row>
    <row r="393" spans="1:26">
      <c r="A393" s="13" t="s">
        <v>484</v>
      </c>
      <c r="B393" s="14">
        <v>45941</v>
      </c>
      <c r="C393" s="13" t="s">
        <v>27</v>
      </c>
      <c r="D393" s="13" t="s">
        <v>80</v>
      </c>
      <c r="E393" s="13" t="s">
        <v>81</v>
      </c>
      <c r="F393" s="13" t="s">
        <v>82</v>
      </c>
      <c r="G393" s="13" t="s">
        <v>83</v>
      </c>
      <c r="H393" s="13" t="s">
        <v>77</v>
      </c>
      <c r="I393" s="13" t="s">
        <v>33</v>
      </c>
      <c r="J393" s="13">
        <v>1</v>
      </c>
      <c r="K393" s="13">
        <v>76.52</v>
      </c>
      <c r="L393" s="13">
        <v>0</v>
      </c>
      <c r="M393" s="13">
        <v>76.52</v>
      </c>
      <c r="N393" s="13">
        <v>55.23</v>
      </c>
      <c r="O393" s="13">
        <v>21.29</v>
      </c>
      <c r="P393" s="13">
        <v>4</v>
      </c>
      <c r="Q393" s="13" t="s">
        <v>87</v>
      </c>
      <c r="R393" s="13">
        <v>2025</v>
      </c>
      <c r="S393" s="15" t="str">
        <f t="shared" si="36"/>
        <v>Low Profit</v>
      </c>
      <c r="T393" s="15" t="str">
        <f t="shared" si="37"/>
        <v>Low Sales</v>
      </c>
      <c r="U393" s="15" t="str">
        <f t="shared" si="38"/>
        <v>Good</v>
      </c>
      <c r="V393" s="15" t="str">
        <f t="shared" si="39"/>
        <v>Normal Discount</v>
      </c>
      <c r="W393" s="15">
        <f>VLOOKUP(D393,Lookup_Table!$A:$C,2,FALSE)</f>
        <v>0.12</v>
      </c>
      <c r="X393" s="15">
        <f t="shared" si="40"/>
        <v>0.278227914270779</v>
      </c>
      <c r="Y393" s="15" t="str">
        <f>VLOOKUP(D393,Lookup_Table!A:C,3,0)</f>
        <v>Rahul</v>
      </c>
      <c r="Z393" s="15" t="str">
        <f t="shared" si="41"/>
        <v>Achived</v>
      </c>
    </row>
    <row r="394" spans="1:26">
      <c r="A394" s="13" t="s">
        <v>485</v>
      </c>
      <c r="B394" s="14">
        <v>45806</v>
      </c>
      <c r="C394" s="13" t="s">
        <v>55</v>
      </c>
      <c r="D394" s="13" t="s">
        <v>60</v>
      </c>
      <c r="E394" s="13" t="s">
        <v>127</v>
      </c>
      <c r="F394" s="13" t="s">
        <v>82</v>
      </c>
      <c r="G394" s="13" t="s">
        <v>83</v>
      </c>
      <c r="H394" s="13" t="s">
        <v>77</v>
      </c>
      <c r="I394" s="13" t="s">
        <v>33</v>
      </c>
      <c r="J394" s="13">
        <v>5</v>
      </c>
      <c r="K394" s="13">
        <v>841.98</v>
      </c>
      <c r="L394" s="13">
        <v>0.1</v>
      </c>
      <c r="M394" s="13">
        <v>3788.91</v>
      </c>
      <c r="N394" s="13">
        <v>2733.96</v>
      </c>
      <c r="O394" s="13">
        <v>1054.95</v>
      </c>
      <c r="P394" s="13">
        <v>3.8</v>
      </c>
      <c r="Q394" s="13" t="s">
        <v>42</v>
      </c>
      <c r="R394" s="13">
        <v>2025</v>
      </c>
      <c r="S394" s="15" t="str">
        <f t="shared" si="36"/>
        <v>High Profit</v>
      </c>
      <c r="T394" s="15" t="str">
        <f t="shared" si="37"/>
        <v>High Sales</v>
      </c>
      <c r="U394" s="15" t="str">
        <f t="shared" si="38"/>
        <v>Needs Improvement</v>
      </c>
      <c r="V394" s="15" t="str">
        <f t="shared" si="39"/>
        <v>Normal Discount</v>
      </c>
      <c r="W394" s="15">
        <f>VLOOKUP(D394,Lookup_Table!$A:$C,2,FALSE)</f>
        <v>0.15</v>
      </c>
      <c r="X394" s="15">
        <f t="shared" si="40"/>
        <v>0.278430999944575</v>
      </c>
      <c r="Y394" s="15" t="str">
        <f>VLOOKUP(D394,Lookup_Table!A:C,3,0)</f>
        <v>Priya</v>
      </c>
      <c r="Z394" s="15" t="str">
        <f t="shared" si="41"/>
        <v>Achived</v>
      </c>
    </row>
    <row r="395" spans="1:26">
      <c r="A395" s="13" t="s">
        <v>486</v>
      </c>
      <c r="B395" s="14">
        <v>45755</v>
      </c>
      <c r="C395" s="13" t="s">
        <v>55</v>
      </c>
      <c r="D395" s="13" t="s">
        <v>44</v>
      </c>
      <c r="E395" s="13" t="s">
        <v>45</v>
      </c>
      <c r="F395" s="13" t="s">
        <v>82</v>
      </c>
      <c r="G395" s="13" t="s">
        <v>83</v>
      </c>
      <c r="H395" s="13" t="s">
        <v>77</v>
      </c>
      <c r="I395" s="13" t="s">
        <v>96</v>
      </c>
      <c r="J395" s="13">
        <v>7</v>
      </c>
      <c r="K395" s="13">
        <v>1387.38</v>
      </c>
      <c r="L395" s="13">
        <v>0.15</v>
      </c>
      <c r="M395" s="13">
        <v>8254.91</v>
      </c>
      <c r="N395" s="13">
        <v>5952.56</v>
      </c>
      <c r="O395" s="13">
        <v>2302.35</v>
      </c>
      <c r="P395" s="13">
        <v>3.3</v>
      </c>
      <c r="Q395" s="13" t="s">
        <v>84</v>
      </c>
      <c r="R395" s="13">
        <v>2025</v>
      </c>
      <c r="S395" s="15" t="str">
        <f t="shared" si="36"/>
        <v>High Profit</v>
      </c>
      <c r="T395" s="15" t="str">
        <f t="shared" si="37"/>
        <v>High Sales</v>
      </c>
      <c r="U395" s="15" t="str">
        <f t="shared" si="38"/>
        <v>Needs Improvement</v>
      </c>
      <c r="V395" s="15" t="str">
        <f t="shared" si="39"/>
        <v>High Discount</v>
      </c>
      <c r="W395" s="15">
        <f>VLOOKUP(D395,Lookup_Table!$A:$C,2,FALSE)</f>
        <v>0.18</v>
      </c>
      <c r="X395" s="15">
        <f t="shared" si="40"/>
        <v>0.278906735506505</v>
      </c>
      <c r="Y395" s="15" t="str">
        <f>VLOOKUP(D395,Lookup_Table!A:C,3,0)</f>
        <v>Amit</v>
      </c>
      <c r="Z395" s="15" t="str">
        <f t="shared" si="41"/>
        <v>Achived</v>
      </c>
    </row>
    <row r="396" spans="1:26">
      <c r="A396" s="13" t="s">
        <v>487</v>
      </c>
      <c r="B396" s="14">
        <v>45764</v>
      </c>
      <c r="C396" s="13" t="s">
        <v>55</v>
      </c>
      <c r="D396" s="13" t="s">
        <v>28</v>
      </c>
      <c r="E396" s="13" t="s">
        <v>73</v>
      </c>
      <c r="F396" s="13" t="s">
        <v>98</v>
      </c>
      <c r="G396" s="13" t="s">
        <v>99</v>
      </c>
      <c r="H396" s="13" t="s">
        <v>77</v>
      </c>
      <c r="I396" s="13" t="s">
        <v>46</v>
      </c>
      <c r="J396" s="13">
        <v>4</v>
      </c>
      <c r="K396" s="13">
        <v>173.66</v>
      </c>
      <c r="L396" s="13">
        <v>0</v>
      </c>
      <c r="M396" s="13">
        <v>694.64</v>
      </c>
      <c r="N396" s="13">
        <v>500.73</v>
      </c>
      <c r="O396" s="13">
        <v>193.91</v>
      </c>
      <c r="P396" s="13">
        <v>4.8</v>
      </c>
      <c r="Q396" s="13" t="s">
        <v>84</v>
      </c>
      <c r="R396" s="13">
        <v>2025</v>
      </c>
      <c r="S396" s="15" t="str">
        <f t="shared" si="36"/>
        <v>Low Profit</v>
      </c>
      <c r="T396" s="15" t="str">
        <f t="shared" si="37"/>
        <v>Low Sales</v>
      </c>
      <c r="U396" s="15" t="str">
        <f t="shared" si="38"/>
        <v>Good</v>
      </c>
      <c r="V396" s="15" t="str">
        <f t="shared" si="39"/>
        <v>Normal Discount</v>
      </c>
      <c r="W396" s="15">
        <f>VLOOKUP(D396,Lookup_Table!$A:$C,2,FALSE)</f>
        <v>0.2</v>
      </c>
      <c r="X396" s="15">
        <f t="shared" si="40"/>
        <v>0.279151790855695</v>
      </c>
      <c r="Y396" s="15" t="str">
        <f>VLOOKUP(D396,Lookup_Table!A:C,3,0)</f>
        <v>Sneha</v>
      </c>
      <c r="Z396" s="15" t="str">
        <f t="shared" si="41"/>
        <v>Achived</v>
      </c>
    </row>
    <row r="397" spans="1:26">
      <c r="A397" s="13" t="s">
        <v>488</v>
      </c>
      <c r="B397" s="14">
        <v>45908</v>
      </c>
      <c r="C397" s="13" t="s">
        <v>36</v>
      </c>
      <c r="D397" s="13" t="s">
        <v>37</v>
      </c>
      <c r="E397" s="13" t="s">
        <v>86</v>
      </c>
      <c r="F397" s="13" t="s">
        <v>62</v>
      </c>
      <c r="G397" s="13" t="s">
        <v>63</v>
      </c>
      <c r="H397" s="13" t="s">
        <v>32</v>
      </c>
      <c r="I397" s="13" t="s">
        <v>52</v>
      </c>
      <c r="J397" s="13">
        <v>7</v>
      </c>
      <c r="K397" s="13">
        <v>187.94</v>
      </c>
      <c r="L397" s="13">
        <v>0.15</v>
      </c>
      <c r="M397" s="13">
        <v>1118.24</v>
      </c>
      <c r="N397" s="13">
        <v>805.69</v>
      </c>
      <c r="O397" s="13">
        <v>312.55</v>
      </c>
      <c r="P397" s="13">
        <v>3.9</v>
      </c>
      <c r="Q397" s="13" t="s">
        <v>53</v>
      </c>
      <c r="R397" s="13">
        <v>2025</v>
      </c>
      <c r="S397" s="15" t="str">
        <f t="shared" si="36"/>
        <v>Low Profit</v>
      </c>
      <c r="T397" s="15" t="str">
        <f t="shared" si="37"/>
        <v>High Sales</v>
      </c>
      <c r="U397" s="15" t="str">
        <f t="shared" si="38"/>
        <v>Needs Improvement</v>
      </c>
      <c r="V397" s="15" t="str">
        <f t="shared" si="39"/>
        <v>High Discount</v>
      </c>
      <c r="W397" s="15">
        <f>VLOOKUP(D397,Lookup_Table!$A:$C,2,FALSE)</f>
        <v>0.16</v>
      </c>
      <c r="X397" s="15">
        <f t="shared" si="40"/>
        <v>0.279501716983832</v>
      </c>
      <c r="Y397" s="15" t="str">
        <f>VLOOKUP(D397,Lookup_Table!A:C,3,0)</f>
        <v>Vikram</v>
      </c>
      <c r="Z397" s="15" t="str">
        <f t="shared" si="41"/>
        <v>Achived</v>
      </c>
    </row>
    <row r="398" spans="1:26">
      <c r="A398" s="13" t="s">
        <v>489</v>
      </c>
      <c r="B398" s="14">
        <v>45875</v>
      </c>
      <c r="C398" s="13" t="s">
        <v>55</v>
      </c>
      <c r="D398" s="13" t="s">
        <v>28</v>
      </c>
      <c r="E398" s="13" t="s">
        <v>73</v>
      </c>
      <c r="F398" s="13" t="s">
        <v>75</v>
      </c>
      <c r="G398" s="13" t="s">
        <v>76</v>
      </c>
      <c r="H398" s="13" t="s">
        <v>77</v>
      </c>
      <c r="I398" s="13" t="s">
        <v>96</v>
      </c>
      <c r="J398" s="13">
        <v>2</v>
      </c>
      <c r="K398" s="13">
        <v>83.83</v>
      </c>
      <c r="L398" s="13">
        <v>0.1</v>
      </c>
      <c r="M398" s="13">
        <v>150.89</v>
      </c>
      <c r="N398" s="13">
        <v>108.65</v>
      </c>
      <c r="O398" s="13">
        <v>42.24</v>
      </c>
      <c r="P398" s="13">
        <v>3.4</v>
      </c>
      <c r="Q398" s="13" t="s">
        <v>47</v>
      </c>
      <c r="R398" s="13">
        <v>2025</v>
      </c>
      <c r="S398" s="15" t="str">
        <f t="shared" si="36"/>
        <v>Low Profit</v>
      </c>
      <c r="T398" s="15" t="str">
        <f t="shared" si="37"/>
        <v>Low Sales</v>
      </c>
      <c r="U398" s="15" t="str">
        <f t="shared" si="38"/>
        <v>Needs Improvement</v>
      </c>
      <c r="V398" s="15" t="str">
        <f t="shared" si="39"/>
        <v>Normal Discount</v>
      </c>
      <c r="W398" s="15">
        <f>VLOOKUP(D398,Lookup_Table!$A:$C,2,FALSE)</f>
        <v>0.2</v>
      </c>
      <c r="X398" s="15">
        <f t="shared" si="40"/>
        <v>0.279939028431308</v>
      </c>
      <c r="Y398" s="15" t="str">
        <f>VLOOKUP(D398,Lookup_Table!A:C,3,0)</f>
        <v>Sneha</v>
      </c>
      <c r="Z398" s="15" t="str">
        <f t="shared" si="41"/>
        <v>Achived</v>
      </c>
    </row>
    <row r="399" spans="1:26">
      <c r="A399" s="13" t="s">
        <v>490</v>
      </c>
      <c r="B399" s="14">
        <v>45929</v>
      </c>
      <c r="C399" s="13" t="s">
        <v>36</v>
      </c>
      <c r="D399" s="13" t="s">
        <v>28</v>
      </c>
      <c r="E399" s="13" t="s">
        <v>73</v>
      </c>
      <c r="F399" s="13" t="s">
        <v>116</v>
      </c>
      <c r="G399" s="13" t="s">
        <v>117</v>
      </c>
      <c r="H399" s="13" t="s">
        <v>32</v>
      </c>
      <c r="I399" s="13" t="s">
        <v>46</v>
      </c>
      <c r="J399" s="13">
        <v>4</v>
      </c>
      <c r="K399" s="13">
        <v>108.39</v>
      </c>
      <c r="L399" s="13">
        <v>0.2</v>
      </c>
      <c r="M399" s="13">
        <v>346.85</v>
      </c>
      <c r="N399" s="13">
        <v>249.7</v>
      </c>
      <c r="O399" s="13">
        <v>97.15</v>
      </c>
      <c r="P399" s="13">
        <v>3.5</v>
      </c>
      <c r="Q399" s="13" t="s">
        <v>53</v>
      </c>
      <c r="R399" s="13">
        <v>2025</v>
      </c>
      <c r="S399" s="15" t="str">
        <f t="shared" si="36"/>
        <v>Low Profit</v>
      </c>
      <c r="T399" s="15" t="str">
        <f t="shared" si="37"/>
        <v>Low Sales</v>
      </c>
      <c r="U399" s="15" t="str">
        <f t="shared" si="38"/>
        <v>Needs Improvement</v>
      </c>
      <c r="V399" s="15" t="str">
        <f t="shared" si="39"/>
        <v>High Discount</v>
      </c>
      <c r="W399" s="15">
        <f>VLOOKUP(D399,Lookup_Table!$A:$C,2,FALSE)</f>
        <v>0.2</v>
      </c>
      <c r="X399" s="15">
        <f t="shared" si="40"/>
        <v>0.280092258901542</v>
      </c>
      <c r="Y399" s="15" t="str">
        <f>VLOOKUP(D399,Lookup_Table!A:C,3,0)</f>
        <v>Sneha</v>
      </c>
      <c r="Z399" s="15" t="str">
        <f t="shared" si="41"/>
        <v>Achived</v>
      </c>
    </row>
    <row r="400" spans="1:26">
      <c r="A400" s="13" t="s">
        <v>491</v>
      </c>
      <c r="B400" s="14">
        <v>45784</v>
      </c>
      <c r="C400" s="13" t="s">
        <v>27</v>
      </c>
      <c r="D400" s="13" t="s">
        <v>28</v>
      </c>
      <c r="E400" s="13" t="s">
        <v>29</v>
      </c>
      <c r="F400" s="13" t="s">
        <v>98</v>
      </c>
      <c r="G400" s="13" t="s">
        <v>99</v>
      </c>
      <c r="H400" s="13" t="s">
        <v>77</v>
      </c>
      <c r="I400" s="13" t="s">
        <v>33</v>
      </c>
      <c r="J400" s="13">
        <v>7</v>
      </c>
      <c r="K400" s="13">
        <v>141.01</v>
      </c>
      <c r="L400" s="13">
        <v>0.1</v>
      </c>
      <c r="M400" s="13">
        <v>888.36</v>
      </c>
      <c r="N400" s="13">
        <v>639.41</v>
      </c>
      <c r="O400" s="13">
        <v>248.95</v>
      </c>
      <c r="P400" s="13">
        <v>2.7</v>
      </c>
      <c r="Q400" s="13" t="s">
        <v>42</v>
      </c>
      <c r="R400" s="13">
        <v>2025</v>
      </c>
      <c r="S400" s="15" t="str">
        <f t="shared" si="36"/>
        <v>Low Profit</v>
      </c>
      <c r="T400" s="15" t="str">
        <f t="shared" si="37"/>
        <v>Low Sales</v>
      </c>
      <c r="U400" s="15" t="str">
        <f t="shared" si="38"/>
        <v>Needs Improvement</v>
      </c>
      <c r="V400" s="15" t="str">
        <f t="shared" si="39"/>
        <v>Normal Discount</v>
      </c>
      <c r="W400" s="15">
        <f>VLOOKUP(D400,Lookup_Table!$A:$C,2,FALSE)</f>
        <v>0.2</v>
      </c>
      <c r="X400" s="15">
        <f t="shared" si="40"/>
        <v>0.280235490116619</v>
      </c>
      <c r="Y400" s="15" t="str">
        <f>VLOOKUP(D400,Lookup_Table!A:C,3,0)</f>
        <v>Sneha</v>
      </c>
      <c r="Z400" s="15" t="str">
        <f t="shared" si="41"/>
        <v>Achived</v>
      </c>
    </row>
    <row r="401" spans="1:26">
      <c r="A401" s="13" t="s">
        <v>492</v>
      </c>
      <c r="B401" s="14">
        <v>45974</v>
      </c>
      <c r="C401" s="13" t="s">
        <v>55</v>
      </c>
      <c r="D401" s="13" t="s">
        <v>44</v>
      </c>
      <c r="E401" s="13" t="s">
        <v>143</v>
      </c>
      <c r="F401" s="13" t="s">
        <v>111</v>
      </c>
      <c r="G401" s="13" t="s">
        <v>76</v>
      </c>
      <c r="H401" s="13" t="s">
        <v>77</v>
      </c>
      <c r="I401" s="13" t="s">
        <v>96</v>
      </c>
      <c r="J401" s="13">
        <v>7</v>
      </c>
      <c r="K401" s="13">
        <v>1404.67</v>
      </c>
      <c r="L401" s="13">
        <v>0.05</v>
      </c>
      <c r="M401" s="13">
        <v>9341.06</v>
      </c>
      <c r="N401" s="13">
        <v>6723.31</v>
      </c>
      <c r="O401" s="13">
        <v>2617.75</v>
      </c>
      <c r="P401" s="13">
        <v>2.9</v>
      </c>
      <c r="Q401" s="13" t="s">
        <v>71</v>
      </c>
      <c r="R401" s="13">
        <v>2025</v>
      </c>
      <c r="S401" s="15" t="str">
        <f t="shared" si="36"/>
        <v>High Profit</v>
      </c>
      <c r="T401" s="15" t="str">
        <f t="shared" si="37"/>
        <v>High Sales</v>
      </c>
      <c r="U401" s="15" t="str">
        <f t="shared" si="38"/>
        <v>Needs Improvement</v>
      </c>
      <c r="V401" s="15" t="str">
        <f t="shared" si="39"/>
        <v>Normal Discount</v>
      </c>
      <c r="W401" s="15">
        <f>VLOOKUP(D401,Lookup_Table!$A:$C,2,FALSE)</f>
        <v>0.18</v>
      </c>
      <c r="X401" s="15">
        <f t="shared" si="40"/>
        <v>0.280241214594489</v>
      </c>
      <c r="Y401" s="15" t="str">
        <f>VLOOKUP(D401,Lookup_Table!A:C,3,0)</f>
        <v>Amit</v>
      </c>
      <c r="Z401" s="15" t="str">
        <f t="shared" si="41"/>
        <v>Achived</v>
      </c>
    </row>
    <row r="402" spans="1:26">
      <c r="A402" s="13" t="s">
        <v>493</v>
      </c>
      <c r="B402" s="14">
        <v>45855</v>
      </c>
      <c r="C402" s="13" t="s">
        <v>27</v>
      </c>
      <c r="D402" s="13" t="s">
        <v>44</v>
      </c>
      <c r="E402" s="13" t="s">
        <v>104</v>
      </c>
      <c r="F402" s="13" t="s">
        <v>75</v>
      </c>
      <c r="G402" s="13" t="s">
        <v>76</v>
      </c>
      <c r="H402" s="13" t="s">
        <v>77</v>
      </c>
      <c r="I402" s="13" t="s">
        <v>33</v>
      </c>
      <c r="J402" s="13">
        <v>6</v>
      </c>
      <c r="K402" s="13">
        <v>318.96</v>
      </c>
      <c r="L402" s="13">
        <v>0</v>
      </c>
      <c r="M402" s="13">
        <v>1913.76</v>
      </c>
      <c r="N402" s="13">
        <v>1377.38</v>
      </c>
      <c r="O402" s="13">
        <v>536.38</v>
      </c>
      <c r="P402" s="13">
        <v>3.9</v>
      </c>
      <c r="Q402" s="13" t="s">
        <v>56</v>
      </c>
      <c r="R402" s="13">
        <v>2025</v>
      </c>
      <c r="S402" s="15" t="str">
        <f t="shared" si="36"/>
        <v>High Profit</v>
      </c>
      <c r="T402" s="15" t="str">
        <f t="shared" si="37"/>
        <v>High Sales</v>
      </c>
      <c r="U402" s="15" t="str">
        <f t="shared" si="38"/>
        <v>Needs Improvement</v>
      </c>
      <c r="V402" s="15" t="str">
        <f t="shared" si="39"/>
        <v>Normal Discount</v>
      </c>
      <c r="W402" s="15">
        <f>VLOOKUP(D402,Lookup_Table!$A:$C,2,FALSE)</f>
        <v>0.18</v>
      </c>
      <c r="X402" s="15">
        <f t="shared" si="40"/>
        <v>0.28027547863891</v>
      </c>
      <c r="Y402" s="15" t="str">
        <f>VLOOKUP(D402,Lookup_Table!A:C,3,0)</f>
        <v>Amit</v>
      </c>
      <c r="Z402" s="15" t="str">
        <f t="shared" si="41"/>
        <v>Achived</v>
      </c>
    </row>
    <row r="403" spans="1:26">
      <c r="A403" s="13" t="s">
        <v>494</v>
      </c>
      <c r="B403" s="14">
        <v>45875</v>
      </c>
      <c r="C403" s="13" t="s">
        <v>36</v>
      </c>
      <c r="D403" s="13" t="s">
        <v>44</v>
      </c>
      <c r="E403" s="13" t="s">
        <v>104</v>
      </c>
      <c r="F403" s="13" t="s">
        <v>39</v>
      </c>
      <c r="G403" s="13" t="s">
        <v>40</v>
      </c>
      <c r="H403" s="13" t="s">
        <v>41</v>
      </c>
      <c r="I403" s="13" t="s">
        <v>52</v>
      </c>
      <c r="J403" s="13">
        <v>1</v>
      </c>
      <c r="K403" s="13">
        <v>1457.51</v>
      </c>
      <c r="L403" s="13">
        <v>0.15</v>
      </c>
      <c r="M403" s="13">
        <v>1238.88</v>
      </c>
      <c r="N403" s="13">
        <v>890.02</v>
      </c>
      <c r="O403" s="13">
        <v>348.86</v>
      </c>
      <c r="P403" s="13">
        <v>2.8</v>
      </c>
      <c r="Q403" s="13" t="s">
        <v>47</v>
      </c>
      <c r="R403" s="13">
        <v>2025</v>
      </c>
      <c r="S403" s="15" t="str">
        <f t="shared" si="36"/>
        <v>Low Profit</v>
      </c>
      <c r="T403" s="15" t="str">
        <f t="shared" si="37"/>
        <v>High Sales</v>
      </c>
      <c r="U403" s="15" t="str">
        <f t="shared" si="38"/>
        <v>Needs Improvement</v>
      </c>
      <c r="V403" s="15" t="str">
        <f t="shared" si="39"/>
        <v>High Discount</v>
      </c>
      <c r="W403" s="15">
        <f>VLOOKUP(D403,Lookup_Table!$A:$C,2,FALSE)</f>
        <v>0.18</v>
      </c>
      <c r="X403" s="15">
        <f t="shared" si="40"/>
        <v>0.281593051788712</v>
      </c>
      <c r="Y403" s="15" t="str">
        <f>VLOOKUP(D403,Lookup_Table!A:C,3,0)</f>
        <v>Amit</v>
      </c>
      <c r="Z403" s="15" t="str">
        <f t="shared" si="41"/>
        <v>Achived</v>
      </c>
    </row>
    <row r="404" spans="1:26">
      <c r="A404" s="13" t="s">
        <v>495</v>
      </c>
      <c r="B404" s="14">
        <v>45940</v>
      </c>
      <c r="C404" s="13" t="s">
        <v>27</v>
      </c>
      <c r="D404" s="13" t="s">
        <v>37</v>
      </c>
      <c r="E404" s="13" t="s">
        <v>109</v>
      </c>
      <c r="F404" s="13" t="s">
        <v>75</v>
      </c>
      <c r="G404" s="13" t="s">
        <v>76</v>
      </c>
      <c r="H404" s="13" t="s">
        <v>77</v>
      </c>
      <c r="I404" s="13" t="s">
        <v>52</v>
      </c>
      <c r="J404" s="13">
        <v>5</v>
      </c>
      <c r="K404" s="13">
        <v>204.1</v>
      </c>
      <c r="L404" s="13">
        <v>0</v>
      </c>
      <c r="M404" s="13">
        <v>1020.5</v>
      </c>
      <c r="N404" s="13">
        <v>733.07</v>
      </c>
      <c r="O404" s="13">
        <v>287.43</v>
      </c>
      <c r="P404" s="13">
        <v>4.6</v>
      </c>
      <c r="Q404" s="13" t="s">
        <v>87</v>
      </c>
      <c r="R404" s="13">
        <v>2025</v>
      </c>
      <c r="S404" s="15" t="str">
        <f t="shared" si="36"/>
        <v>Low Profit</v>
      </c>
      <c r="T404" s="15" t="str">
        <f t="shared" si="37"/>
        <v>High Sales</v>
      </c>
      <c r="U404" s="15" t="str">
        <f t="shared" si="38"/>
        <v>Good</v>
      </c>
      <c r="V404" s="15" t="str">
        <f t="shared" si="39"/>
        <v>Normal Discount</v>
      </c>
      <c r="W404" s="15">
        <f>VLOOKUP(D404,Lookup_Table!$A:$C,2,FALSE)</f>
        <v>0.16</v>
      </c>
      <c r="X404" s="15">
        <f t="shared" si="40"/>
        <v>0.281656050955414</v>
      </c>
      <c r="Y404" s="15" t="str">
        <f>VLOOKUP(D404,Lookup_Table!A:C,3,0)</f>
        <v>Vikram</v>
      </c>
      <c r="Z404" s="15" t="str">
        <f t="shared" si="41"/>
        <v>Achived</v>
      </c>
    </row>
    <row r="405" spans="1:26">
      <c r="A405" s="13" t="s">
        <v>496</v>
      </c>
      <c r="B405" s="14">
        <v>45949</v>
      </c>
      <c r="C405" s="13" t="s">
        <v>36</v>
      </c>
      <c r="D405" s="13" t="s">
        <v>44</v>
      </c>
      <c r="E405" s="13" t="s">
        <v>104</v>
      </c>
      <c r="F405" s="13" t="s">
        <v>98</v>
      </c>
      <c r="G405" s="13" t="s">
        <v>99</v>
      </c>
      <c r="H405" s="13" t="s">
        <v>77</v>
      </c>
      <c r="I405" s="13" t="s">
        <v>96</v>
      </c>
      <c r="J405" s="13">
        <v>3</v>
      </c>
      <c r="K405" s="13">
        <v>746.56</v>
      </c>
      <c r="L405" s="13">
        <v>0.1</v>
      </c>
      <c r="M405" s="13">
        <v>2015.71</v>
      </c>
      <c r="N405" s="13">
        <v>1447.7</v>
      </c>
      <c r="O405" s="13">
        <v>568.01</v>
      </c>
      <c r="P405" s="13">
        <v>3.5</v>
      </c>
      <c r="Q405" s="13" t="s">
        <v>87</v>
      </c>
      <c r="R405" s="13">
        <v>2025</v>
      </c>
      <c r="S405" s="15" t="str">
        <f t="shared" si="36"/>
        <v>High Profit</v>
      </c>
      <c r="T405" s="15" t="str">
        <f t="shared" si="37"/>
        <v>High Sales</v>
      </c>
      <c r="U405" s="15" t="str">
        <f t="shared" si="38"/>
        <v>Needs Improvement</v>
      </c>
      <c r="V405" s="15" t="str">
        <f t="shared" si="39"/>
        <v>Normal Discount</v>
      </c>
      <c r="W405" s="15">
        <f>VLOOKUP(D405,Lookup_Table!$A:$C,2,FALSE)</f>
        <v>0.18</v>
      </c>
      <c r="X405" s="15">
        <f t="shared" si="40"/>
        <v>0.281791527551086</v>
      </c>
      <c r="Y405" s="15" t="str">
        <f>VLOOKUP(D405,Lookup_Table!A:C,3,0)</f>
        <v>Amit</v>
      </c>
      <c r="Z405" s="15" t="str">
        <f t="shared" si="41"/>
        <v>Achived</v>
      </c>
    </row>
    <row r="406" spans="1:26">
      <c r="A406" s="13" t="s">
        <v>497</v>
      </c>
      <c r="B406" s="14">
        <v>45839</v>
      </c>
      <c r="C406" s="13" t="s">
        <v>27</v>
      </c>
      <c r="D406" s="13" t="s">
        <v>37</v>
      </c>
      <c r="E406" s="13" t="s">
        <v>109</v>
      </c>
      <c r="F406" s="13" t="s">
        <v>30</v>
      </c>
      <c r="G406" s="13" t="s">
        <v>31</v>
      </c>
      <c r="H406" s="13" t="s">
        <v>32</v>
      </c>
      <c r="I406" s="13" t="s">
        <v>52</v>
      </c>
      <c r="J406" s="13">
        <v>3</v>
      </c>
      <c r="K406" s="13">
        <v>121.93</v>
      </c>
      <c r="L406" s="13">
        <v>0.15</v>
      </c>
      <c r="M406" s="13">
        <v>310.92</v>
      </c>
      <c r="N406" s="13">
        <v>223.27</v>
      </c>
      <c r="O406" s="13">
        <v>87.65</v>
      </c>
      <c r="P406" s="13">
        <v>2.9</v>
      </c>
      <c r="Q406" s="13" t="s">
        <v>56</v>
      </c>
      <c r="R406" s="13">
        <v>2025</v>
      </c>
      <c r="S406" s="15" t="str">
        <f t="shared" si="36"/>
        <v>Low Profit</v>
      </c>
      <c r="T406" s="15" t="str">
        <f t="shared" si="37"/>
        <v>Low Sales</v>
      </c>
      <c r="U406" s="15" t="str">
        <f t="shared" si="38"/>
        <v>Needs Improvement</v>
      </c>
      <c r="V406" s="15" t="str">
        <f t="shared" si="39"/>
        <v>High Discount</v>
      </c>
      <c r="W406" s="15">
        <f>VLOOKUP(D406,Lookup_Table!$A:$C,2,FALSE)</f>
        <v>0.16</v>
      </c>
      <c r="X406" s="15">
        <f t="shared" si="40"/>
        <v>0.281905313263862</v>
      </c>
      <c r="Y406" s="15" t="str">
        <f>VLOOKUP(D406,Lookup_Table!A:C,3,0)</f>
        <v>Vikram</v>
      </c>
      <c r="Z406" s="15" t="str">
        <f t="shared" si="41"/>
        <v>Achived</v>
      </c>
    </row>
    <row r="407" spans="1:26">
      <c r="A407" s="13" t="s">
        <v>498</v>
      </c>
      <c r="B407" s="14">
        <v>45802</v>
      </c>
      <c r="C407" s="13" t="s">
        <v>27</v>
      </c>
      <c r="D407" s="13" t="s">
        <v>28</v>
      </c>
      <c r="E407" s="13" t="s">
        <v>90</v>
      </c>
      <c r="F407" s="13" t="s">
        <v>30</v>
      </c>
      <c r="G407" s="13" t="s">
        <v>31</v>
      </c>
      <c r="H407" s="13" t="s">
        <v>32</v>
      </c>
      <c r="I407" s="13" t="s">
        <v>96</v>
      </c>
      <c r="J407" s="13">
        <v>5</v>
      </c>
      <c r="K407" s="13">
        <v>99.24</v>
      </c>
      <c r="L407" s="13">
        <v>0.1</v>
      </c>
      <c r="M407" s="13">
        <v>446.58</v>
      </c>
      <c r="N407" s="13">
        <v>320.63</v>
      </c>
      <c r="O407" s="13">
        <v>125.95</v>
      </c>
      <c r="P407" s="13">
        <v>4.7</v>
      </c>
      <c r="Q407" s="13" t="s">
        <v>42</v>
      </c>
      <c r="R407" s="13">
        <v>2025</v>
      </c>
      <c r="S407" s="15" t="str">
        <f t="shared" si="36"/>
        <v>Low Profit</v>
      </c>
      <c r="T407" s="15" t="str">
        <f t="shared" si="37"/>
        <v>Low Sales</v>
      </c>
      <c r="U407" s="15" t="str">
        <f t="shared" si="38"/>
        <v>Good</v>
      </c>
      <c r="V407" s="15" t="str">
        <f t="shared" si="39"/>
        <v>Normal Discount</v>
      </c>
      <c r="W407" s="15">
        <f>VLOOKUP(D407,Lookup_Table!$A:$C,2,FALSE)</f>
        <v>0.2</v>
      </c>
      <c r="X407" s="15">
        <f t="shared" si="40"/>
        <v>0.282032334632093</v>
      </c>
      <c r="Y407" s="15" t="str">
        <f>VLOOKUP(D407,Lookup_Table!A:C,3,0)</f>
        <v>Sneha</v>
      </c>
      <c r="Z407" s="15" t="str">
        <f t="shared" si="41"/>
        <v>Achived</v>
      </c>
    </row>
    <row r="408" spans="1:26">
      <c r="A408" s="13" t="s">
        <v>499</v>
      </c>
      <c r="B408" s="14">
        <v>45695</v>
      </c>
      <c r="C408" s="13" t="s">
        <v>55</v>
      </c>
      <c r="D408" s="13" t="s">
        <v>37</v>
      </c>
      <c r="E408" s="13" t="s">
        <v>86</v>
      </c>
      <c r="F408" s="13" t="s">
        <v>67</v>
      </c>
      <c r="G408" s="13" t="s">
        <v>68</v>
      </c>
      <c r="H408" s="13" t="s">
        <v>69</v>
      </c>
      <c r="I408" s="13" t="s">
        <v>52</v>
      </c>
      <c r="J408" s="13">
        <v>1</v>
      </c>
      <c r="K408" s="13">
        <v>444.75</v>
      </c>
      <c r="L408" s="13">
        <v>0.2</v>
      </c>
      <c r="M408" s="13">
        <v>355.8</v>
      </c>
      <c r="N408" s="13">
        <v>255.19</v>
      </c>
      <c r="O408" s="13">
        <v>100.61</v>
      </c>
      <c r="P408" s="13">
        <v>3.9</v>
      </c>
      <c r="Q408" s="13" t="s">
        <v>105</v>
      </c>
      <c r="R408" s="13">
        <v>2025</v>
      </c>
      <c r="S408" s="15" t="str">
        <f t="shared" si="36"/>
        <v>Low Profit</v>
      </c>
      <c r="T408" s="15" t="str">
        <f t="shared" si="37"/>
        <v>Low Sales</v>
      </c>
      <c r="U408" s="15" t="str">
        <f t="shared" si="38"/>
        <v>Needs Improvement</v>
      </c>
      <c r="V408" s="15" t="str">
        <f t="shared" si="39"/>
        <v>High Discount</v>
      </c>
      <c r="W408" s="15">
        <f>VLOOKUP(D408,Lookup_Table!$A:$C,2,FALSE)</f>
        <v>0.16</v>
      </c>
      <c r="X408" s="15">
        <f t="shared" si="40"/>
        <v>0.282771219786397</v>
      </c>
      <c r="Y408" s="15" t="str">
        <f>VLOOKUP(D408,Lookup_Table!A:C,3,0)</f>
        <v>Vikram</v>
      </c>
      <c r="Z408" s="15" t="str">
        <f t="shared" si="41"/>
        <v>Achived</v>
      </c>
    </row>
    <row r="409" spans="1:26">
      <c r="A409" s="13" t="s">
        <v>500</v>
      </c>
      <c r="B409" s="14">
        <v>45978</v>
      </c>
      <c r="C409" s="13" t="s">
        <v>55</v>
      </c>
      <c r="D409" s="13" t="s">
        <v>37</v>
      </c>
      <c r="E409" s="13" t="s">
        <v>86</v>
      </c>
      <c r="F409" s="13" t="s">
        <v>116</v>
      </c>
      <c r="G409" s="13" t="s">
        <v>117</v>
      </c>
      <c r="H409" s="13" t="s">
        <v>32</v>
      </c>
      <c r="I409" s="13" t="s">
        <v>46</v>
      </c>
      <c r="J409" s="13">
        <v>5</v>
      </c>
      <c r="K409" s="13">
        <v>197.55</v>
      </c>
      <c r="L409" s="13">
        <v>0</v>
      </c>
      <c r="M409" s="13">
        <v>987.75</v>
      </c>
      <c r="N409" s="13">
        <v>708.26</v>
      </c>
      <c r="O409" s="13">
        <v>279.49</v>
      </c>
      <c r="P409" s="13">
        <v>2.9</v>
      </c>
      <c r="Q409" s="13" t="s">
        <v>71</v>
      </c>
      <c r="R409" s="13">
        <v>2025</v>
      </c>
      <c r="S409" s="15" t="str">
        <f t="shared" si="36"/>
        <v>Low Profit</v>
      </c>
      <c r="T409" s="15" t="str">
        <f t="shared" si="37"/>
        <v>Low Sales</v>
      </c>
      <c r="U409" s="15" t="str">
        <f t="shared" si="38"/>
        <v>Needs Improvement</v>
      </c>
      <c r="V409" s="15" t="str">
        <f t="shared" si="39"/>
        <v>Normal Discount</v>
      </c>
      <c r="W409" s="15">
        <f>VLOOKUP(D409,Lookup_Table!$A:$C,2,FALSE)</f>
        <v>0.16</v>
      </c>
      <c r="X409" s="15">
        <f t="shared" si="40"/>
        <v>0.282956213616806</v>
      </c>
      <c r="Y409" s="15" t="str">
        <f>VLOOKUP(D409,Lookup_Table!A:C,3,0)</f>
        <v>Vikram</v>
      </c>
      <c r="Z409" s="15" t="str">
        <f t="shared" si="41"/>
        <v>Achived</v>
      </c>
    </row>
    <row r="410" spans="1:26">
      <c r="A410" s="13" t="s">
        <v>501</v>
      </c>
      <c r="B410" s="14">
        <v>45940</v>
      </c>
      <c r="C410" s="13" t="s">
        <v>27</v>
      </c>
      <c r="D410" s="13" t="s">
        <v>37</v>
      </c>
      <c r="E410" s="13" t="s">
        <v>93</v>
      </c>
      <c r="F410" s="13" t="s">
        <v>116</v>
      </c>
      <c r="G410" s="13" t="s">
        <v>117</v>
      </c>
      <c r="H410" s="13" t="s">
        <v>32</v>
      </c>
      <c r="I410" s="13" t="s">
        <v>52</v>
      </c>
      <c r="J410" s="13">
        <v>2</v>
      </c>
      <c r="K410" s="13">
        <v>450.87</v>
      </c>
      <c r="L410" s="13">
        <v>0.1</v>
      </c>
      <c r="M410" s="13">
        <v>811.57</v>
      </c>
      <c r="N410" s="13">
        <v>581.91</v>
      </c>
      <c r="O410" s="13">
        <v>229.66</v>
      </c>
      <c r="P410" s="13">
        <v>3.4</v>
      </c>
      <c r="Q410" s="13" t="s">
        <v>87</v>
      </c>
      <c r="R410" s="13">
        <v>2025</v>
      </c>
      <c r="S410" s="15" t="str">
        <f t="shared" si="36"/>
        <v>Low Profit</v>
      </c>
      <c r="T410" s="15" t="str">
        <f t="shared" si="37"/>
        <v>Low Sales</v>
      </c>
      <c r="U410" s="15" t="str">
        <f t="shared" si="38"/>
        <v>Needs Improvement</v>
      </c>
      <c r="V410" s="15" t="str">
        <f t="shared" si="39"/>
        <v>Normal Discount</v>
      </c>
      <c r="W410" s="15">
        <f>VLOOKUP(D410,Lookup_Table!$A:$C,2,FALSE)</f>
        <v>0.16</v>
      </c>
      <c r="X410" s="15">
        <f t="shared" si="40"/>
        <v>0.282982367509888</v>
      </c>
      <c r="Y410" s="15" t="str">
        <f>VLOOKUP(D410,Lookup_Table!A:C,3,0)</f>
        <v>Vikram</v>
      </c>
      <c r="Z410" s="15" t="str">
        <f t="shared" si="41"/>
        <v>Achived</v>
      </c>
    </row>
    <row r="411" spans="1:26">
      <c r="A411" s="13" t="s">
        <v>502</v>
      </c>
      <c r="B411" s="14">
        <v>45845</v>
      </c>
      <c r="C411" s="13" t="s">
        <v>55</v>
      </c>
      <c r="D411" s="13" t="s">
        <v>60</v>
      </c>
      <c r="E411" s="13" t="s">
        <v>66</v>
      </c>
      <c r="F411" s="13" t="s">
        <v>82</v>
      </c>
      <c r="G411" s="13" t="s">
        <v>83</v>
      </c>
      <c r="H411" s="13" t="s">
        <v>77</v>
      </c>
      <c r="I411" s="13" t="s">
        <v>52</v>
      </c>
      <c r="J411" s="13">
        <v>1</v>
      </c>
      <c r="K411" s="13">
        <v>797.86</v>
      </c>
      <c r="L411" s="13">
        <v>0.15</v>
      </c>
      <c r="M411" s="13">
        <v>678.18</v>
      </c>
      <c r="N411" s="13">
        <v>485.75</v>
      </c>
      <c r="O411" s="13">
        <v>192.43</v>
      </c>
      <c r="P411" s="13">
        <v>4.4</v>
      </c>
      <c r="Q411" s="13" t="s">
        <v>56</v>
      </c>
      <c r="R411" s="13">
        <v>2025</v>
      </c>
      <c r="S411" s="15" t="str">
        <f t="shared" si="36"/>
        <v>Low Profit</v>
      </c>
      <c r="T411" s="15" t="str">
        <f t="shared" si="37"/>
        <v>Low Sales</v>
      </c>
      <c r="U411" s="15" t="str">
        <f t="shared" si="38"/>
        <v>Good</v>
      </c>
      <c r="V411" s="15" t="str">
        <f t="shared" si="39"/>
        <v>High Discount</v>
      </c>
      <c r="W411" s="15">
        <f>VLOOKUP(D411,Lookup_Table!$A:$C,2,FALSE)</f>
        <v>0.15</v>
      </c>
      <c r="X411" s="15">
        <f t="shared" si="40"/>
        <v>0.283744728538146</v>
      </c>
      <c r="Y411" s="15" t="str">
        <f>VLOOKUP(D411,Lookup_Table!A:C,3,0)</f>
        <v>Priya</v>
      </c>
      <c r="Z411" s="15" t="str">
        <f t="shared" si="41"/>
        <v>Achived</v>
      </c>
    </row>
    <row r="412" spans="1:26">
      <c r="A412" s="13" t="s">
        <v>503</v>
      </c>
      <c r="B412" s="14">
        <v>45956</v>
      </c>
      <c r="C412" s="13" t="s">
        <v>36</v>
      </c>
      <c r="D412" s="13" t="s">
        <v>60</v>
      </c>
      <c r="E412" s="13" t="s">
        <v>150</v>
      </c>
      <c r="F412" s="13" t="s">
        <v>30</v>
      </c>
      <c r="G412" s="13" t="s">
        <v>31</v>
      </c>
      <c r="H412" s="13" t="s">
        <v>32</v>
      </c>
      <c r="I412" s="13" t="s">
        <v>52</v>
      </c>
      <c r="J412" s="13">
        <v>6</v>
      </c>
      <c r="K412" s="13">
        <v>241.92</v>
      </c>
      <c r="L412" s="13">
        <v>0.15</v>
      </c>
      <c r="M412" s="13">
        <v>1233.79</v>
      </c>
      <c r="N412" s="13">
        <v>883.66</v>
      </c>
      <c r="O412" s="13">
        <v>350.13</v>
      </c>
      <c r="P412" s="13">
        <v>3.3</v>
      </c>
      <c r="Q412" s="13" t="s">
        <v>87</v>
      </c>
      <c r="R412" s="13">
        <v>2025</v>
      </c>
      <c r="S412" s="15" t="str">
        <f t="shared" si="36"/>
        <v>Low Profit</v>
      </c>
      <c r="T412" s="15" t="str">
        <f t="shared" si="37"/>
        <v>High Sales</v>
      </c>
      <c r="U412" s="15" t="str">
        <f t="shared" si="38"/>
        <v>Needs Improvement</v>
      </c>
      <c r="V412" s="15" t="str">
        <f t="shared" si="39"/>
        <v>High Discount</v>
      </c>
      <c r="W412" s="15">
        <f>VLOOKUP(D412,Lookup_Table!$A:$C,2,FALSE)</f>
        <v>0.15</v>
      </c>
      <c r="X412" s="15">
        <f t="shared" si="40"/>
        <v>0.283784112369204</v>
      </c>
      <c r="Y412" s="15" t="str">
        <f>VLOOKUP(D412,Lookup_Table!A:C,3,0)</f>
        <v>Priya</v>
      </c>
      <c r="Z412" s="15" t="str">
        <f t="shared" si="41"/>
        <v>Achived</v>
      </c>
    </row>
    <row r="413" spans="1:26">
      <c r="A413" s="13" t="s">
        <v>504</v>
      </c>
      <c r="B413" s="14">
        <v>46009</v>
      </c>
      <c r="C413" s="13" t="s">
        <v>55</v>
      </c>
      <c r="D413" s="13" t="s">
        <v>37</v>
      </c>
      <c r="E413" s="13" t="s">
        <v>86</v>
      </c>
      <c r="F413" s="13" t="s">
        <v>98</v>
      </c>
      <c r="G413" s="13" t="s">
        <v>99</v>
      </c>
      <c r="H413" s="13" t="s">
        <v>77</v>
      </c>
      <c r="I413" s="13" t="s">
        <v>33</v>
      </c>
      <c r="J413" s="13">
        <v>1</v>
      </c>
      <c r="K413" s="13">
        <v>234.32</v>
      </c>
      <c r="L413" s="13">
        <v>0.1</v>
      </c>
      <c r="M413" s="13">
        <v>210.89</v>
      </c>
      <c r="N413" s="13">
        <v>150.93</v>
      </c>
      <c r="O413" s="13">
        <v>59.96</v>
      </c>
      <c r="P413" s="13">
        <v>4.6</v>
      </c>
      <c r="Q413" s="13" t="s">
        <v>34</v>
      </c>
      <c r="R413" s="13">
        <v>2025</v>
      </c>
      <c r="S413" s="15" t="str">
        <f t="shared" si="36"/>
        <v>Low Profit</v>
      </c>
      <c r="T413" s="15" t="str">
        <f t="shared" si="37"/>
        <v>Low Sales</v>
      </c>
      <c r="U413" s="15" t="str">
        <f t="shared" si="38"/>
        <v>Good</v>
      </c>
      <c r="V413" s="15" t="str">
        <f t="shared" si="39"/>
        <v>Normal Discount</v>
      </c>
      <c r="W413" s="15">
        <f>VLOOKUP(D413,Lookup_Table!$A:$C,2,FALSE)</f>
        <v>0.16</v>
      </c>
      <c r="X413" s="15">
        <f t="shared" si="40"/>
        <v>0.284318839205273</v>
      </c>
      <c r="Y413" s="15" t="str">
        <f>VLOOKUP(D413,Lookup_Table!A:C,3,0)</f>
        <v>Vikram</v>
      </c>
      <c r="Z413" s="15" t="str">
        <f t="shared" si="41"/>
        <v>Achived</v>
      </c>
    </row>
    <row r="414" spans="1:26">
      <c r="A414" s="13" t="s">
        <v>505</v>
      </c>
      <c r="B414" s="14">
        <v>45813</v>
      </c>
      <c r="C414" s="13" t="s">
        <v>36</v>
      </c>
      <c r="D414" s="13" t="s">
        <v>37</v>
      </c>
      <c r="E414" s="13" t="s">
        <v>109</v>
      </c>
      <c r="F414" s="13" t="s">
        <v>50</v>
      </c>
      <c r="G414" s="13" t="s">
        <v>51</v>
      </c>
      <c r="H414" s="13" t="s">
        <v>32</v>
      </c>
      <c r="I414" s="13" t="s">
        <v>52</v>
      </c>
      <c r="J414" s="13">
        <v>3</v>
      </c>
      <c r="K414" s="13">
        <v>285.58</v>
      </c>
      <c r="L414" s="13">
        <v>0.05</v>
      </c>
      <c r="M414" s="13">
        <v>813.9</v>
      </c>
      <c r="N414" s="13">
        <v>582.11</v>
      </c>
      <c r="O414" s="13">
        <v>231.79</v>
      </c>
      <c r="P414" s="13">
        <v>3.7</v>
      </c>
      <c r="Q414" s="13" t="s">
        <v>58</v>
      </c>
      <c r="R414" s="13">
        <v>2025</v>
      </c>
      <c r="S414" s="15" t="str">
        <f t="shared" si="36"/>
        <v>Low Profit</v>
      </c>
      <c r="T414" s="15" t="str">
        <f t="shared" si="37"/>
        <v>Low Sales</v>
      </c>
      <c r="U414" s="15" t="str">
        <f t="shared" si="38"/>
        <v>Needs Improvement</v>
      </c>
      <c r="V414" s="15" t="str">
        <f t="shared" si="39"/>
        <v>Normal Discount</v>
      </c>
      <c r="W414" s="15">
        <f>VLOOKUP(D414,Lookup_Table!$A:$C,2,FALSE)</f>
        <v>0.16</v>
      </c>
      <c r="X414" s="15">
        <f t="shared" si="40"/>
        <v>0.28478928615309</v>
      </c>
      <c r="Y414" s="15" t="str">
        <f>VLOOKUP(D414,Lookup_Table!A:C,3,0)</f>
        <v>Vikram</v>
      </c>
      <c r="Z414" s="15" t="str">
        <f t="shared" si="41"/>
        <v>Achived</v>
      </c>
    </row>
    <row r="415" spans="1:26">
      <c r="A415" s="13" t="s">
        <v>506</v>
      </c>
      <c r="B415" s="14">
        <v>45669</v>
      </c>
      <c r="C415" s="13" t="s">
        <v>36</v>
      </c>
      <c r="D415" s="13" t="s">
        <v>60</v>
      </c>
      <c r="E415" s="13" t="s">
        <v>66</v>
      </c>
      <c r="F415" s="13" t="s">
        <v>50</v>
      </c>
      <c r="G415" s="13" t="s">
        <v>51</v>
      </c>
      <c r="H415" s="13" t="s">
        <v>32</v>
      </c>
      <c r="I415" s="13" t="s">
        <v>96</v>
      </c>
      <c r="J415" s="13">
        <v>2</v>
      </c>
      <c r="K415" s="13">
        <v>287.16</v>
      </c>
      <c r="L415" s="13">
        <v>0.05</v>
      </c>
      <c r="M415" s="13">
        <v>545.6</v>
      </c>
      <c r="N415" s="13">
        <v>390.04</v>
      </c>
      <c r="O415" s="13">
        <v>155.56</v>
      </c>
      <c r="P415" s="13">
        <v>2.6</v>
      </c>
      <c r="Q415" s="13" t="s">
        <v>64</v>
      </c>
      <c r="R415" s="13">
        <v>2025</v>
      </c>
      <c r="S415" s="15" t="str">
        <f t="shared" si="36"/>
        <v>Low Profit</v>
      </c>
      <c r="T415" s="15" t="str">
        <f t="shared" si="37"/>
        <v>Low Sales</v>
      </c>
      <c r="U415" s="15" t="str">
        <f t="shared" si="38"/>
        <v>Needs Improvement</v>
      </c>
      <c r="V415" s="15" t="str">
        <f t="shared" si="39"/>
        <v>Normal Discount</v>
      </c>
      <c r="W415" s="15">
        <f>VLOOKUP(D415,Lookup_Table!$A:$C,2,FALSE)</f>
        <v>0.15</v>
      </c>
      <c r="X415" s="15">
        <f t="shared" si="40"/>
        <v>0.285117302052786</v>
      </c>
      <c r="Y415" s="15" t="str">
        <f>VLOOKUP(D415,Lookup_Table!A:C,3,0)</f>
        <v>Priya</v>
      </c>
      <c r="Z415" s="15" t="str">
        <f t="shared" si="41"/>
        <v>Achived</v>
      </c>
    </row>
    <row r="416" spans="1:26">
      <c r="A416" s="13" t="s">
        <v>507</v>
      </c>
      <c r="B416" s="14">
        <v>45736</v>
      </c>
      <c r="C416" s="13" t="s">
        <v>55</v>
      </c>
      <c r="D416" s="13" t="s">
        <v>44</v>
      </c>
      <c r="E416" s="13" t="s">
        <v>137</v>
      </c>
      <c r="F416" s="13" t="s">
        <v>111</v>
      </c>
      <c r="G416" s="13" t="s">
        <v>76</v>
      </c>
      <c r="H416" s="13" t="s">
        <v>77</v>
      </c>
      <c r="I416" s="13" t="s">
        <v>96</v>
      </c>
      <c r="J416" s="13">
        <v>3</v>
      </c>
      <c r="K416" s="13">
        <v>928.89</v>
      </c>
      <c r="L416" s="13">
        <v>0.15</v>
      </c>
      <c r="M416" s="13">
        <v>2368.67</v>
      </c>
      <c r="N416" s="13">
        <v>1692.84</v>
      </c>
      <c r="O416" s="13">
        <v>675.83</v>
      </c>
      <c r="P416" s="13">
        <v>4.7</v>
      </c>
      <c r="Q416" s="13" t="s">
        <v>94</v>
      </c>
      <c r="R416" s="13">
        <v>2025</v>
      </c>
      <c r="S416" s="15" t="str">
        <f t="shared" si="36"/>
        <v>High Profit</v>
      </c>
      <c r="T416" s="15" t="str">
        <f t="shared" si="37"/>
        <v>High Sales</v>
      </c>
      <c r="U416" s="15" t="str">
        <f t="shared" si="38"/>
        <v>Good</v>
      </c>
      <c r="V416" s="15" t="str">
        <f t="shared" si="39"/>
        <v>High Discount</v>
      </c>
      <c r="W416" s="15">
        <f>VLOOKUP(D416,Lookup_Table!$A:$C,2,FALSE)</f>
        <v>0.18</v>
      </c>
      <c r="X416" s="15">
        <f t="shared" si="40"/>
        <v>0.285320454094492</v>
      </c>
      <c r="Y416" s="15" t="str">
        <f>VLOOKUP(D416,Lookup_Table!A:C,3,0)</f>
        <v>Amit</v>
      </c>
      <c r="Z416" s="15" t="str">
        <f t="shared" si="41"/>
        <v>Achived</v>
      </c>
    </row>
    <row r="417" spans="1:26">
      <c r="A417" s="13" t="s">
        <v>508</v>
      </c>
      <c r="B417" s="14">
        <v>45687</v>
      </c>
      <c r="C417" s="13" t="s">
        <v>27</v>
      </c>
      <c r="D417" s="13" t="s">
        <v>44</v>
      </c>
      <c r="E417" s="13" t="s">
        <v>45</v>
      </c>
      <c r="F417" s="13" t="s">
        <v>62</v>
      </c>
      <c r="G417" s="13" t="s">
        <v>63</v>
      </c>
      <c r="H417" s="13" t="s">
        <v>32</v>
      </c>
      <c r="I417" s="13" t="s">
        <v>46</v>
      </c>
      <c r="J417" s="13">
        <v>3</v>
      </c>
      <c r="K417" s="13">
        <v>1453.53</v>
      </c>
      <c r="L417" s="13">
        <v>0.15</v>
      </c>
      <c r="M417" s="13">
        <v>3706.5</v>
      </c>
      <c r="N417" s="13">
        <v>2647.5</v>
      </c>
      <c r="O417" s="13">
        <v>1059</v>
      </c>
      <c r="P417" s="13">
        <v>4.5</v>
      </c>
      <c r="Q417" s="13" t="s">
        <v>64</v>
      </c>
      <c r="R417" s="13">
        <v>2025</v>
      </c>
      <c r="S417" s="15" t="str">
        <f t="shared" si="36"/>
        <v>High Profit</v>
      </c>
      <c r="T417" s="15" t="str">
        <f t="shared" si="37"/>
        <v>High Sales</v>
      </c>
      <c r="U417" s="15" t="str">
        <f t="shared" si="38"/>
        <v>Good</v>
      </c>
      <c r="V417" s="15" t="str">
        <f t="shared" si="39"/>
        <v>High Discount</v>
      </c>
      <c r="W417" s="15">
        <f>VLOOKUP(D417,Lookup_Table!$A:$C,2,FALSE)</f>
        <v>0.18</v>
      </c>
      <c r="X417" s="15">
        <f t="shared" si="40"/>
        <v>0.285714285714286</v>
      </c>
      <c r="Y417" s="15" t="str">
        <f>VLOOKUP(D417,Lookup_Table!A:C,3,0)</f>
        <v>Amit</v>
      </c>
      <c r="Z417" s="15" t="str">
        <f t="shared" si="41"/>
        <v>Achived</v>
      </c>
    </row>
    <row r="418" spans="1:26">
      <c r="A418" s="13" t="s">
        <v>509</v>
      </c>
      <c r="B418" s="14">
        <v>45839</v>
      </c>
      <c r="C418" s="13" t="s">
        <v>55</v>
      </c>
      <c r="D418" s="13" t="s">
        <v>37</v>
      </c>
      <c r="E418" s="13" t="s">
        <v>86</v>
      </c>
      <c r="F418" s="13" t="s">
        <v>62</v>
      </c>
      <c r="G418" s="13" t="s">
        <v>63</v>
      </c>
      <c r="H418" s="13" t="s">
        <v>32</v>
      </c>
      <c r="I418" s="13" t="s">
        <v>96</v>
      </c>
      <c r="J418" s="13">
        <v>3</v>
      </c>
      <c r="K418" s="13">
        <v>329.86</v>
      </c>
      <c r="L418" s="13">
        <v>0.05</v>
      </c>
      <c r="M418" s="13">
        <v>940.1</v>
      </c>
      <c r="N418" s="13">
        <v>671.22</v>
      </c>
      <c r="O418" s="13">
        <v>268.88</v>
      </c>
      <c r="P418" s="13">
        <v>3.8</v>
      </c>
      <c r="Q418" s="13" t="s">
        <v>56</v>
      </c>
      <c r="R418" s="13">
        <v>2025</v>
      </c>
      <c r="S418" s="15" t="str">
        <f t="shared" si="36"/>
        <v>Low Profit</v>
      </c>
      <c r="T418" s="15" t="str">
        <f t="shared" si="37"/>
        <v>Low Sales</v>
      </c>
      <c r="U418" s="15" t="str">
        <f t="shared" si="38"/>
        <v>Needs Improvement</v>
      </c>
      <c r="V418" s="15" t="str">
        <f t="shared" si="39"/>
        <v>Normal Discount</v>
      </c>
      <c r="W418" s="15">
        <f>VLOOKUP(D418,Lookup_Table!$A:$C,2,FALSE)</f>
        <v>0.16</v>
      </c>
      <c r="X418" s="15">
        <f t="shared" si="40"/>
        <v>0.286012126369535</v>
      </c>
      <c r="Y418" s="15" t="str">
        <f>VLOOKUP(D418,Lookup_Table!A:C,3,0)</f>
        <v>Vikram</v>
      </c>
      <c r="Z418" s="15" t="str">
        <f t="shared" si="41"/>
        <v>Achived</v>
      </c>
    </row>
    <row r="419" spans="1:26">
      <c r="A419" s="13" t="s">
        <v>510</v>
      </c>
      <c r="B419" s="14">
        <v>45765</v>
      </c>
      <c r="C419" s="13" t="s">
        <v>55</v>
      </c>
      <c r="D419" s="13" t="s">
        <v>37</v>
      </c>
      <c r="E419" s="13" t="s">
        <v>109</v>
      </c>
      <c r="F419" s="13" t="s">
        <v>98</v>
      </c>
      <c r="G419" s="13" t="s">
        <v>99</v>
      </c>
      <c r="H419" s="13" t="s">
        <v>77</v>
      </c>
      <c r="I419" s="13" t="s">
        <v>33</v>
      </c>
      <c r="J419" s="13">
        <v>5</v>
      </c>
      <c r="K419" s="13">
        <v>25.11</v>
      </c>
      <c r="L419" s="13">
        <v>0.15</v>
      </c>
      <c r="M419" s="13">
        <v>106.72</v>
      </c>
      <c r="N419" s="13">
        <v>76.14</v>
      </c>
      <c r="O419" s="13">
        <v>30.58</v>
      </c>
      <c r="P419" s="13">
        <v>3.6</v>
      </c>
      <c r="Q419" s="13" t="s">
        <v>84</v>
      </c>
      <c r="R419" s="13">
        <v>2025</v>
      </c>
      <c r="S419" s="15" t="str">
        <f t="shared" si="36"/>
        <v>Low Profit</v>
      </c>
      <c r="T419" s="15" t="str">
        <f t="shared" si="37"/>
        <v>Low Sales</v>
      </c>
      <c r="U419" s="15" t="str">
        <f t="shared" si="38"/>
        <v>Needs Improvement</v>
      </c>
      <c r="V419" s="15" t="str">
        <f t="shared" si="39"/>
        <v>High Discount</v>
      </c>
      <c r="W419" s="15">
        <f>VLOOKUP(D419,Lookup_Table!$A:$C,2,FALSE)</f>
        <v>0.16</v>
      </c>
      <c r="X419" s="15">
        <f t="shared" si="40"/>
        <v>0.286544227886057</v>
      </c>
      <c r="Y419" s="15" t="str">
        <f>VLOOKUP(D419,Lookup_Table!A:C,3,0)</f>
        <v>Vikram</v>
      </c>
      <c r="Z419" s="15" t="str">
        <f t="shared" si="41"/>
        <v>Achived</v>
      </c>
    </row>
    <row r="420" spans="1:26">
      <c r="A420" s="13" t="s">
        <v>511</v>
      </c>
      <c r="B420" s="14">
        <v>45668</v>
      </c>
      <c r="C420" s="13" t="s">
        <v>27</v>
      </c>
      <c r="D420" s="13" t="s">
        <v>60</v>
      </c>
      <c r="E420" s="13" t="s">
        <v>61</v>
      </c>
      <c r="F420" s="13" t="s">
        <v>116</v>
      </c>
      <c r="G420" s="13" t="s">
        <v>117</v>
      </c>
      <c r="H420" s="13" t="s">
        <v>32</v>
      </c>
      <c r="I420" s="13" t="s">
        <v>96</v>
      </c>
      <c r="J420" s="13">
        <v>5</v>
      </c>
      <c r="K420" s="13">
        <v>101.19</v>
      </c>
      <c r="L420" s="13">
        <v>0.1</v>
      </c>
      <c r="M420" s="13">
        <v>455.36</v>
      </c>
      <c r="N420" s="13">
        <v>324.83</v>
      </c>
      <c r="O420" s="13">
        <v>130.53</v>
      </c>
      <c r="P420" s="13">
        <v>3.9</v>
      </c>
      <c r="Q420" s="13" t="s">
        <v>64</v>
      </c>
      <c r="R420" s="13">
        <v>2025</v>
      </c>
      <c r="S420" s="15" t="str">
        <f t="shared" si="36"/>
        <v>Low Profit</v>
      </c>
      <c r="T420" s="15" t="str">
        <f t="shared" si="37"/>
        <v>Low Sales</v>
      </c>
      <c r="U420" s="15" t="str">
        <f t="shared" si="38"/>
        <v>Needs Improvement</v>
      </c>
      <c r="V420" s="15" t="str">
        <f t="shared" si="39"/>
        <v>Normal Discount</v>
      </c>
      <c r="W420" s="15">
        <f>VLOOKUP(D420,Lookup_Table!$A:$C,2,FALSE)</f>
        <v>0.15</v>
      </c>
      <c r="X420" s="15">
        <f t="shared" si="40"/>
        <v>0.286652319044273</v>
      </c>
      <c r="Y420" s="15" t="str">
        <f>VLOOKUP(D420,Lookup_Table!A:C,3,0)</f>
        <v>Priya</v>
      </c>
      <c r="Z420" s="15" t="str">
        <f t="shared" si="41"/>
        <v>Achived</v>
      </c>
    </row>
    <row r="421" spans="1:26">
      <c r="A421" s="13" t="s">
        <v>512</v>
      </c>
      <c r="B421" s="14">
        <v>46017</v>
      </c>
      <c r="C421" s="13" t="s">
        <v>55</v>
      </c>
      <c r="D421" s="13" t="s">
        <v>28</v>
      </c>
      <c r="E421" s="13" t="s">
        <v>49</v>
      </c>
      <c r="F421" s="13" t="s">
        <v>67</v>
      </c>
      <c r="G421" s="13" t="s">
        <v>68</v>
      </c>
      <c r="H421" s="13" t="s">
        <v>69</v>
      </c>
      <c r="I421" s="13" t="s">
        <v>46</v>
      </c>
      <c r="J421" s="13">
        <v>4</v>
      </c>
      <c r="K421" s="13">
        <v>134.69</v>
      </c>
      <c r="L421" s="13">
        <v>0</v>
      </c>
      <c r="M421" s="13">
        <v>538.76</v>
      </c>
      <c r="N421" s="13">
        <v>384.22</v>
      </c>
      <c r="O421" s="13">
        <v>154.54</v>
      </c>
      <c r="P421" s="13">
        <v>4</v>
      </c>
      <c r="Q421" s="13" t="s">
        <v>34</v>
      </c>
      <c r="R421" s="13">
        <v>2025</v>
      </c>
      <c r="S421" s="15" t="str">
        <f t="shared" si="36"/>
        <v>Low Profit</v>
      </c>
      <c r="T421" s="15" t="str">
        <f t="shared" si="37"/>
        <v>Low Sales</v>
      </c>
      <c r="U421" s="15" t="str">
        <f t="shared" si="38"/>
        <v>Good</v>
      </c>
      <c r="V421" s="15" t="str">
        <f t="shared" si="39"/>
        <v>Normal Discount</v>
      </c>
      <c r="W421" s="15">
        <f>VLOOKUP(D421,Lookup_Table!$A:$C,2,FALSE)</f>
        <v>0.2</v>
      </c>
      <c r="X421" s="15">
        <f t="shared" si="40"/>
        <v>0.286843863686985</v>
      </c>
      <c r="Y421" s="15" t="str">
        <f>VLOOKUP(D421,Lookup_Table!A:C,3,0)</f>
        <v>Sneha</v>
      </c>
      <c r="Z421" s="15" t="str">
        <f t="shared" si="41"/>
        <v>Achived</v>
      </c>
    </row>
    <row r="422" spans="1:26">
      <c r="A422" s="13" t="s">
        <v>513</v>
      </c>
      <c r="B422" s="14">
        <v>45752</v>
      </c>
      <c r="C422" s="13" t="s">
        <v>55</v>
      </c>
      <c r="D422" s="13" t="s">
        <v>60</v>
      </c>
      <c r="E422" s="13" t="s">
        <v>66</v>
      </c>
      <c r="F422" s="13" t="s">
        <v>75</v>
      </c>
      <c r="G422" s="13" t="s">
        <v>76</v>
      </c>
      <c r="H422" s="13" t="s">
        <v>77</v>
      </c>
      <c r="I422" s="13" t="s">
        <v>46</v>
      </c>
      <c r="J422" s="13">
        <v>5</v>
      </c>
      <c r="K422" s="13">
        <v>482.62</v>
      </c>
      <c r="L422" s="13">
        <v>0.05</v>
      </c>
      <c r="M422" s="13">
        <v>2292.44</v>
      </c>
      <c r="N422" s="13">
        <v>1634.69</v>
      </c>
      <c r="O422" s="13">
        <v>657.75</v>
      </c>
      <c r="P422" s="13">
        <v>2.8</v>
      </c>
      <c r="Q422" s="13" t="s">
        <v>84</v>
      </c>
      <c r="R422" s="13">
        <v>2025</v>
      </c>
      <c r="S422" s="15" t="str">
        <f t="shared" si="36"/>
        <v>High Profit</v>
      </c>
      <c r="T422" s="15" t="str">
        <f t="shared" si="37"/>
        <v>High Sales</v>
      </c>
      <c r="U422" s="15" t="str">
        <f t="shared" si="38"/>
        <v>Needs Improvement</v>
      </c>
      <c r="V422" s="15" t="str">
        <f t="shared" si="39"/>
        <v>Normal Discount</v>
      </c>
      <c r="W422" s="15">
        <f>VLOOKUP(D422,Lookup_Table!$A:$C,2,FALSE)</f>
        <v>0.15</v>
      </c>
      <c r="X422" s="15">
        <f t="shared" si="40"/>
        <v>0.286921358901433</v>
      </c>
      <c r="Y422" s="15" t="str">
        <f>VLOOKUP(D422,Lookup_Table!A:C,3,0)</f>
        <v>Priya</v>
      </c>
      <c r="Z422" s="15" t="str">
        <f t="shared" si="41"/>
        <v>Achived</v>
      </c>
    </row>
    <row r="423" spans="1:26">
      <c r="A423" s="13" t="s">
        <v>514</v>
      </c>
      <c r="B423" s="14">
        <v>45852</v>
      </c>
      <c r="C423" s="13" t="s">
        <v>55</v>
      </c>
      <c r="D423" s="13" t="s">
        <v>80</v>
      </c>
      <c r="E423" s="13" t="s">
        <v>115</v>
      </c>
      <c r="F423" s="13" t="s">
        <v>98</v>
      </c>
      <c r="G423" s="13" t="s">
        <v>99</v>
      </c>
      <c r="H423" s="13" t="s">
        <v>77</v>
      </c>
      <c r="I423" s="13" t="s">
        <v>96</v>
      </c>
      <c r="J423" s="13">
        <v>6</v>
      </c>
      <c r="K423" s="13">
        <v>52.08</v>
      </c>
      <c r="L423" s="13">
        <v>0.05</v>
      </c>
      <c r="M423" s="13">
        <v>296.86</v>
      </c>
      <c r="N423" s="13">
        <v>211.67</v>
      </c>
      <c r="O423" s="13">
        <v>85.19</v>
      </c>
      <c r="P423" s="13">
        <v>2.6</v>
      </c>
      <c r="Q423" s="13" t="s">
        <v>56</v>
      </c>
      <c r="R423" s="13">
        <v>2025</v>
      </c>
      <c r="S423" s="15" t="str">
        <f t="shared" si="36"/>
        <v>Low Profit</v>
      </c>
      <c r="T423" s="15" t="str">
        <f t="shared" si="37"/>
        <v>Low Sales</v>
      </c>
      <c r="U423" s="15" t="str">
        <f t="shared" si="38"/>
        <v>Needs Improvement</v>
      </c>
      <c r="V423" s="15" t="str">
        <f t="shared" si="39"/>
        <v>Normal Discount</v>
      </c>
      <c r="W423" s="15">
        <f>VLOOKUP(D423,Lookup_Table!$A:$C,2,FALSE)</f>
        <v>0.12</v>
      </c>
      <c r="X423" s="15">
        <f t="shared" si="40"/>
        <v>0.28697028902513</v>
      </c>
      <c r="Y423" s="15" t="str">
        <f>VLOOKUP(D423,Lookup_Table!A:C,3,0)</f>
        <v>Rahul</v>
      </c>
      <c r="Z423" s="15" t="str">
        <f t="shared" si="41"/>
        <v>Achived</v>
      </c>
    </row>
    <row r="424" spans="1:26">
      <c r="A424" s="13" t="s">
        <v>515</v>
      </c>
      <c r="B424" s="14">
        <v>45752</v>
      </c>
      <c r="C424" s="13" t="s">
        <v>27</v>
      </c>
      <c r="D424" s="13" t="s">
        <v>60</v>
      </c>
      <c r="E424" s="13" t="s">
        <v>150</v>
      </c>
      <c r="F424" s="13" t="s">
        <v>62</v>
      </c>
      <c r="G424" s="13" t="s">
        <v>63</v>
      </c>
      <c r="H424" s="13" t="s">
        <v>32</v>
      </c>
      <c r="I424" s="13" t="s">
        <v>96</v>
      </c>
      <c r="J424" s="13">
        <v>1</v>
      </c>
      <c r="K424" s="13">
        <v>740.04</v>
      </c>
      <c r="L424" s="13">
        <v>0</v>
      </c>
      <c r="M424" s="13">
        <v>740.04</v>
      </c>
      <c r="N424" s="13">
        <v>527.55</v>
      </c>
      <c r="O424" s="13">
        <v>212.49</v>
      </c>
      <c r="P424" s="13">
        <v>3.6</v>
      </c>
      <c r="Q424" s="13" t="s">
        <v>84</v>
      </c>
      <c r="R424" s="13">
        <v>2025</v>
      </c>
      <c r="S424" s="15" t="str">
        <f t="shared" si="36"/>
        <v>Low Profit</v>
      </c>
      <c r="T424" s="15" t="str">
        <f t="shared" si="37"/>
        <v>Low Sales</v>
      </c>
      <c r="U424" s="15" t="str">
        <f t="shared" si="38"/>
        <v>Needs Improvement</v>
      </c>
      <c r="V424" s="15" t="str">
        <f t="shared" si="39"/>
        <v>Normal Discount</v>
      </c>
      <c r="W424" s="15">
        <f>VLOOKUP(D424,Lookup_Table!$A:$C,2,FALSE)</f>
        <v>0.15</v>
      </c>
      <c r="X424" s="15">
        <f t="shared" si="40"/>
        <v>0.28713312793903</v>
      </c>
      <c r="Y424" s="15" t="str">
        <f>VLOOKUP(D424,Lookup_Table!A:C,3,0)</f>
        <v>Priya</v>
      </c>
      <c r="Z424" s="15" t="str">
        <f t="shared" si="41"/>
        <v>Achived</v>
      </c>
    </row>
    <row r="425" spans="1:26">
      <c r="A425" s="13" t="s">
        <v>516</v>
      </c>
      <c r="B425" s="14">
        <v>45924</v>
      </c>
      <c r="C425" s="13" t="s">
        <v>27</v>
      </c>
      <c r="D425" s="13" t="s">
        <v>60</v>
      </c>
      <c r="E425" s="13" t="s">
        <v>127</v>
      </c>
      <c r="F425" s="13" t="s">
        <v>39</v>
      </c>
      <c r="G425" s="13" t="s">
        <v>40</v>
      </c>
      <c r="H425" s="13" t="s">
        <v>41</v>
      </c>
      <c r="I425" s="13" t="s">
        <v>46</v>
      </c>
      <c r="J425" s="13">
        <v>6</v>
      </c>
      <c r="K425" s="13">
        <v>223</v>
      </c>
      <c r="L425" s="13">
        <v>0.15</v>
      </c>
      <c r="M425" s="13">
        <v>1137.3</v>
      </c>
      <c r="N425" s="13">
        <v>810.57</v>
      </c>
      <c r="O425" s="13">
        <v>326.73</v>
      </c>
      <c r="P425" s="13">
        <v>3.2</v>
      </c>
      <c r="Q425" s="13" t="s">
        <v>53</v>
      </c>
      <c r="R425" s="13">
        <v>2025</v>
      </c>
      <c r="S425" s="15" t="str">
        <f t="shared" si="36"/>
        <v>Low Profit</v>
      </c>
      <c r="T425" s="15" t="str">
        <f t="shared" si="37"/>
        <v>High Sales</v>
      </c>
      <c r="U425" s="15" t="str">
        <f t="shared" si="38"/>
        <v>Needs Improvement</v>
      </c>
      <c r="V425" s="15" t="str">
        <f t="shared" si="39"/>
        <v>High Discount</v>
      </c>
      <c r="W425" s="15">
        <f>VLOOKUP(D425,Lookup_Table!$A:$C,2,FALSE)</f>
        <v>0.15</v>
      </c>
      <c r="X425" s="15">
        <f t="shared" si="40"/>
        <v>0.28728567660248</v>
      </c>
      <c r="Y425" s="15" t="str">
        <f>VLOOKUP(D425,Lookup_Table!A:C,3,0)</f>
        <v>Priya</v>
      </c>
      <c r="Z425" s="15" t="str">
        <f t="shared" si="41"/>
        <v>Achived</v>
      </c>
    </row>
    <row r="426" spans="1:26">
      <c r="A426" s="13" t="s">
        <v>517</v>
      </c>
      <c r="B426" s="14">
        <v>45816</v>
      </c>
      <c r="C426" s="13" t="s">
        <v>36</v>
      </c>
      <c r="D426" s="13" t="s">
        <v>37</v>
      </c>
      <c r="E426" s="13" t="s">
        <v>86</v>
      </c>
      <c r="F426" s="13" t="s">
        <v>39</v>
      </c>
      <c r="G426" s="13" t="s">
        <v>40</v>
      </c>
      <c r="H426" s="13" t="s">
        <v>41</v>
      </c>
      <c r="I426" s="13" t="s">
        <v>52</v>
      </c>
      <c r="J426" s="13">
        <v>4</v>
      </c>
      <c r="K426" s="13">
        <v>103.61</v>
      </c>
      <c r="L426" s="13">
        <v>0</v>
      </c>
      <c r="M426" s="13">
        <v>414.44</v>
      </c>
      <c r="N426" s="13">
        <v>295.37</v>
      </c>
      <c r="O426" s="13">
        <v>119.07</v>
      </c>
      <c r="P426" s="13">
        <v>3.5</v>
      </c>
      <c r="Q426" s="13" t="s">
        <v>58</v>
      </c>
      <c r="R426" s="13">
        <v>2025</v>
      </c>
      <c r="S426" s="15" t="str">
        <f t="shared" si="36"/>
        <v>Low Profit</v>
      </c>
      <c r="T426" s="15" t="str">
        <f t="shared" si="37"/>
        <v>Low Sales</v>
      </c>
      <c r="U426" s="15" t="str">
        <f t="shared" si="38"/>
        <v>Needs Improvement</v>
      </c>
      <c r="V426" s="15" t="str">
        <f t="shared" si="39"/>
        <v>Normal Discount</v>
      </c>
      <c r="W426" s="15">
        <f>VLOOKUP(D426,Lookup_Table!$A:$C,2,FALSE)</f>
        <v>0.16</v>
      </c>
      <c r="X426" s="15">
        <f t="shared" si="40"/>
        <v>0.287303349097577</v>
      </c>
      <c r="Y426" s="15" t="str">
        <f>VLOOKUP(D426,Lookup_Table!A:C,3,0)</f>
        <v>Vikram</v>
      </c>
      <c r="Z426" s="15" t="str">
        <f t="shared" si="41"/>
        <v>Achived</v>
      </c>
    </row>
    <row r="427" spans="1:26">
      <c r="A427" s="13" t="s">
        <v>518</v>
      </c>
      <c r="B427" s="14">
        <v>45820</v>
      </c>
      <c r="C427" s="13" t="s">
        <v>36</v>
      </c>
      <c r="D427" s="13" t="s">
        <v>37</v>
      </c>
      <c r="E427" s="13" t="s">
        <v>38</v>
      </c>
      <c r="F427" s="13" t="s">
        <v>111</v>
      </c>
      <c r="G427" s="13" t="s">
        <v>76</v>
      </c>
      <c r="H427" s="13" t="s">
        <v>77</v>
      </c>
      <c r="I427" s="13" t="s">
        <v>96</v>
      </c>
      <c r="J427" s="13">
        <v>3</v>
      </c>
      <c r="K427" s="13">
        <v>90.22</v>
      </c>
      <c r="L427" s="13">
        <v>0</v>
      </c>
      <c r="M427" s="13">
        <v>270.66</v>
      </c>
      <c r="N427" s="13">
        <v>192.85</v>
      </c>
      <c r="O427" s="13">
        <v>77.81</v>
      </c>
      <c r="P427" s="13">
        <v>3.3</v>
      </c>
      <c r="Q427" s="13" t="s">
        <v>58</v>
      </c>
      <c r="R427" s="13">
        <v>2025</v>
      </c>
      <c r="S427" s="15" t="str">
        <f t="shared" si="36"/>
        <v>Low Profit</v>
      </c>
      <c r="T427" s="15" t="str">
        <f t="shared" si="37"/>
        <v>Low Sales</v>
      </c>
      <c r="U427" s="15" t="str">
        <f t="shared" si="38"/>
        <v>Needs Improvement</v>
      </c>
      <c r="V427" s="15" t="str">
        <f t="shared" si="39"/>
        <v>Normal Discount</v>
      </c>
      <c r="W427" s="15">
        <f>VLOOKUP(D427,Lookup_Table!$A:$C,2,FALSE)</f>
        <v>0.16</v>
      </c>
      <c r="X427" s="15">
        <f t="shared" si="40"/>
        <v>0.287482450306658</v>
      </c>
      <c r="Y427" s="15" t="str">
        <f>VLOOKUP(D427,Lookup_Table!A:C,3,0)</f>
        <v>Vikram</v>
      </c>
      <c r="Z427" s="15" t="str">
        <f t="shared" si="41"/>
        <v>Achived</v>
      </c>
    </row>
    <row r="428" spans="1:26">
      <c r="A428" s="13" t="s">
        <v>519</v>
      </c>
      <c r="B428" s="14">
        <v>45926</v>
      </c>
      <c r="C428" s="13" t="s">
        <v>36</v>
      </c>
      <c r="D428" s="13" t="s">
        <v>60</v>
      </c>
      <c r="E428" s="13" t="s">
        <v>66</v>
      </c>
      <c r="F428" s="13" t="s">
        <v>39</v>
      </c>
      <c r="G428" s="13" t="s">
        <v>40</v>
      </c>
      <c r="H428" s="13" t="s">
        <v>41</v>
      </c>
      <c r="I428" s="13" t="s">
        <v>33</v>
      </c>
      <c r="J428" s="13">
        <v>4</v>
      </c>
      <c r="K428" s="13">
        <v>765.84</v>
      </c>
      <c r="L428" s="13">
        <v>0.05</v>
      </c>
      <c r="M428" s="13">
        <v>2910.19</v>
      </c>
      <c r="N428" s="13">
        <v>2072.72</v>
      </c>
      <c r="O428" s="13">
        <v>837.47</v>
      </c>
      <c r="P428" s="13">
        <v>4.2</v>
      </c>
      <c r="Q428" s="13" t="s">
        <v>53</v>
      </c>
      <c r="R428" s="13">
        <v>2025</v>
      </c>
      <c r="S428" s="15" t="str">
        <f t="shared" si="36"/>
        <v>High Profit</v>
      </c>
      <c r="T428" s="15" t="str">
        <f t="shared" si="37"/>
        <v>High Sales</v>
      </c>
      <c r="U428" s="15" t="str">
        <f t="shared" si="38"/>
        <v>Good</v>
      </c>
      <c r="V428" s="15" t="str">
        <f t="shared" si="39"/>
        <v>Normal Discount</v>
      </c>
      <c r="W428" s="15">
        <f>VLOOKUP(D428,Lookup_Table!$A:$C,2,FALSE)</f>
        <v>0.15</v>
      </c>
      <c r="X428" s="15">
        <f t="shared" si="40"/>
        <v>0.287771588796608</v>
      </c>
      <c r="Y428" s="15" t="str">
        <f>VLOOKUP(D428,Lookup_Table!A:C,3,0)</f>
        <v>Priya</v>
      </c>
      <c r="Z428" s="15" t="str">
        <f t="shared" si="41"/>
        <v>Achived</v>
      </c>
    </row>
    <row r="429" spans="1:26">
      <c r="A429" s="13" t="s">
        <v>520</v>
      </c>
      <c r="B429" s="14">
        <v>45955</v>
      </c>
      <c r="C429" s="13" t="s">
        <v>27</v>
      </c>
      <c r="D429" s="13" t="s">
        <v>60</v>
      </c>
      <c r="E429" s="13" t="s">
        <v>127</v>
      </c>
      <c r="F429" s="13" t="s">
        <v>111</v>
      </c>
      <c r="G429" s="13" t="s">
        <v>76</v>
      </c>
      <c r="H429" s="13" t="s">
        <v>77</v>
      </c>
      <c r="I429" s="13" t="s">
        <v>52</v>
      </c>
      <c r="J429" s="13">
        <v>7</v>
      </c>
      <c r="K429" s="13">
        <v>109.96</v>
      </c>
      <c r="L429" s="13">
        <v>0</v>
      </c>
      <c r="M429" s="13">
        <v>769.72</v>
      </c>
      <c r="N429" s="13">
        <v>548.18</v>
      </c>
      <c r="O429" s="13">
        <v>221.54</v>
      </c>
      <c r="P429" s="13">
        <v>3.1</v>
      </c>
      <c r="Q429" s="13" t="s">
        <v>87</v>
      </c>
      <c r="R429" s="13">
        <v>2025</v>
      </c>
      <c r="S429" s="15" t="str">
        <f t="shared" si="36"/>
        <v>Low Profit</v>
      </c>
      <c r="T429" s="15" t="str">
        <f t="shared" si="37"/>
        <v>Low Sales</v>
      </c>
      <c r="U429" s="15" t="str">
        <f t="shared" si="38"/>
        <v>Needs Improvement</v>
      </c>
      <c r="V429" s="15" t="str">
        <f t="shared" si="39"/>
        <v>Normal Discount</v>
      </c>
      <c r="W429" s="15">
        <f>VLOOKUP(D429,Lookup_Table!$A:$C,2,FALSE)</f>
        <v>0.15</v>
      </c>
      <c r="X429" s="15">
        <f t="shared" si="40"/>
        <v>0.287818947149613</v>
      </c>
      <c r="Y429" s="15" t="str">
        <f>VLOOKUP(D429,Lookup_Table!A:C,3,0)</f>
        <v>Priya</v>
      </c>
      <c r="Z429" s="15" t="str">
        <f t="shared" si="41"/>
        <v>Achived</v>
      </c>
    </row>
    <row r="430" spans="1:26">
      <c r="A430" s="13" t="s">
        <v>521</v>
      </c>
      <c r="B430" s="14">
        <v>45965</v>
      </c>
      <c r="C430" s="13" t="s">
        <v>27</v>
      </c>
      <c r="D430" s="13" t="s">
        <v>28</v>
      </c>
      <c r="E430" s="13" t="s">
        <v>49</v>
      </c>
      <c r="F430" s="13" t="s">
        <v>75</v>
      </c>
      <c r="G430" s="13" t="s">
        <v>76</v>
      </c>
      <c r="H430" s="13" t="s">
        <v>77</v>
      </c>
      <c r="I430" s="13" t="s">
        <v>33</v>
      </c>
      <c r="J430" s="13">
        <v>4</v>
      </c>
      <c r="K430" s="13">
        <v>74.04</v>
      </c>
      <c r="L430" s="13">
        <v>0</v>
      </c>
      <c r="M430" s="13">
        <v>296.16</v>
      </c>
      <c r="N430" s="13">
        <v>210.66</v>
      </c>
      <c r="O430" s="13">
        <v>85.5</v>
      </c>
      <c r="P430" s="13">
        <v>3.4</v>
      </c>
      <c r="Q430" s="13" t="s">
        <v>71</v>
      </c>
      <c r="R430" s="13">
        <v>2025</v>
      </c>
      <c r="S430" s="15" t="str">
        <f t="shared" si="36"/>
        <v>Low Profit</v>
      </c>
      <c r="T430" s="15" t="str">
        <f t="shared" si="37"/>
        <v>Low Sales</v>
      </c>
      <c r="U430" s="15" t="str">
        <f t="shared" si="38"/>
        <v>Needs Improvement</v>
      </c>
      <c r="V430" s="15" t="str">
        <f t="shared" si="39"/>
        <v>Normal Discount</v>
      </c>
      <c r="W430" s="15">
        <f>VLOOKUP(D430,Lookup_Table!$A:$C,2,FALSE)</f>
        <v>0.2</v>
      </c>
      <c r="X430" s="15">
        <f t="shared" si="40"/>
        <v>0.288695299837925</v>
      </c>
      <c r="Y430" s="15" t="str">
        <f>VLOOKUP(D430,Lookup_Table!A:C,3,0)</f>
        <v>Sneha</v>
      </c>
      <c r="Z430" s="15" t="str">
        <f t="shared" si="41"/>
        <v>Achived</v>
      </c>
    </row>
    <row r="431" spans="1:26">
      <c r="A431" s="13" t="s">
        <v>522</v>
      </c>
      <c r="B431" s="14">
        <v>45709</v>
      </c>
      <c r="C431" s="13" t="s">
        <v>55</v>
      </c>
      <c r="D431" s="13" t="s">
        <v>44</v>
      </c>
      <c r="E431" s="13" t="s">
        <v>137</v>
      </c>
      <c r="F431" s="13" t="s">
        <v>67</v>
      </c>
      <c r="G431" s="13" t="s">
        <v>68</v>
      </c>
      <c r="H431" s="13" t="s">
        <v>69</v>
      </c>
      <c r="I431" s="13" t="s">
        <v>33</v>
      </c>
      <c r="J431" s="13">
        <v>5</v>
      </c>
      <c r="K431" s="13">
        <v>1356.93</v>
      </c>
      <c r="L431" s="13">
        <v>0.1</v>
      </c>
      <c r="M431" s="13">
        <v>6106.18</v>
      </c>
      <c r="N431" s="13">
        <v>4342.8</v>
      </c>
      <c r="O431" s="13">
        <v>1763.38</v>
      </c>
      <c r="P431" s="13">
        <v>2.7</v>
      </c>
      <c r="Q431" s="13" t="s">
        <v>105</v>
      </c>
      <c r="R431" s="13">
        <v>2025</v>
      </c>
      <c r="S431" s="15" t="str">
        <f t="shared" si="36"/>
        <v>High Profit</v>
      </c>
      <c r="T431" s="15" t="str">
        <f t="shared" si="37"/>
        <v>High Sales</v>
      </c>
      <c r="U431" s="15" t="str">
        <f t="shared" si="38"/>
        <v>Needs Improvement</v>
      </c>
      <c r="V431" s="15" t="str">
        <f t="shared" si="39"/>
        <v>Normal Discount</v>
      </c>
      <c r="W431" s="15">
        <f>VLOOKUP(D431,Lookup_Table!$A:$C,2,FALSE)</f>
        <v>0.18</v>
      </c>
      <c r="X431" s="15">
        <f t="shared" si="40"/>
        <v>0.288786115050654</v>
      </c>
      <c r="Y431" s="15" t="str">
        <f>VLOOKUP(D431,Lookup_Table!A:C,3,0)</f>
        <v>Amit</v>
      </c>
      <c r="Z431" s="15" t="str">
        <f t="shared" si="41"/>
        <v>Achived</v>
      </c>
    </row>
    <row r="432" spans="1:26">
      <c r="A432" s="13" t="s">
        <v>523</v>
      </c>
      <c r="B432" s="14">
        <v>45674</v>
      </c>
      <c r="C432" s="13" t="s">
        <v>55</v>
      </c>
      <c r="D432" s="13" t="s">
        <v>44</v>
      </c>
      <c r="E432" s="13" t="s">
        <v>143</v>
      </c>
      <c r="F432" s="13" t="s">
        <v>111</v>
      </c>
      <c r="G432" s="13" t="s">
        <v>76</v>
      </c>
      <c r="H432" s="13" t="s">
        <v>77</v>
      </c>
      <c r="I432" s="13" t="s">
        <v>96</v>
      </c>
      <c r="J432" s="13">
        <v>6</v>
      </c>
      <c r="K432" s="13">
        <v>996.66</v>
      </c>
      <c r="L432" s="13">
        <v>0.1</v>
      </c>
      <c r="M432" s="13">
        <v>5381.96</v>
      </c>
      <c r="N432" s="13">
        <v>3826.43</v>
      </c>
      <c r="O432" s="13">
        <v>1555.53</v>
      </c>
      <c r="P432" s="13">
        <v>4.3</v>
      </c>
      <c r="Q432" s="13" t="s">
        <v>64</v>
      </c>
      <c r="R432" s="13">
        <v>2025</v>
      </c>
      <c r="S432" s="15" t="str">
        <f t="shared" si="36"/>
        <v>High Profit</v>
      </c>
      <c r="T432" s="15" t="str">
        <f t="shared" si="37"/>
        <v>High Sales</v>
      </c>
      <c r="U432" s="15" t="str">
        <f t="shared" si="38"/>
        <v>Good</v>
      </c>
      <c r="V432" s="15" t="str">
        <f t="shared" si="39"/>
        <v>Normal Discount</v>
      </c>
      <c r="W432" s="15">
        <f>VLOOKUP(D432,Lookup_Table!$A:$C,2,FALSE)</f>
        <v>0.18</v>
      </c>
      <c r="X432" s="15">
        <f t="shared" si="40"/>
        <v>0.289026674297096</v>
      </c>
      <c r="Y432" s="15" t="str">
        <f>VLOOKUP(D432,Lookup_Table!A:C,3,0)</f>
        <v>Amit</v>
      </c>
      <c r="Z432" s="15" t="str">
        <f t="shared" si="41"/>
        <v>Achived</v>
      </c>
    </row>
    <row r="433" spans="1:26">
      <c r="A433" s="13" t="s">
        <v>524</v>
      </c>
      <c r="B433" s="14">
        <v>45992</v>
      </c>
      <c r="C433" s="13" t="s">
        <v>36</v>
      </c>
      <c r="D433" s="13" t="s">
        <v>44</v>
      </c>
      <c r="E433" s="13" t="s">
        <v>45</v>
      </c>
      <c r="F433" s="13" t="s">
        <v>75</v>
      </c>
      <c r="G433" s="13" t="s">
        <v>76</v>
      </c>
      <c r="H433" s="13" t="s">
        <v>77</v>
      </c>
      <c r="I433" s="13" t="s">
        <v>52</v>
      </c>
      <c r="J433" s="13">
        <v>2</v>
      </c>
      <c r="K433" s="13">
        <v>1059.87</v>
      </c>
      <c r="L433" s="13">
        <v>0.15</v>
      </c>
      <c r="M433" s="13">
        <v>1801.78</v>
      </c>
      <c r="N433" s="13">
        <v>1280.93</v>
      </c>
      <c r="O433" s="13">
        <v>520.85</v>
      </c>
      <c r="P433" s="13">
        <v>4.2</v>
      </c>
      <c r="Q433" s="13" t="s">
        <v>34</v>
      </c>
      <c r="R433" s="13">
        <v>2025</v>
      </c>
      <c r="S433" s="15" t="str">
        <f t="shared" si="36"/>
        <v>High Profit</v>
      </c>
      <c r="T433" s="15" t="str">
        <f t="shared" si="37"/>
        <v>High Sales</v>
      </c>
      <c r="U433" s="15" t="str">
        <f t="shared" si="38"/>
        <v>Good</v>
      </c>
      <c r="V433" s="15" t="str">
        <f t="shared" si="39"/>
        <v>High Discount</v>
      </c>
      <c r="W433" s="15">
        <f>VLOOKUP(D433,Lookup_Table!$A:$C,2,FALSE)</f>
        <v>0.18</v>
      </c>
      <c r="X433" s="15">
        <f t="shared" si="40"/>
        <v>0.289075247810499</v>
      </c>
      <c r="Y433" s="15" t="str">
        <f>VLOOKUP(D433,Lookup_Table!A:C,3,0)</f>
        <v>Amit</v>
      </c>
      <c r="Z433" s="15" t="str">
        <f t="shared" si="41"/>
        <v>Achived</v>
      </c>
    </row>
    <row r="434" spans="1:26">
      <c r="A434" s="13" t="s">
        <v>525</v>
      </c>
      <c r="B434" s="14">
        <v>45922</v>
      </c>
      <c r="C434" s="13" t="s">
        <v>55</v>
      </c>
      <c r="D434" s="13" t="s">
        <v>80</v>
      </c>
      <c r="E434" s="13" t="s">
        <v>115</v>
      </c>
      <c r="F434" s="13" t="s">
        <v>116</v>
      </c>
      <c r="G434" s="13" t="s">
        <v>117</v>
      </c>
      <c r="H434" s="13" t="s">
        <v>32</v>
      </c>
      <c r="I434" s="13" t="s">
        <v>52</v>
      </c>
      <c r="J434" s="13">
        <v>1</v>
      </c>
      <c r="K434" s="13">
        <v>12.38</v>
      </c>
      <c r="L434" s="13">
        <v>0</v>
      </c>
      <c r="M434" s="13">
        <v>12.38</v>
      </c>
      <c r="N434" s="13">
        <v>8.8</v>
      </c>
      <c r="O434" s="13">
        <v>3.58</v>
      </c>
      <c r="P434" s="13">
        <v>3</v>
      </c>
      <c r="Q434" s="13" t="s">
        <v>53</v>
      </c>
      <c r="R434" s="13">
        <v>2025</v>
      </c>
      <c r="S434" s="15" t="str">
        <f t="shared" si="36"/>
        <v>Low Profit</v>
      </c>
      <c r="T434" s="15" t="str">
        <f t="shared" si="37"/>
        <v>Low Sales</v>
      </c>
      <c r="U434" s="15" t="str">
        <f t="shared" si="38"/>
        <v>Needs Improvement</v>
      </c>
      <c r="V434" s="15" t="str">
        <f t="shared" si="39"/>
        <v>Normal Discount</v>
      </c>
      <c r="W434" s="15">
        <f>VLOOKUP(D434,Lookup_Table!$A:$C,2,FALSE)</f>
        <v>0.12</v>
      </c>
      <c r="X434" s="15">
        <f t="shared" si="40"/>
        <v>0.289176090468498</v>
      </c>
      <c r="Y434" s="15" t="str">
        <f>VLOOKUP(D434,Lookup_Table!A:C,3,0)</f>
        <v>Rahul</v>
      </c>
      <c r="Z434" s="15" t="str">
        <f t="shared" si="41"/>
        <v>Achived</v>
      </c>
    </row>
    <row r="435" spans="1:26">
      <c r="A435" s="13" t="s">
        <v>526</v>
      </c>
      <c r="B435" s="14">
        <v>45758</v>
      </c>
      <c r="C435" s="13" t="s">
        <v>27</v>
      </c>
      <c r="D435" s="13" t="s">
        <v>28</v>
      </c>
      <c r="E435" s="13" t="s">
        <v>73</v>
      </c>
      <c r="F435" s="13" t="s">
        <v>62</v>
      </c>
      <c r="G435" s="13" t="s">
        <v>63</v>
      </c>
      <c r="H435" s="13" t="s">
        <v>32</v>
      </c>
      <c r="I435" s="13" t="s">
        <v>46</v>
      </c>
      <c r="J435" s="13">
        <v>2</v>
      </c>
      <c r="K435" s="13">
        <v>173.74</v>
      </c>
      <c r="L435" s="13">
        <v>0.15</v>
      </c>
      <c r="M435" s="13">
        <v>295.36</v>
      </c>
      <c r="N435" s="13">
        <v>209.9</v>
      </c>
      <c r="O435" s="13">
        <v>85.46</v>
      </c>
      <c r="P435" s="13">
        <v>4.8</v>
      </c>
      <c r="Q435" s="13" t="s">
        <v>84</v>
      </c>
      <c r="R435" s="13">
        <v>2025</v>
      </c>
      <c r="S435" s="15" t="str">
        <f t="shared" si="36"/>
        <v>Low Profit</v>
      </c>
      <c r="T435" s="15" t="str">
        <f t="shared" si="37"/>
        <v>Low Sales</v>
      </c>
      <c r="U435" s="15" t="str">
        <f t="shared" si="38"/>
        <v>Good</v>
      </c>
      <c r="V435" s="15" t="str">
        <f t="shared" si="39"/>
        <v>High Discount</v>
      </c>
      <c r="W435" s="15">
        <f>VLOOKUP(D435,Lookup_Table!$A:$C,2,FALSE)</f>
        <v>0.2</v>
      </c>
      <c r="X435" s="15">
        <f t="shared" si="40"/>
        <v>0.289341820151679</v>
      </c>
      <c r="Y435" s="15" t="str">
        <f>VLOOKUP(D435,Lookup_Table!A:C,3,0)</f>
        <v>Sneha</v>
      </c>
      <c r="Z435" s="15" t="str">
        <f t="shared" si="41"/>
        <v>Achived</v>
      </c>
    </row>
    <row r="436" spans="1:26">
      <c r="A436" s="13" t="s">
        <v>527</v>
      </c>
      <c r="B436" s="14">
        <v>45767</v>
      </c>
      <c r="C436" s="13" t="s">
        <v>55</v>
      </c>
      <c r="D436" s="13" t="s">
        <v>28</v>
      </c>
      <c r="E436" s="13" t="s">
        <v>90</v>
      </c>
      <c r="F436" s="13" t="s">
        <v>111</v>
      </c>
      <c r="G436" s="13" t="s">
        <v>76</v>
      </c>
      <c r="H436" s="13" t="s">
        <v>77</v>
      </c>
      <c r="I436" s="13" t="s">
        <v>33</v>
      </c>
      <c r="J436" s="13">
        <v>3</v>
      </c>
      <c r="K436" s="13">
        <v>133.68</v>
      </c>
      <c r="L436" s="13">
        <v>0.1</v>
      </c>
      <c r="M436" s="13">
        <v>360.94</v>
      </c>
      <c r="N436" s="13">
        <v>256.4</v>
      </c>
      <c r="O436" s="13">
        <v>104.54</v>
      </c>
      <c r="P436" s="13">
        <v>3.7</v>
      </c>
      <c r="Q436" s="13" t="s">
        <v>84</v>
      </c>
      <c r="R436" s="13">
        <v>2025</v>
      </c>
      <c r="S436" s="15" t="str">
        <f t="shared" si="36"/>
        <v>Low Profit</v>
      </c>
      <c r="T436" s="15" t="str">
        <f t="shared" si="37"/>
        <v>Low Sales</v>
      </c>
      <c r="U436" s="15" t="str">
        <f t="shared" si="38"/>
        <v>Needs Improvement</v>
      </c>
      <c r="V436" s="15" t="str">
        <f t="shared" si="39"/>
        <v>Normal Discount</v>
      </c>
      <c r="W436" s="15">
        <f>VLOOKUP(D436,Lookup_Table!$A:$C,2,FALSE)</f>
        <v>0.2</v>
      </c>
      <c r="X436" s="15">
        <f t="shared" si="40"/>
        <v>0.289632625921206</v>
      </c>
      <c r="Y436" s="15" t="str">
        <f>VLOOKUP(D436,Lookup_Table!A:C,3,0)</f>
        <v>Sneha</v>
      </c>
      <c r="Z436" s="15" t="str">
        <f t="shared" si="41"/>
        <v>Achived</v>
      </c>
    </row>
    <row r="437" spans="1:26">
      <c r="A437" s="13" t="s">
        <v>528</v>
      </c>
      <c r="B437" s="14">
        <v>46017</v>
      </c>
      <c r="C437" s="13" t="s">
        <v>55</v>
      </c>
      <c r="D437" s="13" t="s">
        <v>60</v>
      </c>
      <c r="E437" s="13" t="s">
        <v>61</v>
      </c>
      <c r="F437" s="13" t="s">
        <v>30</v>
      </c>
      <c r="G437" s="13" t="s">
        <v>31</v>
      </c>
      <c r="H437" s="13" t="s">
        <v>32</v>
      </c>
      <c r="I437" s="13" t="s">
        <v>52</v>
      </c>
      <c r="J437" s="13">
        <v>6</v>
      </c>
      <c r="K437" s="13">
        <v>294.14</v>
      </c>
      <c r="L437" s="13">
        <v>0</v>
      </c>
      <c r="M437" s="13">
        <v>1764.84</v>
      </c>
      <c r="N437" s="13">
        <v>1253.41</v>
      </c>
      <c r="O437" s="13">
        <v>511.43</v>
      </c>
      <c r="P437" s="13">
        <v>2.8</v>
      </c>
      <c r="Q437" s="13" t="s">
        <v>34</v>
      </c>
      <c r="R437" s="13">
        <v>2025</v>
      </c>
      <c r="S437" s="15" t="str">
        <f t="shared" si="36"/>
        <v>High Profit</v>
      </c>
      <c r="T437" s="15" t="str">
        <f t="shared" si="37"/>
        <v>High Sales</v>
      </c>
      <c r="U437" s="15" t="str">
        <f t="shared" si="38"/>
        <v>Needs Improvement</v>
      </c>
      <c r="V437" s="15" t="str">
        <f t="shared" si="39"/>
        <v>Normal Discount</v>
      </c>
      <c r="W437" s="15">
        <f>VLOOKUP(D437,Lookup_Table!$A:$C,2,FALSE)</f>
        <v>0.15</v>
      </c>
      <c r="X437" s="15">
        <f t="shared" si="40"/>
        <v>0.289788309421817</v>
      </c>
      <c r="Y437" s="15" t="str">
        <f>VLOOKUP(D437,Lookup_Table!A:C,3,0)</f>
        <v>Priya</v>
      </c>
      <c r="Z437" s="15" t="str">
        <f t="shared" si="41"/>
        <v>Achived</v>
      </c>
    </row>
    <row r="438" spans="1:26">
      <c r="A438" s="13" t="s">
        <v>529</v>
      </c>
      <c r="B438" s="14">
        <v>45682</v>
      </c>
      <c r="C438" s="13" t="s">
        <v>55</v>
      </c>
      <c r="D438" s="13" t="s">
        <v>44</v>
      </c>
      <c r="E438" s="13" t="s">
        <v>137</v>
      </c>
      <c r="F438" s="13" t="s">
        <v>82</v>
      </c>
      <c r="G438" s="13" t="s">
        <v>83</v>
      </c>
      <c r="H438" s="13" t="s">
        <v>77</v>
      </c>
      <c r="I438" s="13" t="s">
        <v>33</v>
      </c>
      <c r="J438" s="13">
        <v>7</v>
      </c>
      <c r="K438" s="13">
        <v>422.45</v>
      </c>
      <c r="L438" s="13">
        <v>0.05</v>
      </c>
      <c r="M438" s="13">
        <v>2809.29</v>
      </c>
      <c r="N438" s="13">
        <v>1994.83</v>
      </c>
      <c r="O438" s="13">
        <v>814.46</v>
      </c>
      <c r="P438" s="13">
        <v>4.5</v>
      </c>
      <c r="Q438" s="13" t="s">
        <v>64</v>
      </c>
      <c r="R438" s="13">
        <v>2025</v>
      </c>
      <c r="S438" s="15" t="str">
        <f t="shared" si="36"/>
        <v>High Profit</v>
      </c>
      <c r="T438" s="15" t="str">
        <f t="shared" si="37"/>
        <v>High Sales</v>
      </c>
      <c r="U438" s="15" t="str">
        <f t="shared" si="38"/>
        <v>Good</v>
      </c>
      <c r="V438" s="15" t="str">
        <f t="shared" si="39"/>
        <v>Normal Discount</v>
      </c>
      <c r="W438" s="15">
        <f>VLOOKUP(D438,Lookup_Table!$A:$C,2,FALSE)</f>
        <v>0.18</v>
      </c>
      <c r="X438" s="15">
        <f t="shared" si="40"/>
        <v>0.28991666933638</v>
      </c>
      <c r="Y438" s="15" t="str">
        <f>VLOOKUP(D438,Lookup_Table!A:C,3,0)</f>
        <v>Amit</v>
      </c>
      <c r="Z438" s="15" t="str">
        <f t="shared" si="41"/>
        <v>Achived</v>
      </c>
    </row>
    <row r="439" spans="1:26">
      <c r="A439" s="13" t="s">
        <v>530</v>
      </c>
      <c r="B439" s="14">
        <v>45849</v>
      </c>
      <c r="C439" s="13" t="s">
        <v>55</v>
      </c>
      <c r="D439" s="13" t="s">
        <v>44</v>
      </c>
      <c r="E439" s="13" t="s">
        <v>137</v>
      </c>
      <c r="F439" s="13" t="s">
        <v>30</v>
      </c>
      <c r="G439" s="13" t="s">
        <v>31</v>
      </c>
      <c r="H439" s="13" t="s">
        <v>32</v>
      </c>
      <c r="I439" s="13" t="s">
        <v>46</v>
      </c>
      <c r="J439" s="13">
        <v>2</v>
      </c>
      <c r="K439" s="13">
        <v>1469.07</v>
      </c>
      <c r="L439" s="13">
        <v>0.1</v>
      </c>
      <c r="M439" s="13">
        <v>2644.33</v>
      </c>
      <c r="N439" s="13">
        <v>1877.65</v>
      </c>
      <c r="O439" s="13">
        <v>766.68</v>
      </c>
      <c r="P439" s="13">
        <v>4.4</v>
      </c>
      <c r="Q439" s="13" t="s">
        <v>56</v>
      </c>
      <c r="R439" s="13">
        <v>2025</v>
      </c>
      <c r="S439" s="15" t="str">
        <f t="shared" si="36"/>
        <v>High Profit</v>
      </c>
      <c r="T439" s="15" t="str">
        <f t="shared" si="37"/>
        <v>High Sales</v>
      </c>
      <c r="U439" s="15" t="str">
        <f t="shared" si="38"/>
        <v>Good</v>
      </c>
      <c r="V439" s="15" t="str">
        <f t="shared" si="39"/>
        <v>Normal Discount</v>
      </c>
      <c r="W439" s="15">
        <f>VLOOKUP(D439,Lookup_Table!$A:$C,2,FALSE)</f>
        <v>0.18</v>
      </c>
      <c r="X439" s="15">
        <f t="shared" si="40"/>
        <v>0.28993355594801</v>
      </c>
      <c r="Y439" s="15" t="str">
        <f>VLOOKUP(D439,Lookup_Table!A:C,3,0)</f>
        <v>Amit</v>
      </c>
      <c r="Z439" s="15" t="str">
        <f t="shared" si="41"/>
        <v>Achived</v>
      </c>
    </row>
    <row r="440" spans="1:26">
      <c r="A440" s="13" t="s">
        <v>531</v>
      </c>
      <c r="B440" s="14">
        <v>45675</v>
      </c>
      <c r="C440" s="13" t="s">
        <v>55</v>
      </c>
      <c r="D440" s="13" t="s">
        <v>28</v>
      </c>
      <c r="E440" s="13" t="s">
        <v>49</v>
      </c>
      <c r="F440" s="13" t="s">
        <v>67</v>
      </c>
      <c r="G440" s="13" t="s">
        <v>68</v>
      </c>
      <c r="H440" s="13" t="s">
        <v>69</v>
      </c>
      <c r="I440" s="13" t="s">
        <v>33</v>
      </c>
      <c r="J440" s="13">
        <v>4</v>
      </c>
      <c r="K440" s="13">
        <v>94.73</v>
      </c>
      <c r="L440" s="13">
        <v>0.1</v>
      </c>
      <c r="M440" s="13">
        <v>341.03</v>
      </c>
      <c r="N440" s="13">
        <v>242</v>
      </c>
      <c r="O440" s="13">
        <v>99.03</v>
      </c>
      <c r="P440" s="13">
        <v>4.2</v>
      </c>
      <c r="Q440" s="13" t="s">
        <v>64</v>
      </c>
      <c r="R440" s="13">
        <v>2025</v>
      </c>
      <c r="S440" s="15" t="str">
        <f t="shared" si="36"/>
        <v>Low Profit</v>
      </c>
      <c r="T440" s="15" t="str">
        <f t="shared" si="37"/>
        <v>Low Sales</v>
      </c>
      <c r="U440" s="15" t="str">
        <f t="shared" si="38"/>
        <v>Good</v>
      </c>
      <c r="V440" s="15" t="str">
        <f t="shared" si="39"/>
        <v>Normal Discount</v>
      </c>
      <c r="W440" s="15">
        <f>VLOOKUP(D440,Lookup_Table!$A:$C,2,FALSE)</f>
        <v>0.2</v>
      </c>
      <c r="X440" s="15">
        <f t="shared" si="40"/>
        <v>0.290385010116412</v>
      </c>
      <c r="Y440" s="15" t="str">
        <f>VLOOKUP(D440,Lookup_Table!A:C,3,0)</f>
        <v>Sneha</v>
      </c>
      <c r="Z440" s="15" t="str">
        <f t="shared" si="41"/>
        <v>Achived</v>
      </c>
    </row>
    <row r="441" spans="1:26">
      <c r="A441" s="13" t="s">
        <v>532</v>
      </c>
      <c r="B441" s="14">
        <v>45798</v>
      </c>
      <c r="C441" s="13" t="s">
        <v>36</v>
      </c>
      <c r="D441" s="13" t="s">
        <v>60</v>
      </c>
      <c r="E441" s="13" t="s">
        <v>66</v>
      </c>
      <c r="F441" s="13" t="s">
        <v>116</v>
      </c>
      <c r="G441" s="13" t="s">
        <v>117</v>
      </c>
      <c r="H441" s="13" t="s">
        <v>32</v>
      </c>
      <c r="I441" s="13" t="s">
        <v>33</v>
      </c>
      <c r="J441" s="13">
        <v>5</v>
      </c>
      <c r="K441" s="13">
        <v>850.75</v>
      </c>
      <c r="L441" s="13">
        <v>0.1</v>
      </c>
      <c r="M441" s="13">
        <v>3828.38</v>
      </c>
      <c r="N441" s="13">
        <v>2716.54</v>
      </c>
      <c r="O441" s="13">
        <v>1111.84</v>
      </c>
      <c r="P441" s="13">
        <v>3.5</v>
      </c>
      <c r="Q441" s="13" t="s">
        <v>42</v>
      </c>
      <c r="R441" s="13">
        <v>2025</v>
      </c>
      <c r="S441" s="15" t="str">
        <f t="shared" si="36"/>
        <v>High Profit</v>
      </c>
      <c r="T441" s="15" t="str">
        <f t="shared" si="37"/>
        <v>High Sales</v>
      </c>
      <c r="U441" s="15" t="str">
        <f t="shared" si="38"/>
        <v>Needs Improvement</v>
      </c>
      <c r="V441" s="15" t="str">
        <f t="shared" si="39"/>
        <v>Normal Discount</v>
      </c>
      <c r="W441" s="15">
        <f>VLOOKUP(D441,Lookup_Table!$A:$C,2,FALSE)</f>
        <v>0.15</v>
      </c>
      <c r="X441" s="15">
        <f t="shared" si="40"/>
        <v>0.290420491173812</v>
      </c>
      <c r="Y441" s="15" t="str">
        <f>VLOOKUP(D441,Lookup_Table!A:C,3,0)</f>
        <v>Priya</v>
      </c>
      <c r="Z441" s="15" t="str">
        <f t="shared" si="41"/>
        <v>Achived</v>
      </c>
    </row>
    <row r="442" spans="1:26">
      <c r="A442" s="13" t="s">
        <v>533</v>
      </c>
      <c r="B442" s="14">
        <v>45769</v>
      </c>
      <c r="C442" s="13" t="s">
        <v>27</v>
      </c>
      <c r="D442" s="13" t="s">
        <v>28</v>
      </c>
      <c r="E442" s="13" t="s">
        <v>49</v>
      </c>
      <c r="F442" s="13" t="s">
        <v>62</v>
      </c>
      <c r="G442" s="13" t="s">
        <v>63</v>
      </c>
      <c r="H442" s="13" t="s">
        <v>32</v>
      </c>
      <c r="I442" s="13" t="s">
        <v>52</v>
      </c>
      <c r="J442" s="13">
        <v>3</v>
      </c>
      <c r="K442" s="13">
        <v>35.95</v>
      </c>
      <c r="L442" s="13">
        <v>0.05</v>
      </c>
      <c r="M442" s="13">
        <v>102.46</v>
      </c>
      <c r="N442" s="13">
        <v>72.69</v>
      </c>
      <c r="O442" s="13">
        <v>29.77</v>
      </c>
      <c r="P442" s="13">
        <v>4.7</v>
      </c>
      <c r="Q442" s="13" t="s">
        <v>84</v>
      </c>
      <c r="R442" s="13">
        <v>2025</v>
      </c>
      <c r="S442" s="15" t="str">
        <f t="shared" si="36"/>
        <v>Low Profit</v>
      </c>
      <c r="T442" s="15" t="str">
        <f t="shared" si="37"/>
        <v>Low Sales</v>
      </c>
      <c r="U442" s="15" t="str">
        <f t="shared" si="38"/>
        <v>Good</v>
      </c>
      <c r="V442" s="15" t="str">
        <f t="shared" si="39"/>
        <v>Normal Discount</v>
      </c>
      <c r="W442" s="15">
        <f>VLOOKUP(D442,Lookup_Table!$A:$C,2,FALSE)</f>
        <v>0.2</v>
      </c>
      <c r="X442" s="15">
        <f t="shared" si="40"/>
        <v>0.290552410696857</v>
      </c>
      <c r="Y442" s="15" t="str">
        <f>VLOOKUP(D442,Lookup_Table!A:C,3,0)</f>
        <v>Sneha</v>
      </c>
      <c r="Z442" s="15" t="str">
        <f t="shared" si="41"/>
        <v>Achived</v>
      </c>
    </row>
    <row r="443" spans="1:26">
      <c r="A443" s="13" t="s">
        <v>534</v>
      </c>
      <c r="B443" s="14">
        <v>45851</v>
      </c>
      <c r="C443" s="13" t="s">
        <v>27</v>
      </c>
      <c r="D443" s="13" t="s">
        <v>44</v>
      </c>
      <c r="E443" s="13" t="s">
        <v>45</v>
      </c>
      <c r="F443" s="13" t="s">
        <v>116</v>
      </c>
      <c r="G443" s="13" t="s">
        <v>117</v>
      </c>
      <c r="H443" s="13" t="s">
        <v>32</v>
      </c>
      <c r="I443" s="13" t="s">
        <v>46</v>
      </c>
      <c r="J443" s="13">
        <v>7</v>
      </c>
      <c r="K443" s="13">
        <v>531.62</v>
      </c>
      <c r="L443" s="13">
        <v>0</v>
      </c>
      <c r="M443" s="13">
        <v>3721.34</v>
      </c>
      <c r="N443" s="13">
        <v>2638.29</v>
      </c>
      <c r="O443" s="13">
        <v>1083.05</v>
      </c>
      <c r="P443" s="13">
        <v>4.5</v>
      </c>
      <c r="Q443" s="13" t="s">
        <v>56</v>
      </c>
      <c r="R443" s="13">
        <v>2025</v>
      </c>
      <c r="S443" s="15" t="str">
        <f t="shared" si="36"/>
        <v>High Profit</v>
      </c>
      <c r="T443" s="15" t="str">
        <f t="shared" si="37"/>
        <v>High Sales</v>
      </c>
      <c r="U443" s="15" t="str">
        <f t="shared" si="38"/>
        <v>Good</v>
      </c>
      <c r="V443" s="15" t="str">
        <f t="shared" si="39"/>
        <v>Normal Discount</v>
      </c>
      <c r="W443" s="15">
        <f>VLOOKUP(D443,Lookup_Table!$A:$C,2,FALSE)</f>
        <v>0.18</v>
      </c>
      <c r="X443" s="15">
        <f t="shared" si="40"/>
        <v>0.291037636980228</v>
      </c>
      <c r="Y443" s="15" t="str">
        <f>VLOOKUP(D443,Lookup_Table!A:C,3,0)</f>
        <v>Amit</v>
      </c>
      <c r="Z443" s="15" t="str">
        <f t="shared" si="41"/>
        <v>Achived</v>
      </c>
    </row>
    <row r="444" spans="1:26">
      <c r="A444" s="13" t="s">
        <v>535</v>
      </c>
      <c r="B444" s="14">
        <v>46003</v>
      </c>
      <c r="C444" s="13" t="s">
        <v>36</v>
      </c>
      <c r="D444" s="13" t="s">
        <v>37</v>
      </c>
      <c r="E444" s="13" t="s">
        <v>93</v>
      </c>
      <c r="F444" s="13" t="s">
        <v>116</v>
      </c>
      <c r="G444" s="13" t="s">
        <v>117</v>
      </c>
      <c r="H444" s="13" t="s">
        <v>32</v>
      </c>
      <c r="I444" s="13" t="s">
        <v>52</v>
      </c>
      <c r="J444" s="13">
        <v>1</v>
      </c>
      <c r="K444" s="13">
        <v>180.73</v>
      </c>
      <c r="L444" s="13">
        <v>0.15</v>
      </c>
      <c r="M444" s="13">
        <v>153.62</v>
      </c>
      <c r="N444" s="13">
        <v>108.85</v>
      </c>
      <c r="O444" s="13">
        <v>44.77</v>
      </c>
      <c r="P444" s="13">
        <v>4.4</v>
      </c>
      <c r="Q444" s="13" t="s">
        <v>34</v>
      </c>
      <c r="R444" s="13">
        <v>2025</v>
      </c>
      <c r="S444" s="15" t="str">
        <f t="shared" si="36"/>
        <v>Low Profit</v>
      </c>
      <c r="T444" s="15" t="str">
        <f t="shared" si="37"/>
        <v>Low Sales</v>
      </c>
      <c r="U444" s="15" t="str">
        <f t="shared" si="38"/>
        <v>Good</v>
      </c>
      <c r="V444" s="15" t="str">
        <f t="shared" si="39"/>
        <v>High Discount</v>
      </c>
      <c r="W444" s="15">
        <f>VLOOKUP(D444,Lookup_Table!$A:$C,2,FALSE)</f>
        <v>0.16</v>
      </c>
      <c r="X444" s="15">
        <f t="shared" si="40"/>
        <v>0.291433407108449</v>
      </c>
      <c r="Y444" s="15" t="str">
        <f>VLOOKUP(D444,Lookup_Table!A:C,3,0)</f>
        <v>Vikram</v>
      </c>
      <c r="Z444" s="15" t="str">
        <f t="shared" si="41"/>
        <v>Achived</v>
      </c>
    </row>
    <row r="445" spans="1:26">
      <c r="A445" s="13" t="s">
        <v>536</v>
      </c>
      <c r="B445" s="14">
        <v>45756</v>
      </c>
      <c r="C445" s="13" t="s">
        <v>27</v>
      </c>
      <c r="D445" s="13" t="s">
        <v>44</v>
      </c>
      <c r="E445" s="13" t="s">
        <v>104</v>
      </c>
      <c r="F445" s="13" t="s">
        <v>82</v>
      </c>
      <c r="G445" s="13" t="s">
        <v>83</v>
      </c>
      <c r="H445" s="13" t="s">
        <v>77</v>
      </c>
      <c r="I445" s="13" t="s">
        <v>96</v>
      </c>
      <c r="J445" s="13">
        <v>5</v>
      </c>
      <c r="K445" s="13">
        <v>933.12</v>
      </c>
      <c r="L445" s="13">
        <v>0</v>
      </c>
      <c r="M445" s="13">
        <v>4665.6</v>
      </c>
      <c r="N445" s="13">
        <v>3304.85</v>
      </c>
      <c r="O445" s="13">
        <v>1360.75</v>
      </c>
      <c r="P445" s="13">
        <v>3</v>
      </c>
      <c r="Q445" s="13" t="s">
        <v>84</v>
      </c>
      <c r="R445" s="13">
        <v>2025</v>
      </c>
      <c r="S445" s="15" t="str">
        <f t="shared" si="36"/>
        <v>High Profit</v>
      </c>
      <c r="T445" s="15" t="str">
        <f t="shared" si="37"/>
        <v>High Sales</v>
      </c>
      <c r="U445" s="15" t="str">
        <f t="shared" si="38"/>
        <v>Needs Improvement</v>
      </c>
      <c r="V445" s="15" t="str">
        <f t="shared" si="39"/>
        <v>Normal Discount</v>
      </c>
      <c r="W445" s="15">
        <f>VLOOKUP(D445,Lookup_Table!$A:$C,2,FALSE)</f>
        <v>0.18</v>
      </c>
      <c r="X445" s="15">
        <f t="shared" si="40"/>
        <v>0.291655949931413</v>
      </c>
      <c r="Y445" s="15" t="str">
        <f>VLOOKUP(D445,Lookup_Table!A:C,3,0)</f>
        <v>Amit</v>
      </c>
      <c r="Z445" s="15" t="str">
        <f t="shared" si="41"/>
        <v>Achived</v>
      </c>
    </row>
    <row r="446" spans="1:26">
      <c r="A446" s="13" t="s">
        <v>537</v>
      </c>
      <c r="B446" s="14">
        <v>45841</v>
      </c>
      <c r="C446" s="13" t="s">
        <v>36</v>
      </c>
      <c r="D446" s="13" t="s">
        <v>80</v>
      </c>
      <c r="E446" s="13" t="s">
        <v>191</v>
      </c>
      <c r="F446" s="13" t="s">
        <v>111</v>
      </c>
      <c r="G446" s="13" t="s">
        <v>76</v>
      </c>
      <c r="H446" s="13" t="s">
        <v>77</v>
      </c>
      <c r="I446" s="13" t="s">
        <v>52</v>
      </c>
      <c r="J446" s="13">
        <v>5</v>
      </c>
      <c r="K446" s="13">
        <v>24.59</v>
      </c>
      <c r="L446" s="13">
        <v>0.2</v>
      </c>
      <c r="M446" s="13">
        <v>98.36</v>
      </c>
      <c r="N446" s="13">
        <v>69.66</v>
      </c>
      <c r="O446" s="13">
        <v>28.7</v>
      </c>
      <c r="P446" s="13">
        <v>2.9</v>
      </c>
      <c r="Q446" s="13" t="s">
        <v>56</v>
      </c>
      <c r="R446" s="13">
        <v>2025</v>
      </c>
      <c r="S446" s="15" t="str">
        <f t="shared" si="36"/>
        <v>Low Profit</v>
      </c>
      <c r="T446" s="15" t="str">
        <f t="shared" si="37"/>
        <v>Low Sales</v>
      </c>
      <c r="U446" s="15" t="str">
        <f t="shared" si="38"/>
        <v>Needs Improvement</v>
      </c>
      <c r="V446" s="15" t="str">
        <f t="shared" si="39"/>
        <v>High Discount</v>
      </c>
      <c r="W446" s="15">
        <f>VLOOKUP(D446,Lookup_Table!$A:$C,2,FALSE)</f>
        <v>0.12</v>
      </c>
      <c r="X446" s="15">
        <f t="shared" si="40"/>
        <v>0.291785278568524</v>
      </c>
      <c r="Y446" s="15" t="str">
        <f>VLOOKUP(D446,Lookup_Table!A:C,3,0)</f>
        <v>Rahul</v>
      </c>
      <c r="Z446" s="15" t="str">
        <f t="shared" si="41"/>
        <v>Achived</v>
      </c>
    </row>
    <row r="447" spans="1:26">
      <c r="A447" s="13" t="s">
        <v>538</v>
      </c>
      <c r="B447" s="14">
        <v>45811</v>
      </c>
      <c r="C447" s="13" t="s">
        <v>27</v>
      </c>
      <c r="D447" s="13" t="s">
        <v>80</v>
      </c>
      <c r="E447" s="13" t="s">
        <v>191</v>
      </c>
      <c r="F447" s="13" t="s">
        <v>67</v>
      </c>
      <c r="G447" s="13" t="s">
        <v>68</v>
      </c>
      <c r="H447" s="13" t="s">
        <v>69</v>
      </c>
      <c r="I447" s="13" t="s">
        <v>33</v>
      </c>
      <c r="J447" s="13">
        <v>2</v>
      </c>
      <c r="K447" s="13">
        <v>62.68</v>
      </c>
      <c r="L447" s="13">
        <v>0.1</v>
      </c>
      <c r="M447" s="13">
        <v>112.82</v>
      </c>
      <c r="N447" s="13">
        <v>79.9</v>
      </c>
      <c r="O447" s="13">
        <v>32.92</v>
      </c>
      <c r="P447" s="13">
        <v>2.9</v>
      </c>
      <c r="Q447" s="13" t="s">
        <v>58</v>
      </c>
      <c r="R447" s="13">
        <v>2025</v>
      </c>
      <c r="S447" s="15" t="str">
        <f t="shared" si="36"/>
        <v>Low Profit</v>
      </c>
      <c r="T447" s="15" t="str">
        <f t="shared" si="37"/>
        <v>Low Sales</v>
      </c>
      <c r="U447" s="15" t="str">
        <f t="shared" si="38"/>
        <v>Needs Improvement</v>
      </c>
      <c r="V447" s="15" t="str">
        <f t="shared" si="39"/>
        <v>Normal Discount</v>
      </c>
      <c r="W447" s="15">
        <f>VLOOKUP(D447,Lookup_Table!$A:$C,2,FALSE)</f>
        <v>0.12</v>
      </c>
      <c r="X447" s="15">
        <f t="shared" si="40"/>
        <v>0.291792235419252</v>
      </c>
      <c r="Y447" s="15" t="str">
        <f>VLOOKUP(D447,Lookup_Table!A:C,3,0)</f>
        <v>Rahul</v>
      </c>
      <c r="Z447" s="15" t="str">
        <f t="shared" si="41"/>
        <v>Achived</v>
      </c>
    </row>
    <row r="448" spans="1:26">
      <c r="A448" s="13" t="s">
        <v>539</v>
      </c>
      <c r="B448" s="14">
        <v>45955</v>
      </c>
      <c r="C448" s="13" t="s">
        <v>55</v>
      </c>
      <c r="D448" s="13" t="s">
        <v>44</v>
      </c>
      <c r="E448" s="13" t="s">
        <v>104</v>
      </c>
      <c r="F448" s="13" t="s">
        <v>39</v>
      </c>
      <c r="G448" s="13" t="s">
        <v>40</v>
      </c>
      <c r="H448" s="13" t="s">
        <v>41</v>
      </c>
      <c r="I448" s="13" t="s">
        <v>46</v>
      </c>
      <c r="J448" s="13">
        <v>4</v>
      </c>
      <c r="K448" s="13">
        <v>1407.41</v>
      </c>
      <c r="L448" s="13">
        <v>0.1</v>
      </c>
      <c r="M448" s="13">
        <v>5066.68</v>
      </c>
      <c r="N448" s="13">
        <v>3588.19</v>
      </c>
      <c r="O448" s="13">
        <v>1478.49</v>
      </c>
      <c r="P448" s="13">
        <v>2.9</v>
      </c>
      <c r="Q448" s="13" t="s">
        <v>87</v>
      </c>
      <c r="R448" s="13">
        <v>2025</v>
      </c>
      <c r="S448" s="15" t="str">
        <f t="shared" si="36"/>
        <v>High Profit</v>
      </c>
      <c r="T448" s="15" t="str">
        <f t="shared" si="37"/>
        <v>High Sales</v>
      </c>
      <c r="U448" s="15" t="str">
        <f t="shared" si="38"/>
        <v>Needs Improvement</v>
      </c>
      <c r="V448" s="15" t="str">
        <f t="shared" si="39"/>
        <v>Normal Discount</v>
      </c>
      <c r="W448" s="15">
        <f>VLOOKUP(D448,Lookup_Table!$A:$C,2,FALSE)</f>
        <v>0.18</v>
      </c>
      <c r="X448" s="15">
        <f t="shared" si="40"/>
        <v>0.291806468930345</v>
      </c>
      <c r="Y448" s="15" t="str">
        <f>VLOOKUP(D448,Lookup_Table!A:C,3,0)</f>
        <v>Amit</v>
      </c>
      <c r="Z448" s="15" t="str">
        <f t="shared" si="41"/>
        <v>Achived</v>
      </c>
    </row>
    <row r="449" spans="1:26">
      <c r="A449" s="13" t="s">
        <v>540</v>
      </c>
      <c r="B449" s="14">
        <v>45807</v>
      </c>
      <c r="C449" s="13" t="s">
        <v>36</v>
      </c>
      <c r="D449" s="13" t="s">
        <v>28</v>
      </c>
      <c r="E449" s="13" t="s">
        <v>73</v>
      </c>
      <c r="F449" s="13" t="s">
        <v>111</v>
      </c>
      <c r="G449" s="13" t="s">
        <v>76</v>
      </c>
      <c r="H449" s="13" t="s">
        <v>77</v>
      </c>
      <c r="I449" s="13" t="s">
        <v>46</v>
      </c>
      <c r="J449" s="13">
        <v>3</v>
      </c>
      <c r="K449" s="13">
        <v>71.31</v>
      </c>
      <c r="L449" s="13">
        <v>0.1</v>
      </c>
      <c r="M449" s="13">
        <v>192.54</v>
      </c>
      <c r="N449" s="13">
        <v>136.31</v>
      </c>
      <c r="O449" s="13">
        <v>56.23</v>
      </c>
      <c r="P449" s="13">
        <v>3.2</v>
      </c>
      <c r="Q449" s="13" t="s">
        <v>42</v>
      </c>
      <c r="R449" s="13">
        <v>2025</v>
      </c>
      <c r="S449" s="15" t="str">
        <f t="shared" si="36"/>
        <v>Low Profit</v>
      </c>
      <c r="T449" s="15" t="str">
        <f t="shared" si="37"/>
        <v>Low Sales</v>
      </c>
      <c r="U449" s="15" t="str">
        <f t="shared" si="38"/>
        <v>Needs Improvement</v>
      </c>
      <c r="V449" s="15" t="str">
        <f t="shared" si="39"/>
        <v>Normal Discount</v>
      </c>
      <c r="W449" s="15">
        <f>VLOOKUP(D449,Lookup_Table!$A:$C,2,FALSE)</f>
        <v>0.2</v>
      </c>
      <c r="X449" s="15">
        <f t="shared" si="40"/>
        <v>0.292043211800145</v>
      </c>
      <c r="Y449" s="15" t="str">
        <f>VLOOKUP(D449,Lookup_Table!A:C,3,0)</f>
        <v>Sneha</v>
      </c>
      <c r="Z449" s="15" t="str">
        <f t="shared" si="41"/>
        <v>Achived</v>
      </c>
    </row>
    <row r="450" spans="1:26">
      <c r="A450" s="13" t="s">
        <v>541</v>
      </c>
      <c r="B450" s="14">
        <v>45873</v>
      </c>
      <c r="C450" s="13" t="s">
        <v>27</v>
      </c>
      <c r="D450" s="13" t="s">
        <v>28</v>
      </c>
      <c r="E450" s="13" t="s">
        <v>73</v>
      </c>
      <c r="F450" s="13" t="s">
        <v>75</v>
      </c>
      <c r="G450" s="13" t="s">
        <v>76</v>
      </c>
      <c r="H450" s="13" t="s">
        <v>77</v>
      </c>
      <c r="I450" s="13" t="s">
        <v>96</v>
      </c>
      <c r="J450" s="13">
        <v>6</v>
      </c>
      <c r="K450" s="13">
        <v>23.72</v>
      </c>
      <c r="L450" s="13">
        <v>0</v>
      </c>
      <c r="M450" s="13">
        <v>142.32</v>
      </c>
      <c r="N450" s="13">
        <v>100.56</v>
      </c>
      <c r="O450" s="13">
        <v>41.76</v>
      </c>
      <c r="P450" s="13">
        <v>3.8</v>
      </c>
      <c r="Q450" s="13" t="s">
        <v>47</v>
      </c>
      <c r="R450" s="13">
        <v>2025</v>
      </c>
      <c r="S450" s="15" t="str">
        <f t="shared" ref="S450:S513" si="42">IF(O450&gt;500,"High Profit","Low Profit")</f>
        <v>Low Profit</v>
      </c>
      <c r="T450" s="15" t="str">
        <f t="shared" ref="T450:T513" si="43">IF(M450&gt;1000,"High Sales","Low Sales")</f>
        <v>Low Sales</v>
      </c>
      <c r="U450" s="15" t="str">
        <f t="shared" ref="U450:U513" si="44">IF(P450&gt;=4,"Good","Needs Improvement")</f>
        <v>Needs Improvement</v>
      </c>
      <c r="V450" s="15" t="str">
        <f t="shared" ref="V450:V513" si="45">IF(L450&gt;=15%,"High Discount","Normal Discount")</f>
        <v>Normal Discount</v>
      </c>
      <c r="W450" s="15">
        <f>VLOOKUP(D450,Lookup_Table!$A:$C,2,FALSE)</f>
        <v>0.2</v>
      </c>
      <c r="X450" s="15">
        <f t="shared" ref="X450:X513" si="46">O450/M450</f>
        <v>0.293423271500843</v>
      </c>
      <c r="Y450" s="15" t="str">
        <f>VLOOKUP(D450,Lookup_Table!A:C,3,0)</f>
        <v>Sneha</v>
      </c>
      <c r="Z450" s="15" t="str">
        <f t="shared" ref="Z450:Z513" si="47">IF(X450&gt;=W450,"Achived","Not Achieved")</f>
        <v>Achived</v>
      </c>
    </row>
    <row r="451" spans="1:26">
      <c r="A451" s="13" t="s">
        <v>542</v>
      </c>
      <c r="B451" s="14">
        <v>45944</v>
      </c>
      <c r="C451" s="13" t="s">
        <v>55</v>
      </c>
      <c r="D451" s="13" t="s">
        <v>28</v>
      </c>
      <c r="E451" s="13" t="s">
        <v>49</v>
      </c>
      <c r="F451" s="13" t="s">
        <v>116</v>
      </c>
      <c r="G451" s="13" t="s">
        <v>117</v>
      </c>
      <c r="H451" s="13" t="s">
        <v>32</v>
      </c>
      <c r="I451" s="13" t="s">
        <v>33</v>
      </c>
      <c r="J451" s="13">
        <v>2</v>
      </c>
      <c r="K451" s="13">
        <v>113.88</v>
      </c>
      <c r="L451" s="13">
        <v>0.05</v>
      </c>
      <c r="M451" s="13">
        <v>216.37</v>
      </c>
      <c r="N451" s="13">
        <v>152.77</v>
      </c>
      <c r="O451" s="13">
        <v>63.6</v>
      </c>
      <c r="P451" s="13">
        <v>3.1</v>
      </c>
      <c r="Q451" s="13" t="s">
        <v>87</v>
      </c>
      <c r="R451" s="13">
        <v>2025</v>
      </c>
      <c r="S451" s="15" t="str">
        <f t="shared" si="42"/>
        <v>Low Profit</v>
      </c>
      <c r="T451" s="15" t="str">
        <f t="shared" si="43"/>
        <v>Low Sales</v>
      </c>
      <c r="U451" s="15" t="str">
        <f t="shared" si="44"/>
        <v>Needs Improvement</v>
      </c>
      <c r="V451" s="15" t="str">
        <f t="shared" si="45"/>
        <v>Normal Discount</v>
      </c>
      <c r="W451" s="15">
        <f>VLOOKUP(D451,Lookup_Table!$A:$C,2,FALSE)</f>
        <v>0.2</v>
      </c>
      <c r="X451" s="15">
        <f t="shared" si="46"/>
        <v>0.29394093451033</v>
      </c>
      <c r="Y451" s="15" t="str">
        <f>VLOOKUP(D451,Lookup_Table!A:C,3,0)</f>
        <v>Sneha</v>
      </c>
      <c r="Z451" s="15" t="str">
        <f t="shared" si="47"/>
        <v>Achived</v>
      </c>
    </row>
    <row r="452" spans="1:26">
      <c r="A452" s="13" t="s">
        <v>543</v>
      </c>
      <c r="B452" s="14">
        <v>45913</v>
      </c>
      <c r="C452" s="13" t="s">
        <v>55</v>
      </c>
      <c r="D452" s="13" t="s">
        <v>37</v>
      </c>
      <c r="E452" s="13" t="s">
        <v>109</v>
      </c>
      <c r="F452" s="13" t="s">
        <v>111</v>
      </c>
      <c r="G452" s="13" t="s">
        <v>76</v>
      </c>
      <c r="H452" s="13" t="s">
        <v>77</v>
      </c>
      <c r="I452" s="13" t="s">
        <v>96</v>
      </c>
      <c r="J452" s="13">
        <v>1</v>
      </c>
      <c r="K452" s="13">
        <v>136.51</v>
      </c>
      <c r="L452" s="13">
        <v>0.1</v>
      </c>
      <c r="M452" s="13">
        <v>122.86</v>
      </c>
      <c r="N452" s="13">
        <v>86.68</v>
      </c>
      <c r="O452" s="13">
        <v>36.18</v>
      </c>
      <c r="P452" s="13">
        <v>3.6</v>
      </c>
      <c r="Q452" s="13" t="s">
        <v>53</v>
      </c>
      <c r="R452" s="13">
        <v>2025</v>
      </c>
      <c r="S452" s="15" t="str">
        <f t="shared" si="42"/>
        <v>Low Profit</v>
      </c>
      <c r="T452" s="15" t="str">
        <f t="shared" si="43"/>
        <v>Low Sales</v>
      </c>
      <c r="U452" s="15" t="str">
        <f t="shared" si="44"/>
        <v>Needs Improvement</v>
      </c>
      <c r="V452" s="15" t="str">
        <f t="shared" si="45"/>
        <v>Normal Discount</v>
      </c>
      <c r="W452" s="15">
        <f>VLOOKUP(D452,Lookup_Table!$A:$C,2,FALSE)</f>
        <v>0.16</v>
      </c>
      <c r="X452" s="15">
        <f t="shared" si="46"/>
        <v>0.294481523685496</v>
      </c>
      <c r="Y452" s="15" t="str">
        <f>VLOOKUP(D452,Lookup_Table!A:C,3,0)</f>
        <v>Vikram</v>
      </c>
      <c r="Z452" s="15" t="str">
        <f t="shared" si="47"/>
        <v>Achived</v>
      </c>
    </row>
    <row r="453" spans="1:26">
      <c r="A453" s="13" t="s">
        <v>544</v>
      </c>
      <c r="B453" s="14">
        <v>45926</v>
      </c>
      <c r="C453" s="13" t="s">
        <v>55</v>
      </c>
      <c r="D453" s="13" t="s">
        <v>44</v>
      </c>
      <c r="E453" s="13" t="s">
        <v>45</v>
      </c>
      <c r="F453" s="13" t="s">
        <v>30</v>
      </c>
      <c r="G453" s="13" t="s">
        <v>31</v>
      </c>
      <c r="H453" s="13" t="s">
        <v>32</v>
      </c>
      <c r="I453" s="13" t="s">
        <v>46</v>
      </c>
      <c r="J453" s="13">
        <v>6</v>
      </c>
      <c r="K453" s="13">
        <v>524.35</v>
      </c>
      <c r="L453" s="13">
        <v>0.15</v>
      </c>
      <c r="M453" s="13">
        <v>2674.19</v>
      </c>
      <c r="N453" s="13">
        <v>1886.69</v>
      </c>
      <c r="O453" s="13">
        <v>787.5</v>
      </c>
      <c r="P453" s="13">
        <v>4.8</v>
      </c>
      <c r="Q453" s="13" t="s">
        <v>53</v>
      </c>
      <c r="R453" s="13">
        <v>2025</v>
      </c>
      <c r="S453" s="15" t="str">
        <f t="shared" si="42"/>
        <v>High Profit</v>
      </c>
      <c r="T453" s="15" t="str">
        <f t="shared" si="43"/>
        <v>High Sales</v>
      </c>
      <c r="U453" s="15" t="str">
        <f t="shared" si="44"/>
        <v>Good</v>
      </c>
      <c r="V453" s="15" t="str">
        <f t="shared" si="45"/>
        <v>High Discount</v>
      </c>
      <c r="W453" s="15">
        <f>VLOOKUP(D453,Lookup_Table!$A:$C,2,FALSE)</f>
        <v>0.18</v>
      </c>
      <c r="X453" s="15">
        <f t="shared" si="46"/>
        <v>0.294481693522151</v>
      </c>
      <c r="Y453" s="15" t="str">
        <f>VLOOKUP(D453,Lookup_Table!A:C,3,0)</f>
        <v>Amit</v>
      </c>
      <c r="Z453" s="15" t="str">
        <f t="shared" si="47"/>
        <v>Achived</v>
      </c>
    </row>
    <row r="454" spans="1:26">
      <c r="A454" s="13" t="s">
        <v>545</v>
      </c>
      <c r="B454" s="14">
        <v>45862</v>
      </c>
      <c r="C454" s="13" t="s">
        <v>55</v>
      </c>
      <c r="D454" s="13" t="s">
        <v>28</v>
      </c>
      <c r="E454" s="13" t="s">
        <v>73</v>
      </c>
      <c r="F454" s="13" t="s">
        <v>82</v>
      </c>
      <c r="G454" s="13" t="s">
        <v>83</v>
      </c>
      <c r="H454" s="13" t="s">
        <v>77</v>
      </c>
      <c r="I454" s="13" t="s">
        <v>52</v>
      </c>
      <c r="J454" s="13">
        <v>3</v>
      </c>
      <c r="K454" s="13">
        <v>121.46</v>
      </c>
      <c r="L454" s="13">
        <v>0.1</v>
      </c>
      <c r="M454" s="13">
        <v>327.94</v>
      </c>
      <c r="N454" s="13">
        <v>231.36</v>
      </c>
      <c r="O454" s="13">
        <v>96.58</v>
      </c>
      <c r="P454" s="13">
        <v>4.3</v>
      </c>
      <c r="Q454" s="13" t="s">
        <v>56</v>
      </c>
      <c r="R454" s="13">
        <v>2025</v>
      </c>
      <c r="S454" s="15" t="str">
        <f t="shared" si="42"/>
        <v>Low Profit</v>
      </c>
      <c r="T454" s="15" t="str">
        <f t="shared" si="43"/>
        <v>Low Sales</v>
      </c>
      <c r="U454" s="15" t="str">
        <f t="shared" si="44"/>
        <v>Good</v>
      </c>
      <c r="V454" s="15" t="str">
        <f t="shared" si="45"/>
        <v>Normal Discount</v>
      </c>
      <c r="W454" s="15">
        <f>VLOOKUP(D454,Lookup_Table!$A:$C,2,FALSE)</f>
        <v>0.2</v>
      </c>
      <c r="X454" s="15">
        <f t="shared" si="46"/>
        <v>0.29450509239495</v>
      </c>
      <c r="Y454" s="15" t="str">
        <f>VLOOKUP(D454,Lookup_Table!A:C,3,0)</f>
        <v>Sneha</v>
      </c>
      <c r="Z454" s="15" t="str">
        <f t="shared" si="47"/>
        <v>Achived</v>
      </c>
    </row>
    <row r="455" spans="1:26">
      <c r="A455" s="13" t="s">
        <v>546</v>
      </c>
      <c r="B455" s="14">
        <v>45821</v>
      </c>
      <c r="C455" s="13" t="s">
        <v>55</v>
      </c>
      <c r="D455" s="13" t="s">
        <v>37</v>
      </c>
      <c r="E455" s="13" t="s">
        <v>86</v>
      </c>
      <c r="F455" s="13" t="s">
        <v>62</v>
      </c>
      <c r="G455" s="13" t="s">
        <v>63</v>
      </c>
      <c r="H455" s="13" t="s">
        <v>32</v>
      </c>
      <c r="I455" s="13" t="s">
        <v>96</v>
      </c>
      <c r="J455" s="13">
        <v>6</v>
      </c>
      <c r="K455" s="13">
        <v>133.46</v>
      </c>
      <c r="L455" s="13">
        <v>0</v>
      </c>
      <c r="M455" s="13">
        <v>800.76</v>
      </c>
      <c r="N455" s="13">
        <v>564.91</v>
      </c>
      <c r="O455" s="13">
        <v>235.85</v>
      </c>
      <c r="P455" s="13">
        <v>3.3</v>
      </c>
      <c r="Q455" s="13" t="s">
        <v>58</v>
      </c>
      <c r="R455" s="13">
        <v>2025</v>
      </c>
      <c r="S455" s="15" t="str">
        <f t="shared" si="42"/>
        <v>Low Profit</v>
      </c>
      <c r="T455" s="15" t="str">
        <f t="shared" si="43"/>
        <v>Low Sales</v>
      </c>
      <c r="U455" s="15" t="str">
        <f t="shared" si="44"/>
        <v>Needs Improvement</v>
      </c>
      <c r="V455" s="15" t="str">
        <f t="shared" si="45"/>
        <v>Normal Discount</v>
      </c>
      <c r="W455" s="15">
        <f>VLOOKUP(D455,Lookup_Table!$A:$C,2,FALSE)</f>
        <v>0.16</v>
      </c>
      <c r="X455" s="15">
        <f t="shared" si="46"/>
        <v>0.294532693940756</v>
      </c>
      <c r="Y455" s="15" t="str">
        <f>VLOOKUP(D455,Lookup_Table!A:C,3,0)</f>
        <v>Vikram</v>
      </c>
      <c r="Z455" s="15" t="str">
        <f t="shared" si="47"/>
        <v>Achived</v>
      </c>
    </row>
    <row r="456" spans="1:26">
      <c r="A456" s="13" t="s">
        <v>547</v>
      </c>
      <c r="B456" s="14">
        <v>45677</v>
      </c>
      <c r="C456" s="13" t="s">
        <v>36</v>
      </c>
      <c r="D456" s="13" t="s">
        <v>44</v>
      </c>
      <c r="E456" s="13" t="s">
        <v>143</v>
      </c>
      <c r="F456" s="13" t="s">
        <v>98</v>
      </c>
      <c r="G456" s="13" t="s">
        <v>99</v>
      </c>
      <c r="H456" s="13" t="s">
        <v>77</v>
      </c>
      <c r="I456" s="13" t="s">
        <v>96</v>
      </c>
      <c r="J456" s="13">
        <v>2</v>
      </c>
      <c r="K456" s="13">
        <v>1075.23</v>
      </c>
      <c r="L456" s="13">
        <v>0</v>
      </c>
      <c r="M456" s="13">
        <v>2150.46</v>
      </c>
      <c r="N456" s="13">
        <v>1516.7</v>
      </c>
      <c r="O456" s="13">
        <v>633.76</v>
      </c>
      <c r="P456" s="13">
        <v>2.7</v>
      </c>
      <c r="Q456" s="13" t="s">
        <v>64</v>
      </c>
      <c r="R456" s="13">
        <v>2025</v>
      </c>
      <c r="S456" s="15" t="str">
        <f t="shared" si="42"/>
        <v>High Profit</v>
      </c>
      <c r="T456" s="15" t="str">
        <f t="shared" si="43"/>
        <v>High Sales</v>
      </c>
      <c r="U456" s="15" t="str">
        <f t="shared" si="44"/>
        <v>Needs Improvement</v>
      </c>
      <c r="V456" s="15" t="str">
        <f t="shared" si="45"/>
        <v>Normal Discount</v>
      </c>
      <c r="W456" s="15">
        <f>VLOOKUP(D456,Lookup_Table!$A:$C,2,FALSE)</f>
        <v>0.18</v>
      </c>
      <c r="X456" s="15">
        <f t="shared" si="46"/>
        <v>0.294709038996308</v>
      </c>
      <c r="Y456" s="15" t="str">
        <f>VLOOKUP(D456,Lookup_Table!A:C,3,0)</f>
        <v>Amit</v>
      </c>
      <c r="Z456" s="15" t="str">
        <f t="shared" si="47"/>
        <v>Achived</v>
      </c>
    </row>
    <row r="457" spans="1:26">
      <c r="A457" s="13" t="s">
        <v>548</v>
      </c>
      <c r="B457" s="14">
        <v>45769</v>
      </c>
      <c r="C457" s="13" t="s">
        <v>55</v>
      </c>
      <c r="D457" s="13" t="s">
        <v>80</v>
      </c>
      <c r="E457" s="13" t="s">
        <v>191</v>
      </c>
      <c r="F457" s="13" t="s">
        <v>111</v>
      </c>
      <c r="G457" s="13" t="s">
        <v>76</v>
      </c>
      <c r="H457" s="13" t="s">
        <v>77</v>
      </c>
      <c r="I457" s="13" t="s">
        <v>46</v>
      </c>
      <c r="J457" s="13">
        <v>3</v>
      </c>
      <c r="K457" s="13">
        <v>71.46</v>
      </c>
      <c r="L457" s="13">
        <v>0.05</v>
      </c>
      <c r="M457" s="13">
        <v>203.66</v>
      </c>
      <c r="N457" s="13">
        <v>143.61</v>
      </c>
      <c r="O457" s="13">
        <v>60.05</v>
      </c>
      <c r="P457" s="13">
        <v>3.5</v>
      </c>
      <c r="Q457" s="13" t="s">
        <v>84</v>
      </c>
      <c r="R457" s="13">
        <v>2025</v>
      </c>
      <c r="S457" s="15" t="str">
        <f t="shared" si="42"/>
        <v>Low Profit</v>
      </c>
      <c r="T457" s="15" t="str">
        <f t="shared" si="43"/>
        <v>Low Sales</v>
      </c>
      <c r="U457" s="15" t="str">
        <f t="shared" si="44"/>
        <v>Needs Improvement</v>
      </c>
      <c r="V457" s="15" t="str">
        <f t="shared" si="45"/>
        <v>Normal Discount</v>
      </c>
      <c r="W457" s="15">
        <f>VLOOKUP(D457,Lookup_Table!$A:$C,2,FALSE)</f>
        <v>0.12</v>
      </c>
      <c r="X457" s="15">
        <f t="shared" si="46"/>
        <v>0.29485416871256</v>
      </c>
      <c r="Y457" s="15" t="str">
        <f>VLOOKUP(D457,Lookup_Table!A:C,3,0)</f>
        <v>Rahul</v>
      </c>
      <c r="Z457" s="15" t="str">
        <f t="shared" si="47"/>
        <v>Achived</v>
      </c>
    </row>
    <row r="458" spans="1:26">
      <c r="A458" s="13" t="s">
        <v>549</v>
      </c>
      <c r="B458" s="14">
        <v>45893</v>
      </c>
      <c r="C458" s="13" t="s">
        <v>55</v>
      </c>
      <c r="D458" s="13" t="s">
        <v>37</v>
      </c>
      <c r="E458" s="13" t="s">
        <v>93</v>
      </c>
      <c r="F458" s="13" t="s">
        <v>98</v>
      </c>
      <c r="G458" s="13" t="s">
        <v>99</v>
      </c>
      <c r="H458" s="13" t="s">
        <v>77</v>
      </c>
      <c r="I458" s="13" t="s">
        <v>33</v>
      </c>
      <c r="J458" s="13">
        <v>7</v>
      </c>
      <c r="K458" s="13">
        <v>434.91</v>
      </c>
      <c r="L458" s="13">
        <v>0</v>
      </c>
      <c r="M458" s="13">
        <v>3044.37</v>
      </c>
      <c r="N458" s="13">
        <v>2145.62</v>
      </c>
      <c r="O458" s="13">
        <v>898.75</v>
      </c>
      <c r="P458" s="13">
        <v>4.3</v>
      </c>
      <c r="Q458" s="13" t="s">
        <v>47</v>
      </c>
      <c r="R458" s="13">
        <v>2025</v>
      </c>
      <c r="S458" s="15" t="str">
        <f t="shared" si="42"/>
        <v>High Profit</v>
      </c>
      <c r="T458" s="15" t="str">
        <f t="shared" si="43"/>
        <v>High Sales</v>
      </c>
      <c r="U458" s="15" t="str">
        <f t="shared" si="44"/>
        <v>Good</v>
      </c>
      <c r="V458" s="15" t="str">
        <f t="shared" si="45"/>
        <v>Normal Discount</v>
      </c>
      <c r="W458" s="15">
        <f>VLOOKUP(D458,Lookup_Table!$A:$C,2,FALSE)</f>
        <v>0.16</v>
      </c>
      <c r="X458" s="15">
        <f t="shared" si="46"/>
        <v>0.295217072826233</v>
      </c>
      <c r="Y458" s="15" t="str">
        <f>VLOOKUP(D458,Lookup_Table!A:C,3,0)</f>
        <v>Vikram</v>
      </c>
      <c r="Z458" s="15" t="str">
        <f t="shared" si="47"/>
        <v>Achived</v>
      </c>
    </row>
    <row r="459" spans="1:26">
      <c r="A459" s="13" t="s">
        <v>550</v>
      </c>
      <c r="B459" s="14">
        <v>45767</v>
      </c>
      <c r="C459" s="13" t="s">
        <v>27</v>
      </c>
      <c r="D459" s="13" t="s">
        <v>80</v>
      </c>
      <c r="E459" s="13" t="s">
        <v>101</v>
      </c>
      <c r="F459" s="13" t="s">
        <v>82</v>
      </c>
      <c r="G459" s="13" t="s">
        <v>83</v>
      </c>
      <c r="H459" s="13" t="s">
        <v>77</v>
      </c>
      <c r="I459" s="13" t="s">
        <v>96</v>
      </c>
      <c r="J459" s="13">
        <v>4</v>
      </c>
      <c r="K459" s="13">
        <v>42.87</v>
      </c>
      <c r="L459" s="13">
        <v>0.15</v>
      </c>
      <c r="M459" s="13">
        <v>145.76</v>
      </c>
      <c r="N459" s="13">
        <v>102.67</v>
      </c>
      <c r="O459" s="13">
        <v>43.09</v>
      </c>
      <c r="P459" s="13">
        <v>3.6</v>
      </c>
      <c r="Q459" s="13" t="s">
        <v>84</v>
      </c>
      <c r="R459" s="13">
        <v>2025</v>
      </c>
      <c r="S459" s="15" t="str">
        <f t="shared" si="42"/>
        <v>Low Profit</v>
      </c>
      <c r="T459" s="15" t="str">
        <f t="shared" si="43"/>
        <v>Low Sales</v>
      </c>
      <c r="U459" s="15" t="str">
        <f t="shared" si="44"/>
        <v>Needs Improvement</v>
      </c>
      <c r="V459" s="15" t="str">
        <f t="shared" si="45"/>
        <v>High Discount</v>
      </c>
      <c r="W459" s="15">
        <f>VLOOKUP(D459,Lookup_Table!$A:$C,2,FALSE)</f>
        <v>0.12</v>
      </c>
      <c r="X459" s="15">
        <f t="shared" si="46"/>
        <v>0.295622941822173</v>
      </c>
      <c r="Y459" s="15" t="str">
        <f>VLOOKUP(D459,Lookup_Table!A:C,3,0)</f>
        <v>Rahul</v>
      </c>
      <c r="Z459" s="15" t="str">
        <f t="shared" si="47"/>
        <v>Achived</v>
      </c>
    </row>
    <row r="460" spans="1:26">
      <c r="A460" s="13" t="s">
        <v>551</v>
      </c>
      <c r="B460" s="14">
        <v>45945</v>
      </c>
      <c r="C460" s="13" t="s">
        <v>55</v>
      </c>
      <c r="D460" s="13" t="s">
        <v>28</v>
      </c>
      <c r="E460" s="13" t="s">
        <v>49</v>
      </c>
      <c r="F460" s="13" t="s">
        <v>75</v>
      </c>
      <c r="G460" s="13" t="s">
        <v>76</v>
      </c>
      <c r="H460" s="13" t="s">
        <v>77</v>
      </c>
      <c r="I460" s="13" t="s">
        <v>52</v>
      </c>
      <c r="J460" s="13">
        <v>5</v>
      </c>
      <c r="K460" s="13">
        <v>69.1</v>
      </c>
      <c r="L460" s="13">
        <v>0.15</v>
      </c>
      <c r="M460" s="13">
        <v>293.68</v>
      </c>
      <c r="N460" s="13">
        <v>206.76</v>
      </c>
      <c r="O460" s="13">
        <v>86.92</v>
      </c>
      <c r="P460" s="13">
        <v>2.6</v>
      </c>
      <c r="Q460" s="13" t="s">
        <v>87</v>
      </c>
      <c r="R460" s="13">
        <v>2025</v>
      </c>
      <c r="S460" s="15" t="str">
        <f t="shared" si="42"/>
        <v>Low Profit</v>
      </c>
      <c r="T460" s="15" t="str">
        <f t="shared" si="43"/>
        <v>Low Sales</v>
      </c>
      <c r="U460" s="15" t="str">
        <f t="shared" si="44"/>
        <v>Needs Improvement</v>
      </c>
      <c r="V460" s="15" t="str">
        <f t="shared" si="45"/>
        <v>High Discount</v>
      </c>
      <c r="W460" s="15">
        <f>VLOOKUP(D460,Lookup_Table!$A:$C,2,FALSE)</f>
        <v>0.2</v>
      </c>
      <c r="X460" s="15">
        <f t="shared" si="46"/>
        <v>0.295968400980659</v>
      </c>
      <c r="Y460" s="15" t="str">
        <f>VLOOKUP(D460,Lookup_Table!A:C,3,0)</f>
        <v>Sneha</v>
      </c>
      <c r="Z460" s="15" t="str">
        <f t="shared" si="47"/>
        <v>Achived</v>
      </c>
    </row>
    <row r="461" spans="1:26">
      <c r="A461" s="13" t="s">
        <v>552</v>
      </c>
      <c r="B461" s="14">
        <v>45816</v>
      </c>
      <c r="C461" s="13" t="s">
        <v>27</v>
      </c>
      <c r="D461" s="13" t="s">
        <v>37</v>
      </c>
      <c r="E461" s="13" t="s">
        <v>109</v>
      </c>
      <c r="F461" s="13" t="s">
        <v>30</v>
      </c>
      <c r="G461" s="13" t="s">
        <v>31</v>
      </c>
      <c r="H461" s="13" t="s">
        <v>32</v>
      </c>
      <c r="I461" s="13" t="s">
        <v>46</v>
      </c>
      <c r="J461" s="13">
        <v>1</v>
      </c>
      <c r="K461" s="13">
        <v>278.92</v>
      </c>
      <c r="L461" s="13">
        <v>0.2</v>
      </c>
      <c r="M461" s="13">
        <v>223.14</v>
      </c>
      <c r="N461" s="13">
        <v>157.05</v>
      </c>
      <c r="O461" s="13">
        <v>66.09</v>
      </c>
      <c r="P461" s="13">
        <v>2.9</v>
      </c>
      <c r="Q461" s="13" t="s">
        <v>58</v>
      </c>
      <c r="R461" s="13">
        <v>2025</v>
      </c>
      <c r="S461" s="15" t="str">
        <f t="shared" si="42"/>
        <v>Low Profit</v>
      </c>
      <c r="T461" s="15" t="str">
        <f t="shared" si="43"/>
        <v>Low Sales</v>
      </c>
      <c r="U461" s="15" t="str">
        <f t="shared" si="44"/>
        <v>Needs Improvement</v>
      </c>
      <c r="V461" s="15" t="str">
        <f t="shared" si="45"/>
        <v>High Discount</v>
      </c>
      <c r="W461" s="15">
        <f>VLOOKUP(D461,Lookup_Table!$A:$C,2,FALSE)</f>
        <v>0.16</v>
      </c>
      <c r="X461" s="15">
        <f t="shared" si="46"/>
        <v>0.296181769292821</v>
      </c>
      <c r="Y461" s="15" t="str">
        <f>VLOOKUP(D461,Lookup_Table!A:C,3,0)</f>
        <v>Vikram</v>
      </c>
      <c r="Z461" s="15" t="str">
        <f t="shared" si="47"/>
        <v>Achived</v>
      </c>
    </row>
    <row r="462" spans="1:26">
      <c r="A462" s="13" t="s">
        <v>553</v>
      </c>
      <c r="B462" s="14">
        <v>45784</v>
      </c>
      <c r="C462" s="13" t="s">
        <v>27</v>
      </c>
      <c r="D462" s="13" t="s">
        <v>37</v>
      </c>
      <c r="E462" s="13" t="s">
        <v>93</v>
      </c>
      <c r="F462" s="13" t="s">
        <v>39</v>
      </c>
      <c r="G462" s="13" t="s">
        <v>40</v>
      </c>
      <c r="H462" s="13" t="s">
        <v>41</v>
      </c>
      <c r="I462" s="13" t="s">
        <v>96</v>
      </c>
      <c r="J462" s="13">
        <v>4</v>
      </c>
      <c r="K462" s="13">
        <v>163.4</v>
      </c>
      <c r="L462" s="13">
        <v>0.05</v>
      </c>
      <c r="M462" s="13">
        <v>620.92</v>
      </c>
      <c r="N462" s="13">
        <v>436.99</v>
      </c>
      <c r="O462" s="13">
        <v>183.93</v>
      </c>
      <c r="P462" s="13">
        <v>4.9</v>
      </c>
      <c r="Q462" s="13" t="s">
        <v>42</v>
      </c>
      <c r="R462" s="13">
        <v>2025</v>
      </c>
      <c r="S462" s="15" t="str">
        <f t="shared" si="42"/>
        <v>Low Profit</v>
      </c>
      <c r="T462" s="15" t="str">
        <f t="shared" si="43"/>
        <v>Low Sales</v>
      </c>
      <c r="U462" s="15" t="str">
        <f t="shared" si="44"/>
        <v>Good</v>
      </c>
      <c r="V462" s="15" t="str">
        <f t="shared" si="45"/>
        <v>Normal Discount</v>
      </c>
      <c r="W462" s="15">
        <f>VLOOKUP(D462,Lookup_Table!$A:$C,2,FALSE)</f>
        <v>0.16</v>
      </c>
      <c r="X462" s="15">
        <f t="shared" si="46"/>
        <v>0.296221735489274</v>
      </c>
      <c r="Y462" s="15" t="str">
        <f>VLOOKUP(D462,Lookup_Table!A:C,3,0)</f>
        <v>Vikram</v>
      </c>
      <c r="Z462" s="15" t="str">
        <f t="shared" si="47"/>
        <v>Achived</v>
      </c>
    </row>
    <row r="463" spans="1:26">
      <c r="A463" s="13" t="s">
        <v>554</v>
      </c>
      <c r="B463" s="14">
        <v>45960</v>
      </c>
      <c r="C463" s="13" t="s">
        <v>27</v>
      </c>
      <c r="D463" s="13" t="s">
        <v>60</v>
      </c>
      <c r="E463" s="13" t="s">
        <v>66</v>
      </c>
      <c r="F463" s="13" t="s">
        <v>98</v>
      </c>
      <c r="G463" s="13" t="s">
        <v>99</v>
      </c>
      <c r="H463" s="13" t="s">
        <v>77</v>
      </c>
      <c r="I463" s="13" t="s">
        <v>52</v>
      </c>
      <c r="J463" s="13">
        <v>1</v>
      </c>
      <c r="K463" s="13">
        <v>454.15</v>
      </c>
      <c r="L463" s="13">
        <v>0.05</v>
      </c>
      <c r="M463" s="13">
        <v>431.44</v>
      </c>
      <c r="N463" s="13">
        <v>303.19</v>
      </c>
      <c r="O463" s="13">
        <v>128.25</v>
      </c>
      <c r="P463" s="13">
        <v>3.9</v>
      </c>
      <c r="Q463" s="13" t="s">
        <v>87</v>
      </c>
      <c r="R463" s="13">
        <v>2025</v>
      </c>
      <c r="S463" s="15" t="str">
        <f t="shared" si="42"/>
        <v>Low Profit</v>
      </c>
      <c r="T463" s="15" t="str">
        <f t="shared" si="43"/>
        <v>Low Sales</v>
      </c>
      <c r="U463" s="15" t="str">
        <f t="shared" si="44"/>
        <v>Needs Improvement</v>
      </c>
      <c r="V463" s="15" t="str">
        <f t="shared" si="45"/>
        <v>Normal Discount</v>
      </c>
      <c r="W463" s="15">
        <f>VLOOKUP(D463,Lookup_Table!$A:$C,2,FALSE)</f>
        <v>0.15</v>
      </c>
      <c r="X463" s="15">
        <f t="shared" si="46"/>
        <v>0.297260337474504</v>
      </c>
      <c r="Y463" s="15" t="str">
        <f>VLOOKUP(D463,Lookup_Table!A:C,3,0)</f>
        <v>Priya</v>
      </c>
      <c r="Z463" s="15" t="str">
        <f t="shared" si="47"/>
        <v>Achived</v>
      </c>
    </row>
    <row r="464" spans="1:26">
      <c r="A464" s="13" t="s">
        <v>555</v>
      </c>
      <c r="B464" s="14">
        <v>45733</v>
      </c>
      <c r="C464" s="13" t="s">
        <v>55</v>
      </c>
      <c r="D464" s="13" t="s">
        <v>44</v>
      </c>
      <c r="E464" s="13" t="s">
        <v>143</v>
      </c>
      <c r="F464" s="13" t="s">
        <v>39</v>
      </c>
      <c r="G464" s="13" t="s">
        <v>40</v>
      </c>
      <c r="H464" s="13" t="s">
        <v>41</v>
      </c>
      <c r="I464" s="13" t="s">
        <v>52</v>
      </c>
      <c r="J464" s="13">
        <v>7</v>
      </c>
      <c r="K464" s="13">
        <v>249.52</v>
      </c>
      <c r="L464" s="13">
        <v>0</v>
      </c>
      <c r="M464" s="13">
        <v>1746.64</v>
      </c>
      <c r="N464" s="13">
        <v>1226.79</v>
      </c>
      <c r="O464" s="13">
        <v>519.85</v>
      </c>
      <c r="P464" s="13">
        <v>4</v>
      </c>
      <c r="Q464" s="13" t="s">
        <v>94</v>
      </c>
      <c r="R464" s="13">
        <v>2025</v>
      </c>
      <c r="S464" s="15" t="str">
        <f t="shared" si="42"/>
        <v>High Profit</v>
      </c>
      <c r="T464" s="15" t="str">
        <f t="shared" si="43"/>
        <v>High Sales</v>
      </c>
      <c r="U464" s="15" t="str">
        <f t="shared" si="44"/>
        <v>Good</v>
      </c>
      <c r="V464" s="15" t="str">
        <f t="shared" si="45"/>
        <v>Normal Discount</v>
      </c>
      <c r="W464" s="15">
        <f>VLOOKUP(D464,Lookup_Table!$A:$C,2,FALSE)</f>
        <v>0.18</v>
      </c>
      <c r="X464" s="15">
        <f t="shared" si="46"/>
        <v>0.297628589749462</v>
      </c>
      <c r="Y464" s="15" t="str">
        <f>VLOOKUP(D464,Lookup_Table!A:C,3,0)</f>
        <v>Amit</v>
      </c>
      <c r="Z464" s="15" t="str">
        <f t="shared" si="47"/>
        <v>Achived</v>
      </c>
    </row>
    <row r="465" spans="1:26">
      <c r="A465" s="13" t="s">
        <v>556</v>
      </c>
      <c r="B465" s="14">
        <v>45940</v>
      </c>
      <c r="C465" s="13" t="s">
        <v>55</v>
      </c>
      <c r="D465" s="13" t="s">
        <v>28</v>
      </c>
      <c r="E465" s="13" t="s">
        <v>49</v>
      </c>
      <c r="F465" s="13" t="s">
        <v>82</v>
      </c>
      <c r="G465" s="13" t="s">
        <v>83</v>
      </c>
      <c r="H465" s="13" t="s">
        <v>77</v>
      </c>
      <c r="I465" s="13" t="s">
        <v>46</v>
      </c>
      <c r="J465" s="13">
        <v>2</v>
      </c>
      <c r="K465" s="13">
        <v>105.04</v>
      </c>
      <c r="L465" s="13">
        <v>0</v>
      </c>
      <c r="M465" s="13">
        <v>210.08</v>
      </c>
      <c r="N465" s="13">
        <v>147.42</v>
      </c>
      <c r="O465" s="13">
        <v>62.66</v>
      </c>
      <c r="P465" s="13">
        <v>3.6</v>
      </c>
      <c r="Q465" s="13" t="s">
        <v>87</v>
      </c>
      <c r="R465" s="13">
        <v>2025</v>
      </c>
      <c r="S465" s="15" t="str">
        <f t="shared" si="42"/>
        <v>Low Profit</v>
      </c>
      <c r="T465" s="15" t="str">
        <f t="shared" si="43"/>
        <v>Low Sales</v>
      </c>
      <c r="U465" s="15" t="str">
        <f t="shared" si="44"/>
        <v>Needs Improvement</v>
      </c>
      <c r="V465" s="15" t="str">
        <f t="shared" si="45"/>
        <v>Normal Discount</v>
      </c>
      <c r="W465" s="15">
        <f>VLOOKUP(D465,Lookup_Table!$A:$C,2,FALSE)</f>
        <v>0.2</v>
      </c>
      <c r="X465" s="15">
        <f t="shared" si="46"/>
        <v>0.298267326732673</v>
      </c>
      <c r="Y465" s="15" t="str">
        <f>VLOOKUP(D465,Lookup_Table!A:C,3,0)</f>
        <v>Sneha</v>
      </c>
      <c r="Z465" s="15" t="str">
        <f t="shared" si="47"/>
        <v>Achived</v>
      </c>
    </row>
    <row r="466" spans="1:26">
      <c r="A466" s="13" t="s">
        <v>557</v>
      </c>
      <c r="B466" s="14">
        <v>45994</v>
      </c>
      <c r="C466" s="13" t="s">
        <v>55</v>
      </c>
      <c r="D466" s="13" t="s">
        <v>37</v>
      </c>
      <c r="E466" s="13" t="s">
        <v>86</v>
      </c>
      <c r="F466" s="13" t="s">
        <v>62</v>
      </c>
      <c r="G466" s="13" t="s">
        <v>63</v>
      </c>
      <c r="H466" s="13" t="s">
        <v>32</v>
      </c>
      <c r="I466" s="13" t="s">
        <v>46</v>
      </c>
      <c r="J466" s="13">
        <v>2</v>
      </c>
      <c r="K466" s="13">
        <v>173.23</v>
      </c>
      <c r="L466" s="13">
        <v>0.15</v>
      </c>
      <c r="M466" s="13">
        <v>294.49</v>
      </c>
      <c r="N466" s="13">
        <v>206.58</v>
      </c>
      <c r="O466" s="13">
        <v>87.91</v>
      </c>
      <c r="P466" s="13">
        <v>3.3</v>
      </c>
      <c r="Q466" s="13" t="s">
        <v>34</v>
      </c>
      <c r="R466" s="13">
        <v>2025</v>
      </c>
      <c r="S466" s="15" t="str">
        <f t="shared" si="42"/>
        <v>Low Profit</v>
      </c>
      <c r="T466" s="15" t="str">
        <f t="shared" si="43"/>
        <v>Low Sales</v>
      </c>
      <c r="U466" s="15" t="str">
        <f t="shared" si="44"/>
        <v>Needs Improvement</v>
      </c>
      <c r="V466" s="15" t="str">
        <f t="shared" si="45"/>
        <v>High Discount</v>
      </c>
      <c r="W466" s="15">
        <f>VLOOKUP(D466,Lookup_Table!$A:$C,2,FALSE)</f>
        <v>0.16</v>
      </c>
      <c r="X466" s="15">
        <f t="shared" si="46"/>
        <v>0.298516078644436</v>
      </c>
      <c r="Y466" s="15" t="str">
        <f>VLOOKUP(D466,Lookup_Table!A:C,3,0)</f>
        <v>Vikram</v>
      </c>
      <c r="Z466" s="15" t="str">
        <f t="shared" si="47"/>
        <v>Achived</v>
      </c>
    </row>
    <row r="467" spans="1:26">
      <c r="A467" s="13" t="s">
        <v>558</v>
      </c>
      <c r="B467" s="14">
        <v>45806</v>
      </c>
      <c r="C467" s="13" t="s">
        <v>27</v>
      </c>
      <c r="D467" s="13" t="s">
        <v>37</v>
      </c>
      <c r="E467" s="13" t="s">
        <v>109</v>
      </c>
      <c r="F467" s="13" t="s">
        <v>30</v>
      </c>
      <c r="G467" s="13" t="s">
        <v>31</v>
      </c>
      <c r="H467" s="13" t="s">
        <v>32</v>
      </c>
      <c r="I467" s="13" t="s">
        <v>96</v>
      </c>
      <c r="J467" s="13">
        <v>1</v>
      </c>
      <c r="K467" s="13">
        <v>406.98</v>
      </c>
      <c r="L467" s="13">
        <v>0.1</v>
      </c>
      <c r="M467" s="13">
        <v>366.28</v>
      </c>
      <c r="N467" s="13">
        <v>256.86</v>
      </c>
      <c r="O467" s="13">
        <v>109.42</v>
      </c>
      <c r="P467" s="13">
        <v>4.2</v>
      </c>
      <c r="Q467" s="13" t="s">
        <v>42</v>
      </c>
      <c r="R467" s="13">
        <v>2025</v>
      </c>
      <c r="S467" s="15" t="str">
        <f t="shared" si="42"/>
        <v>Low Profit</v>
      </c>
      <c r="T467" s="15" t="str">
        <f t="shared" si="43"/>
        <v>Low Sales</v>
      </c>
      <c r="U467" s="15" t="str">
        <f t="shared" si="44"/>
        <v>Good</v>
      </c>
      <c r="V467" s="15" t="str">
        <f t="shared" si="45"/>
        <v>Normal Discount</v>
      </c>
      <c r="W467" s="15">
        <f>VLOOKUP(D467,Lookup_Table!$A:$C,2,FALSE)</f>
        <v>0.16</v>
      </c>
      <c r="X467" s="15">
        <f t="shared" si="46"/>
        <v>0.298733209566452</v>
      </c>
      <c r="Y467" s="15" t="str">
        <f>VLOOKUP(D467,Lookup_Table!A:C,3,0)</f>
        <v>Vikram</v>
      </c>
      <c r="Z467" s="15" t="str">
        <f t="shared" si="47"/>
        <v>Achived</v>
      </c>
    </row>
    <row r="468" spans="1:26">
      <c r="A468" s="13" t="s">
        <v>559</v>
      </c>
      <c r="B468" s="14">
        <v>45779</v>
      </c>
      <c r="C468" s="13" t="s">
        <v>27</v>
      </c>
      <c r="D468" s="13" t="s">
        <v>44</v>
      </c>
      <c r="E468" s="13" t="s">
        <v>143</v>
      </c>
      <c r="F468" s="13" t="s">
        <v>39</v>
      </c>
      <c r="G468" s="13" t="s">
        <v>40</v>
      </c>
      <c r="H468" s="13" t="s">
        <v>41</v>
      </c>
      <c r="I468" s="13" t="s">
        <v>33</v>
      </c>
      <c r="J468" s="13">
        <v>6</v>
      </c>
      <c r="K468" s="13">
        <v>391.88</v>
      </c>
      <c r="L468" s="13">
        <v>0.1</v>
      </c>
      <c r="M468" s="13">
        <v>2116.15</v>
      </c>
      <c r="N468" s="13">
        <v>1483.89</v>
      </c>
      <c r="O468" s="13">
        <v>632.26</v>
      </c>
      <c r="P468" s="13">
        <v>4.6</v>
      </c>
      <c r="Q468" s="13" t="s">
        <v>42</v>
      </c>
      <c r="R468" s="13">
        <v>2025</v>
      </c>
      <c r="S468" s="15" t="str">
        <f t="shared" si="42"/>
        <v>High Profit</v>
      </c>
      <c r="T468" s="15" t="str">
        <f t="shared" si="43"/>
        <v>High Sales</v>
      </c>
      <c r="U468" s="15" t="str">
        <f t="shared" si="44"/>
        <v>Good</v>
      </c>
      <c r="V468" s="15" t="str">
        <f t="shared" si="45"/>
        <v>Normal Discount</v>
      </c>
      <c r="W468" s="15">
        <f>VLOOKUP(D468,Lookup_Table!$A:$C,2,FALSE)</f>
        <v>0.18</v>
      </c>
      <c r="X468" s="15">
        <f t="shared" si="46"/>
        <v>0.298778441981901</v>
      </c>
      <c r="Y468" s="15" t="str">
        <f>VLOOKUP(D468,Lookup_Table!A:C,3,0)</f>
        <v>Amit</v>
      </c>
      <c r="Z468" s="15" t="str">
        <f t="shared" si="47"/>
        <v>Achived</v>
      </c>
    </row>
    <row r="469" spans="1:26">
      <c r="A469" s="13" t="s">
        <v>560</v>
      </c>
      <c r="B469" s="14">
        <v>45892</v>
      </c>
      <c r="C469" s="13" t="s">
        <v>55</v>
      </c>
      <c r="D469" s="13" t="s">
        <v>80</v>
      </c>
      <c r="E469" s="13" t="s">
        <v>115</v>
      </c>
      <c r="F469" s="13" t="s">
        <v>67</v>
      </c>
      <c r="G469" s="13" t="s">
        <v>68</v>
      </c>
      <c r="H469" s="13" t="s">
        <v>69</v>
      </c>
      <c r="I469" s="13" t="s">
        <v>33</v>
      </c>
      <c r="J469" s="13">
        <v>1</v>
      </c>
      <c r="K469" s="13">
        <v>24.41</v>
      </c>
      <c r="L469" s="13">
        <v>0.15</v>
      </c>
      <c r="M469" s="13">
        <v>20.75</v>
      </c>
      <c r="N469" s="13">
        <v>14.55</v>
      </c>
      <c r="O469" s="13">
        <v>6.2</v>
      </c>
      <c r="P469" s="13">
        <v>4.6</v>
      </c>
      <c r="Q469" s="13" t="s">
        <v>47</v>
      </c>
      <c r="R469" s="13">
        <v>2025</v>
      </c>
      <c r="S469" s="15" t="str">
        <f t="shared" si="42"/>
        <v>Low Profit</v>
      </c>
      <c r="T469" s="15" t="str">
        <f t="shared" si="43"/>
        <v>Low Sales</v>
      </c>
      <c r="U469" s="15" t="str">
        <f t="shared" si="44"/>
        <v>Good</v>
      </c>
      <c r="V469" s="15" t="str">
        <f t="shared" si="45"/>
        <v>High Discount</v>
      </c>
      <c r="W469" s="15">
        <f>VLOOKUP(D469,Lookup_Table!$A:$C,2,FALSE)</f>
        <v>0.12</v>
      </c>
      <c r="X469" s="15">
        <f t="shared" si="46"/>
        <v>0.298795180722892</v>
      </c>
      <c r="Y469" s="15" t="str">
        <f>VLOOKUP(D469,Lookup_Table!A:C,3,0)</f>
        <v>Rahul</v>
      </c>
      <c r="Z469" s="15" t="str">
        <f t="shared" si="47"/>
        <v>Achived</v>
      </c>
    </row>
    <row r="470" spans="1:26">
      <c r="A470" s="13" t="s">
        <v>561</v>
      </c>
      <c r="B470" s="14">
        <v>45872</v>
      </c>
      <c r="C470" s="13" t="s">
        <v>55</v>
      </c>
      <c r="D470" s="13" t="s">
        <v>37</v>
      </c>
      <c r="E470" s="13" t="s">
        <v>93</v>
      </c>
      <c r="F470" s="13" t="s">
        <v>62</v>
      </c>
      <c r="G470" s="13" t="s">
        <v>63</v>
      </c>
      <c r="H470" s="13" t="s">
        <v>32</v>
      </c>
      <c r="I470" s="13" t="s">
        <v>52</v>
      </c>
      <c r="J470" s="13">
        <v>2</v>
      </c>
      <c r="K470" s="13">
        <v>110.81</v>
      </c>
      <c r="L470" s="13">
        <v>0</v>
      </c>
      <c r="M470" s="13">
        <v>221.62</v>
      </c>
      <c r="N470" s="13">
        <v>155.39</v>
      </c>
      <c r="O470" s="13">
        <v>66.23</v>
      </c>
      <c r="P470" s="13">
        <v>3.1</v>
      </c>
      <c r="Q470" s="13" t="s">
        <v>47</v>
      </c>
      <c r="R470" s="13">
        <v>2025</v>
      </c>
      <c r="S470" s="15" t="str">
        <f t="shared" si="42"/>
        <v>Low Profit</v>
      </c>
      <c r="T470" s="15" t="str">
        <f t="shared" si="43"/>
        <v>Low Sales</v>
      </c>
      <c r="U470" s="15" t="str">
        <f t="shared" si="44"/>
        <v>Needs Improvement</v>
      </c>
      <c r="V470" s="15" t="str">
        <f t="shared" si="45"/>
        <v>Normal Discount</v>
      </c>
      <c r="W470" s="15">
        <f>VLOOKUP(D470,Lookup_Table!$A:$C,2,FALSE)</f>
        <v>0.16</v>
      </c>
      <c r="X470" s="15">
        <f t="shared" si="46"/>
        <v>0.298844869596607</v>
      </c>
      <c r="Y470" s="15" t="str">
        <f>VLOOKUP(D470,Lookup_Table!A:C,3,0)</f>
        <v>Vikram</v>
      </c>
      <c r="Z470" s="15" t="str">
        <f t="shared" si="47"/>
        <v>Achived</v>
      </c>
    </row>
    <row r="471" spans="1:26">
      <c r="A471" s="13" t="s">
        <v>562</v>
      </c>
      <c r="B471" s="14">
        <v>45980</v>
      </c>
      <c r="C471" s="13" t="s">
        <v>27</v>
      </c>
      <c r="D471" s="13" t="s">
        <v>44</v>
      </c>
      <c r="E471" s="13" t="s">
        <v>137</v>
      </c>
      <c r="F471" s="13" t="s">
        <v>82</v>
      </c>
      <c r="G471" s="13" t="s">
        <v>83</v>
      </c>
      <c r="H471" s="13" t="s">
        <v>77</v>
      </c>
      <c r="I471" s="13" t="s">
        <v>52</v>
      </c>
      <c r="J471" s="13">
        <v>3</v>
      </c>
      <c r="K471" s="13">
        <v>968.47</v>
      </c>
      <c r="L471" s="13">
        <v>0.05</v>
      </c>
      <c r="M471" s="13">
        <v>2760.14</v>
      </c>
      <c r="N471" s="13">
        <v>1935.15</v>
      </c>
      <c r="O471" s="13">
        <v>824.99</v>
      </c>
      <c r="P471" s="13">
        <v>4.6</v>
      </c>
      <c r="Q471" s="13" t="s">
        <v>71</v>
      </c>
      <c r="R471" s="13">
        <v>2025</v>
      </c>
      <c r="S471" s="15" t="str">
        <f t="shared" si="42"/>
        <v>High Profit</v>
      </c>
      <c r="T471" s="15" t="str">
        <f t="shared" si="43"/>
        <v>High Sales</v>
      </c>
      <c r="U471" s="15" t="str">
        <f t="shared" si="44"/>
        <v>Good</v>
      </c>
      <c r="V471" s="15" t="str">
        <f t="shared" si="45"/>
        <v>Normal Discount</v>
      </c>
      <c r="W471" s="15">
        <f>VLOOKUP(D471,Lookup_Table!$A:$C,2,FALSE)</f>
        <v>0.18</v>
      </c>
      <c r="X471" s="15">
        <f t="shared" si="46"/>
        <v>0.298894258986863</v>
      </c>
      <c r="Y471" s="15" t="str">
        <f>VLOOKUP(D471,Lookup_Table!A:C,3,0)</f>
        <v>Amit</v>
      </c>
      <c r="Z471" s="15" t="str">
        <f t="shared" si="47"/>
        <v>Achived</v>
      </c>
    </row>
    <row r="472" spans="1:26">
      <c r="A472" s="13" t="s">
        <v>563</v>
      </c>
      <c r="B472" s="14">
        <v>45747</v>
      </c>
      <c r="C472" s="13" t="s">
        <v>55</v>
      </c>
      <c r="D472" s="13" t="s">
        <v>37</v>
      </c>
      <c r="E472" s="13" t="s">
        <v>38</v>
      </c>
      <c r="F472" s="13" t="s">
        <v>67</v>
      </c>
      <c r="G472" s="13" t="s">
        <v>68</v>
      </c>
      <c r="H472" s="13" t="s">
        <v>69</v>
      </c>
      <c r="I472" s="13" t="s">
        <v>33</v>
      </c>
      <c r="J472" s="13">
        <v>6</v>
      </c>
      <c r="K472" s="13">
        <v>262.78</v>
      </c>
      <c r="L472" s="13">
        <v>0</v>
      </c>
      <c r="M472" s="13">
        <v>1576.68</v>
      </c>
      <c r="N472" s="13">
        <v>1104.59</v>
      </c>
      <c r="O472" s="13">
        <v>472.09</v>
      </c>
      <c r="P472" s="13">
        <v>3.8</v>
      </c>
      <c r="Q472" s="13" t="s">
        <v>94</v>
      </c>
      <c r="R472" s="13">
        <v>2025</v>
      </c>
      <c r="S472" s="15" t="str">
        <f t="shared" si="42"/>
        <v>Low Profit</v>
      </c>
      <c r="T472" s="15" t="str">
        <f t="shared" si="43"/>
        <v>High Sales</v>
      </c>
      <c r="U472" s="15" t="str">
        <f t="shared" si="44"/>
        <v>Needs Improvement</v>
      </c>
      <c r="V472" s="15" t="str">
        <f t="shared" si="45"/>
        <v>Normal Discount</v>
      </c>
      <c r="W472" s="15">
        <f>VLOOKUP(D472,Lookup_Table!$A:$C,2,FALSE)</f>
        <v>0.16</v>
      </c>
      <c r="X472" s="15">
        <f t="shared" si="46"/>
        <v>0.299420300885405</v>
      </c>
      <c r="Y472" s="15" t="str">
        <f>VLOOKUP(D472,Lookup_Table!A:C,3,0)</f>
        <v>Vikram</v>
      </c>
      <c r="Z472" s="15" t="str">
        <f t="shared" si="47"/>
        <v>Achived</v>
      </c>
    </row>
    <row r="473" spans="1:26">
      <c r="A473" s="13" t="s">
        <v>564</v>
      </c>
      <c r="B473" s="14">
        <v>45679</v>
      </c>
      <c r="C473" s="13" t="s">
        <v>27</v>
      </c>
      <c r="D473" s="13" t="s">
        <v>37</v>
      </c>
      <c r="E473" s="13" t="s">
        <v>86</v>
      </c>
      <c r="F473" s="13" t="s">
        <v>39</v>
      </c>
      <c r="G473" s="13" t="s">
        <v>40</v>
      </c>
      <c r="H473" s="13" t="s">
        <v>41</v>
      </c>
      <c r="I473" s="13" t="s">
        <v>52</v>
      </c>
      <c r="J473" s="13">
        <v>1</v>
      </c>
      <c r="K473" s="13">
        <v>168.67</v>
      </c>
      <c r="L473" s="13">
        <v>0.05</v>
      </c>
      <c r="M473" s="13">
        <v>160.24</v>
      </c>
      <c r="N473" s="13">
        <v>112.24</v>
      </c>
      <c r="O473" s="13">
        <v>48</v>
      </c>
      <c r="P473" s="13">
        <v>2.7</v>
      </c>
      <c r="Q473" s="13" t="s">
        <v>64</v>
      </c>
      <c r="R473" s="13">
        <v>2025</v>
      </c>
      <c r="S473" s="15" t="str">
        <f t="shared" si="42"/>
        <v>Low Profit</v>
      </c>
      <c r="T473" s="15" t="str">
        <f t="shared" si="43"/>
        <v>Low Sales</v>
      </c>
      <c r="U473" s="15" t="str">
        <f t="shared" si="44"/>
        <v>Needs Improvement</v>
      </c>
      <c r="V473" s="15" t="str">
        <f t="shared" si="45"/>
        <v>Normal Discount</v>
      </c>
      <c r="W473" s="15">
        <f>VLOOKUP(D473,Lookup_Table!$A:$C,2,FALSE)</f>
        <v>0.16</v>
      </c>
      <c r="X473" s="15">
        <f t="shared" si="46"/>
        <v>0.299550673989016</v>
      </c>
      <c r="Y473" s="15" t="str">
        <f>VLOOKUP(D473,Lookup_Table!A:C,3,0)</f>
        <v>Vikram</v>
      </c>
      <c r="Z473" s="15" t="str">
        <f t="shared" si="47"/>
        <v>Achived</v>
      </c>
    </row>
    <row r="474" spans="1:26">
      <c r="A474" s="13" t="s">
        <v>565</v>
      </c>
      <c r="B474" s="14">
        <v>45786</v>
      </c>
      <c r="C474" s="13" t="s">
        <v>55</v>
      </c>
      <c r="D474" s="13" t="s">
        <v>44</v>
      </c>
      <c r="E474" s="13" t="s">
        <v>104</v>
      </c>
      <c r="F474" s="13" t="s">
        <v>30</v>
      </c>
      <c r="G474" s="13" t="s">
        <v>31</v>
      </c>
      <c r="H474" s="13" t="s">
        <v>32</v>
      </c>
      <c r="I474" s="13" t="s">
        <v>96</v>
      </c>
      <c r="J474" s="13">
        <v>1</v>
      </c>
      <c r="K474" s="13">
        <v>890.69</v>
      </c>
      <c r="L474" s="13">
        <v>0.1</v>
      </c>
      <c r="M474" s="13">
        <v>801.62</v>
      </c>
      <c r="N474" s="13">
        <v>561.22</v>
      </c>
      <c r="O474" s="13">
        <v>240.4</v>
      </c>
      <c r="P474" s="13">
        <v>3.7</v>
      </c>
      <c r="Q474" s="13" t="s">
        <v>42</v>
      </c>
      <c r="R474" s="13">
        <v>2025</v>
      </c>
      <c r="S474" s="15" t="str">
        <f t="shared" si="42"/>
        <v>Low Profit</v>
      </c>
      <c r="T474" s="15" t="str">
        <f t="shared" si="43"/>
        <v>Low Sales</v>
      </c>
      <c r="U474" s="15" t="str">
        <f t="shared" si="44"/>
        <v>Needs Improvement</v>
      </c>
      <c r="V474" s="15" t="str">
        <f t="shared" si="45"/>
        <v>Normal Discount</v>
      </c>
      <c r="W474" s="15">
        <f>VLOOKUP(D474,Lookup_Table!$A:$C,2,FALSE)</f>
        <v>0.18</v>
      </c>
      <c r="X474" s="15">
        <f t="shared" si="46"/>
        <v>0.299892717247574</v>
      </c>
      <c r="Y474" s="15" t="str">
        <f>VLOOKUP(D474,Lookup_Table!A:C,3,0)</f>
        <v>Amit</v>
      </c>
      <c r="Z474" s="15" t="str">
        <f t="shared" si="47"/>
        <v>Achived</v>
      </c>
    </row>
    <row r="475" spans="1:26">
      <c r="A475" s="13" t="s">
        <v>566</v>
      </c>
      <c r="B475" s="14">
        <v>45933</v>
      </c>
      <c r="C475" s="13" t="s">
        <v>55</v>
      </c>
      <c r="D475" s="13" t="s">
        <v>37</v>
      </c>
      <c r="E475" s="13" t="s">
        <v>109</v>
      </c>
      <c r="F475" s="13" t="s">
        <v>116</v>
      </c>
      <c r="G475" s="13" t="s">
        <v>117</v>
      </c>
      <c r="H475" s="13" t="s">
        <v>32</v>
      </c>
      <c r="I475" s="13" t="s">
        <v>96</v>
      </c>
      <c r="J475" s="13">
        <v>1</v>
      </c>
      <c r="K475" s="13">
        <v>186.5</v>
      </c>
      <c r="L475" s="13">
        <v>0</v>
      </c>
      <c r="M475" s="13">
        <v>186.5</v>
      </c>
      <c r="N475" s="13">
        <v>130.57</v>
      </c>
      <c r="O475" s="13">
        <v>55.93</v>
      </c>
      <c r="P475" s="13">
        <v>3.7</v>
      </c>
      <c r="Q475" s="13" t="s">
        <v>87</v>
      </c>
      <c r="R475" s="13">
        <v>2025</v>
      </c>
      <c r="S475" s="15" t="str">
        <f t="shared" si="42"/>
        <v>Low Profit</v>
      </c>
      <c r="T475" s="15" t="str">
        <f t="shared" si="43"/>
        <v>Low Sales</v>
      </c>
      <c r="U475" s="15" t="str">
        <f t="shared" si="44"/>
        <v>Needs Improvement</v>
      </c>
      <c r="V475" s="15" t="str">
        <f t="shared" si="45"/>
        <v>Normal Discount</v>
      </c>
      <c r="W475" s="15">
        <f>VLOOKUP(D475,Lookup_Table!$A:$C,2,FALSE)</f>
        <v>0.16</v>
      </c>
      <c r="X475" s="15">
        <f t="shared" si="46"/>
        <v>0.299892761394102</v>
      </c>
      <c r="Y475" s="15" t="str">
        <f>VLOOKUP(D475,Lookup_Table!A:C,3,0)</f>
        <v>Vikram</v>
      </c>
      <c r="Z475" s="15" t="str">
        <f t="shared" si="47"/>
        <v>Achived</v>
      </c>
    </row>
    <row r="476" spans="1:26">
      <c r="A476" s="13" t="s">
        <v>567</v>
      </c>
      <c r="B476" s="14">
        <v>45923</v>
      </c>
      <c r="C476" s="13" t="s">
        <v>36</v>
      </c>
      <c r="D476" s="13" t="s">
        <v>37</v>
      </c>
      <c r="E476" s="13" t="s">
        <v>38</v>
      </c>
      <c r="F476" s="13" t="s">
        <v>50</v>
      </c>
      <c r="G476" s="13" t="s">
        <v>51</v>
      </c>
      <c r="H476" s="13" t="s">
        <v>32</v>
      </c>
      <c r="I476" s="13" t="s">
        <v>33</v>
      </c>
      <c r="J476" s="13">
        <v>3</v>
      </c>
      <c r="K476" s="13">
        <v>274.4</v>
      </c>
      <c r="L476" s="13">
        <v>0</v>
      </c>
      <c r="M476" s="13">
        <v>823.2</v>
      </c>
      <c r="N476" s="13">
        <v>576.29</v>
      </c>
      <c r="O476" s="13">
        <v>246.91</v>
      </c>
      <c r="P476" s="13">
        <v>4.5</v>
      </c>
      <c r="Q476" s="13" t="s">
        <v>53</v>
      </c>
      <c r="R476" s="13">
        <v>2025</v>
      </c>
      <c r="S476" s="15" t="str">
        <f t="shared" si="42"/>
        <v>Low Profit</v>
      </c>
      <c r="T476" s="15" t="str">
        <f t="shared" si="43"/>
        <v>Low Sales</v>
      </c>
      <c r="U476" s="15" t="str">
        <f t="shared" si="44"/>
        <v>Good</v>
      </c>
      <c r="V476" s="15" t="str">
        <f t="shared" si="45"/>
        <v>Normal Discount</v>
      </c>
      <c r="W476" s="15">
        <f>VLOOKUP(D476,Lookup_Table!$A:$C,2,FALSE)</f>
        <v>0.16</v>
      </c>
      <c r="X476" s="15">
        <f t="shared" si="46"/>
        <v>0.299939261418853</v>
      </c>
      <c r="Y476" s="15" t="str">
        <f>VLOOKUP(D476,Lookup_Table!A:C,3,0)</f>
        <v>Vikram</v>
      </c>
      <c r="Z476" s="15" t="str">
        <f t="shared" si="47"/>
        <v>Achived</v>
      </c>
    </row>
    <row r="477" spans="1:26">
      <c r="A477" s="13" t="s">
        <v>568</v>
      </c>
      <c r="B477" s="14">
        <v>45768</v>
      </c>
      <c r="C477" s="13" t="s">
        <v>36</v>
      </c>
      <c r="D477" s="13" t="s">
        <v>60</v>
      </c>
      <c r="E477" s="13" t="s">
        <v>150</v>
      </c>
      <c r="F477" s="13" t="s">
        <v>75</v>
      </c>
      <c r="G477" s="13" t="s">
        <v>76</v>
      </c>
      <c r="H477" s="13" t="s">
        <v>77</v>
      </c>
      <c r="I477" s="13" t="s">
        <v>46</v>
      </c>
      <c r="J477" s="13">
        <v>5</v>
      </c>
      <c r="K477" s="13">
        <v>763.27</v>
      </c>
      <c r="L477" s="13">
        <v>0</v>
      </c>
      <c r="M477" s="13">
        <v>3816.35</v>
      </c>
      <c r="N477" s="13">
        <v>2669.1</v>
      </c>
      <c r="O477" s="13">
        <v>1147.25</v>
      </c>
      <c r="P477" s="13">
        <v>3.4</v>
      </c>
      <c r="Q477" s="13" t="s">
        <v>84</v>
      </c>
      <c r="R477" s="13">
        <v>2025</v>
      </c>
      <c r="S477" s="15" t="str">
        <f t="shared" si="42"/>
        <v>High Profit</v>
      </c>
      <c r="T477" s="15" t="str">
        <f t="shared" si="43"/>
        <v>High Sales</v>
      </c>
      <c r="U477" s="15" t="str">
        <f t="shared" si="44"/>
        <v>Needs Improvement</v>
      </c>
      <c r="V477" s="15" t="str">
        <f t="shared" si="45"/>
        <v>Normal Discount</v>
      </c>
      <c r="W477" s="15">
        <f>VLOOKUP(D477,Lookup_Table!$A:$C,2,FALSE)</f>
        <v>0.15</v>
      </c>
      <c r="X477" s="15">
        <f t="shared" si="46"/>
        <v>0.300614461461868</v>
      </c>
      <c r="Y477" s="15" t="str">
        <f>VLOOKUP(D477,Lookup_Table!A:C,3,0)</f>
        <v>Priya</v>
      </c>
      <c r="Z477" s="15" t="str">
        <f t="shared" si="47"/>
        <v>Achived</v>
      </c>
    </row>
    <row r="478" spans="1:26">
      <c r="A478" s="13" t="s">
        <v>569</v>
      </c>
      <c r="B478" s="14">
        <v>45907</v>
      </c>
      <c r="C478" s="13" t="s">
        <v>27</v>
      </c>
      <c r="D478" s="13" t="s">
        <v>60</v>
      </c>
      <c r="E478" s="13" t="s">
        <v>150</v>
      </c>
      <c r="F478" s="13" t="s">
        <v>50</v>
      </c>
      <c r="G478" s="13" t="s">
        <v>51</v>
      </c>
      <c r="H478" s="13" t="s">
        <v>32</v>
      </c>
      <c r="I478" s="13" t="s">
        <v>33</v>
      </c>
      <c r="J478" s="13">
        <v>4</v>
      </c>
      <c r="K478" s="13">
        <v>674.42</v>
      </c>
      <c r="L478" s="13">
        <v>0.05</v>
      </c>
      <c r="M478" s="13">
        <v>2562.8</v>
      </c>
      <c r="N478" s="13">
        <v>1792.09</v>
      </c>
      <c r="O478" s="13">
        <v>770.71</v>
      </c>
      <c r="P478" s="13">
        <v>3.3</v>
      </c>
      <c r="Q478" s="13" t="s">
        <v>53</v>
      </c>
      <c r="R478" s="13">
        <v>2025</v>
      </c>
      <c r="S478" s="15" t="str">
        <f t="shared" si="42"/>
        <v>High Profit</v>
      </c>
      <c r="T478" s="15" t="str">
        <f t="shared" si="43"/>
        <v>High Sales</v>
      </c>
      <c r="U478" s="15" t="str">
        <f t="shared" si="44"/>
        <v>Needs Improvement</v>
      </c>
      <c r="V478" s="15" t="str">
        <f t="shared" si="45"/>
        <v>Normal Discount</v>
      </c>
      <c r="W478" s="15">
        <f>VLOOKUP(D478,Lookup_Table!$A:$C,2,FALSE)</f>
        <v>0.15</v>
      </c>
      <c r="X478" s="15">
        <f t="shared" si="46"/>
        <v>0.300729670672702</v>
      </c>
      <c r="Y478" s="15" t="str">
        <f>VLOOKUP(D478,Lookup_Table!A:C,3,0)</f>
        <v>Priya</v>
      </c>
      <c r="Z478" s="15" t="str">
        <f t="shared" si="47"/>
        <v>Achived</v>
      </c>
    </row>
    <row r="479" spans="1:26">
      <c r="A479" s="13" t="s">
        <v>570</v>
      </c>
      <c r="B479" s="14">
        <v>45998</v>
      </c>
      <c r="C479" s="13" t="s">
        <v>27</v>
      </c>
      <c r="D479" s="13" t="s">
        <v>44</v>
      </c>
      <c r="E479" s="13" t="s">
        <v>137</v>
      </c>
      <c r="F479" s="13" t="s">
        <v>98</v>
      </c>
      <c r="G479" s="13" t="s">
        <v>99</v>
      </c>
      <c r="H479" s="13" t="s">
        <v>77</v>
      </c>
      <c r="I479" s="13" t="s">
        <v>96</v>
      </c>
      <c r="J479" s="13">
        <v>2</v>
      </c>
      <c r="K479" s="13">
        <v>316.05</v>
      </c>
      <c r="L479" s="13">
        <v>0.15</v>
      </c>
      <c r="M479" s="13">
        <v>537.28</v>
      </c>
      <c r="N479" s="13">
        <v>375.64</v>
      </c>
      <c r="O479" s="13">
        <v>161.64</v>
      </c>
      <c r="P479" s="13">
        <v>4.3</v>
      </c>
      <c r="Q479" s="13" t="s">
        <v>34</v>
      </c>
      <c r="R479" s="13">
        <v>2025</v>
      </c>
      <c r="S479" s="15" t="str">
        <f t="shared" si="42"/>
        <v>Low Profit</v>
      </c>
      <c r="T479" s="15" t="str">
        <f t="shared" si="43"/>
        <v>Low Sales</v>
      </c>
      <c r="U479" s="15" t="str">
        <f t="shared" si="44"/>
        <v>Good</v>
      </c>
      <c r="V479" s="15" t="str">
        <f t="shared" si="45"/>
        <v>High Discount</v>
      </c>
      <c r="W479" s="15">
        <f>VLOOKUP(D479,Lookup_Table!$A:$C,2,FALSE)</f>
        <v>0.18</v>
      </c>
      <c r="X479" s="15">
        <f t="shared" si="46"/>
        <v>0.300848719475878</v>
      </c>
      <c r="Y479" s="15" t="str">
        <f>VLOOKUP(D479,Lookup_Table!A:C,3,0)</f>
        <v>Amit</v>
      </c>
      <c r="Z479" s="15" t="str">
        <f t="shared" si="47"/>
        <v>Achived</v>
      </c>
    </row>
    <row r="480" spans="1:26">
      <c r="A480" s="13" t="s">
        <v>571</v>
      </c>
      <c r="B480" s="14">
        <v>45795</v>
      </c>
      <c r="C480" s="13" t="s">
        <v>55</v>
      </c>
      <c r="D480" s="13" t="s">
        <v>44</v>
      </c>
      <c r="E480" s="13" t="s">
        <v>143</v>
      </c>
      <c r="F480" s="13" t="s">
        <v>39</v>
      </c>
      <c r="G480" s="13" t="s">
        <v>40</v>
      </c>
      <c r="H480" s="13" t="s">
        <v>41</v>
      </c>
      <c r="I480" s="13" t="s">
        <v>33</v>
      </c>
      <c r="J480" s="13">
        <v>5</v>
      </c>
      <c r="K480" s="13">
        <v>928.35</v>
      </c>
      <c r="L480" s="13">
        <v>0</v>
      </c>
      <c r="M480" s="13">
        <v>4641.75</v>
      </c>
      <c r="N480" s="13">
        <v>3244.1</v>
      </c>
      <c r="O480" s="13">
        <v>1397.65</v>
      </c>
      <c r="P480" s="13">
        <v>4.8</v>
      </c>
      <c r="Q480" s="13" t="s">
        <v>42</v>
      </c>
      <c r="R480" s="13">
        <v>2025</v>
      </c>
      <c r="S480" s="15" t="str">
        <f t="shared" si="42"/>
        <v>High Profit</v>
      </c>
      <c r="T480" s="15" t="str">
        <f t="shared" si="43"/>
        <v>High Sales</v>
      </c>
      <c r="U480" s="15" t="str">
        <f t="shared" si="44"/>
        <v>Good</v>
      </c>
      <c r="V480" s="15" t="str">
        <f t="shared" si="45"/>
        <v>Normal Discount</v>
      </c>
      <c r="W480" s="15">
        <f>VLOOKUP(D480,Lookup_Table!$A:$C,2,FALSE)</f>
        <v>0.18</v>
      </c>
      <c r="X480" s="15">
        <f t="shared" si="46"/>
        <v>0.301104109441482</v>
      </c>
      <c r="Y480" s="15" t="str">
        <f>VLOOKUP(D480,Lookup_Table!A:C,3,0)</f>
        <v>Amit</v>
      </c>
      <c r="Z480" s="15" t="str">
        <f t="shared" si="47"/>
        <v>Achived</v>
      </c>
    </row>
    <row r="481" spans="1:26">
      <c r="A481" s="13" t="s">
        <v>572</v>
      </c>
      <c r="B481" s="14">
        <v>45756</v>
      </c>
      <c r="C481" s="13" t="s">
        <v>36</v>
      </c>
      <c r="D481" s="13" t="s">
        <v>44</v>
      </c>
      <c r="E481" s="13" t="s">
        <v>143</v>
      </c>
      <c r="F481" s="13" t="s">
        <v>62</v>
      </c>
      <c r="G481" s="13" t="s">
        <v>63</v>
      </c>
      <c r="H481" s="13" t="s">
        <v>32</v>
      </c>
      <c r="I481" s="13" t="s">
        <v>46</v>
      </c>
      <c r="J481" s="13">
        <v>6</v>
      </c>
      <c r="K481" s="13">
        <v>1433.83</v>
      </c>
      <c r="L481" s="13">
        <v>0</v>
      </c>
      <c r="M481" s="13">
        <v>8602.98</v>
      </c>
      <c r="N481" s="13">
        <v>6012.52</v>
      </c>
      <c r="O481" s="13">
        <v>2590.46</v>
      </c>
      <c r="P481" s="13">
        <v>4.6</v>
      </c>
      <c r="Q481" s="13" t="s">
        <v>84</v>
      </c>
      <c r="R481" s="13">
        <v>2025</v>
      </c>
      <c r="S481" s="15" t="str">
        <f t="shared" si="42"/>
        <v>High Profit</v>
      </c>
      <c r="T481" s="15" t="str">
        <f t="shared" si="43"/>
        <v>High Sales</v>
      </c>
      <c r="U481" s="15" t="str">
        <f t="shared" si="44"/>
        <v>Good</v>
      </c>
      <c r="V481" s="15" t="str">
        <f t="shared" si="45"/>
        <v>Normal Discount</v>
      </c>
      <c r="W481" s="15">
        <f>VLOOKUP(D481,Lookup_Table!$A:$C,2,FALSE)</f>
        <v>0.18</v>
      </c>
      <c r="X481" s="15">
        <f t="shared" si="46"/>
        <v>0.301111940281158</v>
      </c>
      <c r="Y481" s="15" t="str">
        <f>VLOOKUP(D481,Lookup_Table!A:C,3,0)</f>
        <v>Amit</v>
      </c>
      <c r="Z481" s="15" t="str">
        <f t="shared" si="47"/>
        <v>Achived</v>
      </c>
    </row>
    <row r="482" spans="1:26">
      <c r="A482" s="13" t="s">
        <v>573</v>
      </c>
      <c r="B482" s="14">
        <v>45765</v>
      </c>
      <c r="C482" s="13" t="s">
        <v>55</v>
      </c>
      <c r="D482" s="13" t="s">
        <v>60</v>
      </c>
      <c r="E482" s="13" t="s">
        <v>150</v>
      </c>
      <c r="F482" s="13" t="s">
        <v>116</v>
      </c>
      <c r="G482" s="13" t="s">
        <v>117</v>
      </c>
      <c r="H482" s="13" t="s">
        <v>32</v>
      </c>
      <c r="I482" s="13" t="s">
        <v>96</v>
      </c>
      <c r="J482" s="13">
        <v>2</v>
      </c>
      <c r="K482" s="13">
        <v>68.57</v>
      </c>
      <c r="L482" s="13">
        <v>0</v>
      </c>
      <c r="M482" s="13">
        <v>137.14</v>
      </c>
      <c r="N482" s="13">
        <v>95.82</v>
      </c>
      <c r="O482" s="13">
        <v>41.32</v>
      </c>
      <c r="P482" s="13">
        <v>3.7</v>
      </c>
      <c r="Q482" s="13" t="s">
        <v>84</v>
      </c>
      <c r="R482" s="13">
        <v>2025</v>
      </c>
      <c r="S482" s="15" t="str">
        <f t="shared" si="42"/>
        <v>Low Profit</v>
      </c>
      <c r="T482" s="15" t="str">
        <f t="shared" si="43"/>
        <v>Low Sales</v>
      </c>
      <c r="U482" s="15" t="str">
        <f t="shared" si="44"/>
        <v>Needs Improvement</v>
      </c>
      <c r="V482" s="15" t="str">
        <f t="shared" si="45"/>
        <v>Normal Discount</v>
      </c>
      <c r="W482" s="15">
        <f>VLOOKUP(D482,Lookup_Table!$A:$C,2,FALSE)</f>
        <v>0.15</v>
      </c>
      <c r="X482" s="15">
        <f t="shared" si="46"/>
        <v>0.301297943707161</v>
      </c>
      <c r="Y482" s="15" t="str">
        <f>VLOOKUP(D482,Lookup_Table!A:C,3,0)</f>
        <v>Priya</v>
      </c>
      <c r="Z482" s="15" t="str">
        <f t="shared" si="47"/>
        <v>Achived</v>
      </c>
    </row>
    <row r="483" spans="1:26">
      <c r="A483" s="13" t="s">
        <v>574</v>
      </c>
      <c r="B483" s="14">
        <v>45696</v>
      </c>
      <c r="C483" s="13" t="s">
        <v>36</v>
      </c>
      <c r="D483" s="13" t="s">
        <v>44</v>
      </c>
      <c r="E483" s="13" t="s">
        <v>137</v>
      </c>
      <c r="F483" s="13" t="s">
        <v>30</v>
      </c>
      <c r="G483" s="13" t="s">
        <v>31</v>
      </c>
      <c r="H483" s="13" t="s">
        <v>32</v>
      </c>
      <c r="I483" s="13" t="s">
        <v>96</v>
      </c>
      <c r="J483" s="13">
        <v>1</v>
      </c>
      <c r="K483" s="13">
        <v>1476.87</v>
      </c>
      <c r="L483" s="13">
        <v>0.05</v>
      </c>
      <c r="M483" s="13">
        <v>1403.03</v>
      </c>
      <c r="N483" s="13">
        <v>979.6</v>
      </c>
      <c r="O483" s="13">
        <v>423.43</v>
      </c>
      <c r="P483" s="13">
        <v>4.1</v>
      </c>
      <c r="Q483" s="13" t="s">
        <v>105</v>
      </c>
      <c r="R483" s="13">
        <v>2025</v>
      </c>
      <c r="S483" s="15" t="str">
        <f t="shared" si="42"/>
        <v>Low Profit</v>
      </c>
      <c r="T483" s="15" t="str">
        <f t="shared" si="43"/>
        <v>High Sales</v>
      </c>
      <c r="U483" s="15" t="str">
        <f t="shared" si="44"/>
        <v>Good</v>
      </c>
      <c r="V483" s="15" t="str">
        <f t="shared" si="45"/>
        <v>Normal Discount</v>
      </c>
      <c r="W483" s="15">
        <f>VLOOKUP(D483,Lookup_Table!$A:$C,2,FALSE)</f>
        <v>0.18</v>
      </c>
      <c r="X483" s="15">
        <f t="shared" si="46"/>
        <v>0.301796825442079</v>
      </c>
      <c r="Y483" s="15" t="str">
        <f>VLOOKUP(D483,Lookup_Table!A:C,3,0)</f>
        <v>Amit</v>
      </c>
      <c r="Z483" s="15" t="str">
        <f t="shared" si="47"/>
        <v>Achived</v>
      </c>
    </row>
    <row r="484" spans="1:26">
      <c r="A484" s="13" t="s">
        <v>575</v>
      </c>
      <c r="B484" s="14">
        <v>45685</v>
      </c>
      <c r="C484" s="13" t="s">
        <v>36</v>
      </c>
      <c r="D484" s="13" t="s">
        <v>37</v>
      </c>
      <c r="E484" s="13" t="s">
        <v>109</v>
      </c>
      <c r="F484" s="13" t="s">
        <v>116</v>
      </c>
      <c r="G484" s="13" t="s">
        <v>117</v>
      </c>
      <c r="H484" s="13" t="s">
        <v>32</v>
      </c>
      <c r="I484" s="13" t="s">
        <v>33</v>
      </c>
      <c r="J484" s="13">
        <v>6</v>
      </c>
      <c r="K484" s="13">
        <v>345.84</v>
      </c>
      <c r="L484" s="13">
        <v>0.05</v>
      </c>
      <c r="M484" s="13">
        <v>1971.29</v>
      </c>
      <c r="N484" s="13">
        <v>1375.97</v>
      </c>
      <c r="O484" s="13">
        <v>595.32</v>
      </c>
      <c r="P484" s="13">
        <v>3.5</v>
      </c>
      <c r="Q484" s="13" t="s">
        <v>64</v>
      </c>
      <c r="R484" s="13">
        <v>2025</v>
      </c>
      <c r="S484" s="15" t="str">
        <f t="shared" si="42"/>
        <v>High Profit</v>
      </c>
      <c r="T484" s="15" t="str">
        <f t="shared" si="43"/>
        <v>High Sales</v>
      </c>
      <c r="U484" s="15" t="str">
        <f t="shared" si="44"/>
        <v>Needs Improvement</v>
      </c>
      <c r="V484" s="15" t="str">
        <f t="shared" si="45"/>
        <v>Normal Discount</v>
      </c>
      <c r="W484" s="15">
        <f>VLOOKUP(D484,Lookup_Table!$A:$C,2,FALSE)</f>
        <v>0.16</v>
      </c>
      <c r="X484" s="15">
        <f t="shared" si="46"/>
        <v>0.301995140238118</v>
      </c>
      <c r="Y484" s="15" t="str">
        <f>VLOOKUP(D484,Lookup_Table!A:C,3,0)</f>
        <v>Vikram</v>
      </c>
      <c r="Z484" s="15" t="str">
        <f t="shared" si="47"/>
        <v>Achived</v>
      </c>
    </row>
    <row r="485" spans="1:26">
      <c r="A485" s="13" t="s">
        <v>576</v>
      </c>
      <c r="B485" s="14">
        <v>45898</v>
      </c>
      <c r="C485" s="13" t="s">
        <v>27</v>
      </c>
      <c r="D485" s="13" t="s">
        <v>80</v>
      </c>
      <c r="E485" s="13" t="s">
        <v>191</v>
      </c>
      <c r="F485" s="13" t="s">
        <v>67</v>
      </c>
      <c r="G485" s="13" t="s">
        <v>68</v>
      </c>
      <c r="H485" s="13" t="s">
        <v>69</v>
      </c>
      <c r="I485" s="13" t="s">
        <v>33</v>
      </c>
      <c r="J485" s="13">
        <v>2</v>
      </c>
      <c r="K485" s="13">
        <v>45.85</v>
      </c>
      <c r="L485" s="13">
        <v>0.05</v>
      </c>
      <c r="M485" s="13">
        <v>87.12</v>
      </c>
      <c r="N485" s="13">
        <v>60.81</v>
      </c>
      <c r="O485" s="13">
        <v>26.31</v>
      </c>
      <c r="P485" s="13">
        <v>3.6</v>
      </c>
      <c r="Q485" s="13" t="s">
        <v>47</v>
      </c>
      <c r="R485" s="13">
        <v>2025</v>
      </c>
      <c r="S485" s="15" t="str">
        <f t="shared" si="42"/>
        <v>Low Profit</v>
      </c>
      <c r="T485" s="15" t="str">
        <f t="shared" si="43"/>
        <v>Low Sales</v>
      </c>
      <c r="U485" s="15" t="str">
        <f t="shared" si="44"/>
        <v>Needs Improvement</v>
      </c>
      <c r="V485" s="15" t="str">
        <f t="shared" si="45"/>
        <v>Normal Discount</v>
      </c>
      <c r="W485" s="15">
        <f>VLOOKUP(D485,Lookup_Table!$A:$C,2,FALSE)</f>
        <v>0.12</v>
      </c>
      <c r="X485" s="15">
        <f t="shared" si="46"/>
        <v>0.301997245179063</v>
      </c>
      <c r="Y485" s="15" t="str">
        <f>VLOOKUP(D485,Lookup_Table!A:C,3,0)</f>
        <v>Rahul</v>
      </c>
      <c r="Z485" s="15" t="str">
        <f t="shared" si="47"/>
        <v>Achived</v>
      </c>
    </row>
    <row r="486" spans="1:26">
      <c r="A486" s="13" t="s">
        <v>577</v>
      </c>
      <c r="B486" s="14">
        <v>45928</v>
      </c>
      <c r="C486" s="13" t="s">
        <v>55</v>
      </c>
      <c r="D486" s="13" t="s">
        <v>37</v>
      </c>
      <c r="E486" s="13" t="s">
        <v>86</v>
      </c>
      <c r="F486" s="13" t="s">
        <v>98</v>
      </c>
      <c r="G486" s="13" t="s">
        <v>99</v>
      </c>
      <c r="H486" s="13" t="s">
        <v>77</v>
      </c>
      <c r="I486" s="13" t="s">
        <v>52</v>
      </c>
      <c r="J486" s="13">
        <v>7</v>
      </c>
      <c r="K486" s="13">
        <v>368.91</v>
      </c>
      <c r="L486" s="13">
        <v>0.05</v>
      </c>
      <c r="M486" s="13">
        <v>2453.25</v>
      </c>
      <c r="N486" s="13">
        <v>1711.96</v>
      </c>
      <c r="O486" s="13">
        <v>741.29</v>
      </c>
      <c r="P486" s="13">
        <v>3</v>
      </c>
      <c r="Q486" s="13" t="s">
        <v>53</v>
      </c>
      <c r="R486" s="13">
        <v>2025</v>
      </c>
      <c r="S486" s="15" t="str">
        <f t="shared" si="42"/>
        <v>High Profit</v>
      </c>
      <c r="T486" s="15" t="str">
        <f t="shared" si="43"/>
        <v>High Sales</v>
      </c>
      <c r="U486" s="15" t="str">
        <f t="shared" si="44"/>
        <v>Needs Improvement</v>
      </c>
      <c r="V486" s="15" t="str">
        <f t="shared" si="45"/>
        <v>Normal Discount</v>
      </c>
      <c r="W486" s="15">
        <f>VLOOKUP(D486,Lookup_Table!$A:$C,2,FALSE)</f>
        <v>0.16</v>
      </c>
      <c r="X486" s="15">
        <f t="shared" si="46"/>
        <v>0.302166513808214</v>
      </c>
      <c r="Y486" s="15" t="str">
        <f>VLOOKUP(D486,Lookup_Table!A:C,3,0)</f>
        <v>Vikram</v>
      </c>
      <c r="Z486" s="15" t="str">
        <f t="shared" si="47"/>
        <v>Achived</v>
      </c>
    </row>
    <row r="487" spans="1:26">
      <c r="A487" s="13" t="s">
        <v>578</v>
      </c>
      <c r="B487" s="14">
        <v>45857</v>
      </c>
      <c r="C487" s="13" t="s">
        <v>27</v>
      </c>
      <c r="D487" s="13" t="s">
        <v>80</v>
      </c>
      <c r="E487" s="13" t="s">
        <v>191</v>
      </c>
      <c r="F487" s="13" t="s">
        <v>75</v>
      </c>
      <c r="G487" s="13" t="s">
        <v>76</v>
      </c>
      <c r="H487" s="13" t="s">
        <v>77</v>
      </c>
      <c r="I487" s="13" t="s">
        <v>33</v>
      </c>
      <c r="J487" s="13">
        <v>5</v>
      </c>
      <c r="K487" s="13">
        <v>53.3</v>
      </c>
      <c r="L487" s="13">
        <v>0.1</v>
      </c>
      <c r="M487" s="13">
        <v>239.85</v>
      </c>
      <c r="N487" s="13">
        <v>167.3</v>
      </c>
      <c r="O487" s="13">
        <v>72.55</v>
      </c>
      <c r="P487" s="13">
        <v>3.7</v>
      </c>
      <c r="Q487" s="13" t="s">
        <v>56</v>
      </c>
      <c r="R487" s="13">
        <v>2025</v>
      </c>
      <c r="S487" s="15" t="str">
        <f t="shared" si="42"/>
        <v>Low Profit</v>
      </c>
      <c r="T487" s="15" t="str">
        <f t="shared" si="43"/>
        <v>Low Sales</v>
      </c>
      <c r="U487" s="15" t="str">
        <f t="shared" si="44"/>
        <v>Needs Improvement</v>
      </c>
      <c r="V487" s="15" t="str">
        <f t="shared" si="45"/>
        <v>Normal Discount</v>
      </c>
      <c r="W487" s="15">
        <f>VLOOKUP(D487,Lookup_Table!$A:$C,2,FALSE)</f>
        <v>0.12</v>
      </c>
      <c r="X487" s="15">
        <f t="shared" si="46"/>
        <v>0.302480717114863</v>
      </c>
      <c r="Y487" s="15" t="str">
        <f>VLOOKUP(D487,Lookup_Table!A:C,3,0)</f>
        <v>Rahul</v>
      </c>
      <c r="Z487" s="15" t="str">
        <f t="shared" si="47"/>
        <v>Achived</v>
      </c>
    </row>
    <row r="488" spans="1:26">
      <c r="A488" s="13" t="s">
        <v>579</v>
      </c>
      <c r="B488" s="14">
        <v>45961</v>
      </c>
      <c r="C488" s="13" t="s">
        <v>55</v>
      </c>
      <c r="D488" s="13" t="s">
        <v>37</v>
      </c>
      <c r="E488" s="13" t="s">
        <v>86</v>
      </c>
      <c r="F488" s="13" t="s">
        <v>111</v>
      </c>
      <c r="G488" s="13" t="s">
        <v>76</v>
      </c>
      <c r="H488" s="13" t="s">
        <v>77</v>
      </c>
      <c r="I488" s="13" t="s">
        <v>96</v>
      </c>
      <c r="J488" s="13">
        <v>2</v>
      </c>
      <c r="K488" s="13">
        <v>403.22</v>
      </c>
      <c r="L488" s="13">
        <v>0.15</v>
      </c>
      <c r="M488" s="13">
        <v>685.47</v>
      </c>
      <c r="N488" s="13">
        <v>477.86</v>
      </c>
      <c r="O488" s="13">
        <v>207.61</v>
      </c>
      <c r="P488" s="13">
        <v>4.5</v>
      </c>
      <c r="Q488" s="13" t="s">
        <v>87</v>
      </c>
      <c r="R488" s="13">
        <v>2025</v>
      </c>
      <c r="S488" s="15" t="str">
        <f t="shared" si="42"/>
        <v>Low Profit</v>
      </c>
      <c r="T488" s="15" t="str">
        <f t="shared" si="43"/>
        <v>Low Sales</v>
      </c>
      <c r="U488" s="15" t="str">
        <f t="shared" si="44"/>
        <v>Good</v>
      </c>
      <c r="V488" s="15" t="str">
        <f t="shared" si="45"/>
        <v>High Discount</v>
      </c>
      <c r="W488" s="15">
        <f>VLOOKUP(D488,Lookup_Table!$A:$C,2,FALSE)</f>
        <v>0.16</v>
      </c>
      <c r="X488" s="15">
        <f t="shared" si="46"/>
        <v>0.302872481654923</v>
      </c>
      <c r="Y488" s="15" t="str">
        <f>VLOOKUP(D488,Lookup_Table!A:C,3,0)</f>
        <v>Vikram</v>
      </c>
      <c r="Z488" s="15" t="str">
        <f t="shared" si="47"/>
        <v>Achived</v>
      </c>
    </row>
    <row r="489" spans="1:26">
      <c r="A489" s="13" t="s">
        <v>580</v>
      </c>
      <c r="B489" s="14">
        <v>45755</v>
      </c>
      <c r="C489" s="13" t="s">
        <v>27</v>
      </c>
      <c r="D489" s="13" t="s">
        <v>28</v>
      </c>
      <c r="E489" s="13" t="s">
        <v>29</v>
      </c>
      <c r="F489" s="13" t="s">
        <v>39</v>
      </c>
      <c r="G489" s="13" t="s">
        <v>40</v>
      </c>
      <c r="H489" s="13" t="s">
        <v>41</v>
      </c>
      <c r="I489" s="13" t="s">
        <v>96</v>
      </c>
      <c r="J489" s="13">
        <v>1</v>
      </c>
      <c r="K489" s="13">
        <v>16.98</v>
      </c>
      <c r="L489" s="13">
        <v>0.05</v>
      </c>
      <c r="M489" s="13">
        <v>16.13</v>
      </c>
      <c r="N489" s="13">
        <v>11.24</v>
      </c>
      <c r="O489" s="13">
        <v>4.89</v>
      </c>
      <c r="P489" s="13">
        <v>4.2</v>
      </c>
      <c r="Q489" s="13" t="s">
        <v>84</v>
      </c>
      <c r="R489" s="13">
        <v>2025</v>
      </c>
      <c r="S489" s="15" t="str">
        <f t="shared" si="42"/>
        <v>Low Profit</v>
      </c>
      <c r="T489" s="15" t="str">
        <f t="shared" si="43"/>
        <v>Low Sales</v>
      </c>
      <c r="U489" s="15" t="str">
        <f t="shared" si="44"/>
        <v>Good</v>
      </c>
      <c r="V489" s="15" t="str">
        <f t="shared" si="45"/>
        <v>Normal Discount</v>
      </c>
      <c r="W489" s="15">
        <f>VLOOKUP(D489,Lookup_Table!$A:$C,2,FALSE)</f>
        <v>0.2</v>
      </c>
      <c r="X489" s="15">
        <f t="shared" si="46"/>
        <v>0.303161810291383</v>
      </c>
      <c r="Y489" s="15" t="str">
        <f>VLOOKUP(D489,Lookup_Table!A:C,3,0)</f>
        <v>Sneha</v>
      </c>
      <c r="Z489" s="15" t="str">
        <f t="shared" si="47"/>
        <v>Achived</v>
      </c>
    </row>
    <row r="490" spans="1:26">
      <c r="A490" s="13" t="s">
        <v>581</v>
      </c>
      <c r="B490" s="14">
        <v>45751</v>
      </c>
      <c r="C490" s="13" t="s">
        <v>55</v>
      </c>
      <c r="D490" s="13" t="s">
        <v>28</v>
      </c>
      <c r="E490" s="13" t="s">
        <v>49</v>
      </c>
      <c r="F490" s="13" t="s">
        <v>98</v>
      </c>
      <c r="G490" s="13" t="s">
        <v>99</v>
      </c>
      <c r="H490" s="13" t="s">
        <v>77</v>
      </c>
      <c r="I490" s="13" t="s">
        <v>46</v>
      </c>
      <c r="J490" s="13">
        <v>6</v>
      </c>
      <c r="K490" s="13">
        <v>106.67</v>
      </c>
      <c r="L490" s="13">
        <v>0.15</v>
      </c>
      <c r="M490" s="13">
        <v>544.02</v>
      </c>
      <c r="N490" s="13">
        <v>379.07</v>
      </c>
      <c r="O490" s="13">
        <v>164.95</v>
      </c>
      <c r="P490" s="13">
        <v>3.7</v>
      </c>
      <c r="Q490" s="13" t="s">
        <v>84</v>
      </c>
      <c r="R490" s="13">
        <v>2025</v>
      </c>
      <c r="S490" s="15" t="str">
        <f t="shared" si="42"/>
        <v>Low Profit</v>
      </c>
      <c r="T490" s="15" t="str">
        <f t="shared" si="43"/>
        <v>Low Sales</v>
      </c>
      <c r="U490" s="15" t="str">
        <f t="shared" si="44"/>
        <v>Needs Improvement</v>
      </c>
      <c r="V490" s="15" t="str">
        <f t="shared" si="45"/>
        <v>High Discount</v>
      </c>
      <c r="W490" s="15">
        <f>VLOOKUP(D490,Lookup_Table!$A:$C,2,FALSE)</f>
        <v>0.2</v>
      </c>
      <c r="X490" s="15">
        <f t="shared" si="46"/>
        <v>0.303205764493952</v>
      </c>
      <c r="Y490" s="15" t="str">
        <f>VLOOKUP(D490,Lookup_Table!A:C,3,0)</f>
        <v>Sneha</v>
      </c>
      <c r="Z490" s="15" t="str">
        <f t="shared" si="47"/>
        <v>Achived</v>
      </c>
    </row>
    <row r="491" spans="1:26">
      <c r="A491" s="13" t="s">
        <v>582</v>
      </c>
      <c r="B491" s="14">
        <v>45930</v>
      </c>
      <c r="C491" s="13" t="s">
        <v>27</v>
      </c>
      <c r="D491" s="13" t="s">
        <v>28</v>
      </c>
      <c r="E491" s="13" t="s">
        <v>49</v>
      </c>
      <c r="F491" s="13" t="s">
        <v>67</v>
      </c>
      <c r="G491" s="13" t="s">
        <v>68</v>
      </c>
      <c r="H491" s="13" t="s">
        <v>69</v>
      </c>
      <c r="I491" s="13" t="s">
        <v>33</v>
      </c>
      <c r="J491" s="13">
        <v>2</v>
      </c>
      <c r="K491" s="13">
        <v>81</v>
      </c>
      <c r="L491" s="13">
        <v>0.15</v>
      </c>
      <c r="M491" s="13">
        <v>137.7</v>
      </c>
      <c r="N491" s="13">
        <v>95.94</v>
      </c>
      <c r="O491" s="13">
        <v>41.76</v>
      </c>
      <c r="P491" s="13">
        <v>3.7</v>
      </c>
      <c r="Q491" s="13" t="s">
        <v>53</v>
      </c>
      <c r="R491" s="13">
        <v>2025</v>
      </c>
      <c r="S491" s="15" t="str">
        <f t="shared" si="42"/>
        <v>Low Profit</v>
      </c>
      <c r="T491" s="15" t="str">
        <f t="shared" si="43"/>
        <v>Low Sales</v>
      </c>
      <c r="U491" s="15" t="str">
        <f t="shared" si="44"/>
        <v>Needs Improvement</v>
      </c>
      <c r="V491" s="15" t="str">
        <f t="shared" si="45"/>
        <v>High Discount</v>
      </c>
      <c r="W491" s="15">
        <f>VLOOKUP(D491,Lookup_Table!$A:$C,2,FALSE)</f>
        <v>0.2</v>
      </c>
      <c r="X491" s="15">
        <f t="shared" si="46"/>
        <v>0.303267973856209</v>
      </c>
      <c r="Y491" s="15" t="str">
        <f>VLOOKUP(D491,Lookup_Table!A:C,3,0)</f>
        <v>Sneha</v>
      </c>
      <c r="Z491" s="15" t="str">
        <f t="shared" si="47"/>
        <v>Achived</v>
      </c>
    </row>
    <row r="492" spans="1:26">
      <c r="A492" s="13" t="s">
        <v>583</v>
      </c>
      <c r="B492" s="14">
        <v>45869</v>
      </c>
      <c r="C492" s="13" t="s">
        <v>55</v>
      </c>
      <c r="D492" s="13" t="s">
        <v>37</v>
      </c>
      <c r="E492" s="13" t="s">
        <v>86</v>
      </c>
      <c r="F492" s="13" t="s">
        <v>30</v>
      </c>
      <c r="G492" s="13" t="s">
        <v>31</v>
      </c>
      <c r="H492" s="13" t="s">
        <v>32</v>
      </c>
      <c r="I492" s="13" t="s">
        <v>33</v>
      </c>
      <c r="J492" s="13">
        <v>6</v>
      </c>
      <c r="K492" s="13">
        <v>268.39</v>
      </c>
      <c r="L492" s="13">
        <v>0</v>
      </c>
      <c r="M492" s="13">
        <v>1610.34</v>
      </c>
      <c r="N492" s="13">
        <v>1121.18</v>
      </c>
      <c r="O492" s="13">
        <v>489.16</v>
      </c>
      <c r="P492" s="13">
        <v>4.1</v>
      </c>
      <c r="Q492" s="13" t="s">
        <v>56</v>
      </c>
      <c r="R492" s="13">
        <v>2025</v>
      </c>
      <c r="S492" s="15" t="str">
        <f t="shared" si="42"/>
        <v>Low Profit</v>
      </c>
      <c r="T492" s="15" t="str">
        <f t="shared" si="43"/>
        <v>High Sales</v>
      </c>
      <c r="U492" s="15" t="str">
        <f t="shared" si="44"/>
        <v>Good</v>
      </c>
      <c r="V492" s="15" t="str">
        <f t="shared" si="45"/>
        <v>Normal Discount</v>
      </c>
      <c r="W492" s="15">
        <f>VLOOKUP(D492,Lookup_Table!$A:$C,2,FALSE)</f>
        <v>0.16</v>
      </c>
      <c r="X492" s="15">
        <f t="shared" si="46"/>
        <v>0.303761938472621</v>
      </c>
      <c r="Y492" s="15" t="str">
        <f>VLOOKUP(D492,Lookup_Table!A:C,3,0)</f>
        <v>Vikram</v>
      </c>
      <c r="Z492" s="15" t="str">
        <f t="shared" si="47"/>
        <v>Achived</v>
      </c>
    </row>
    <row r="493" spans="1:26">
      <c r="A493" s="13" t="s">
        <v>584</v>
      </c>
      <c r="B493" s="14">
        <v>45895</v>
      </c>
      <c r="C493" s="13" t="s">
        <v>27</v>
      </c>
      <c r="D493" s="13" t="s">
        <v>37</v>
      </c>
      <c r="E493" s="13" t="s">
        <v>38</v>
      </c>
      <c r="F493" s="13" t="s">
        <v>30</v>
      </c>
      <c r="G493" s="13" t="s">
        <v>31</v>
      </c>
      <c r="H493" s="13" t="s">
        <v>32</v>
      </c>
      <c r="I493" s="13" t="s">
        <v>52</v>
      </c>
      <c r="J493" s="13">
        <v>4</v>
      </c>
      <c r="K493" s="13">
        <v>395.6</v>
      </c>
      <c r="L493" s="13">
        <v>0.15</v>
      </c>
      <c r="M493" s="13">
        <v>1345.04</v>
      </c>
      <c r="N493" s="13">
        <v>936.32</v>
      </c>
      <c r="O493" s="13">
        <v>408.72</v>
      </c>
      <c r="P493" s="13">
        <v>2.8</v>
      </c>
      <c r="Q493" s="13" t="s">
        <v>47</v>
      </c>
      <c r="R493" s="13">
        <v>2025</v>
      </c>
      <c r="S493" s="15" t="str">
        <f t="shared" si="42"/>
        <v>Low Profit</v>
      </c>
      <c r="T493" s="15" t="str">
        <f t="shared" si="43"/>
        <v>High Sales</v>
      </c>
      <c r="U493" s="15" t="str">
        <f t="shared" si="44"/>
        <v>Needs Improvement</v>
      </c>
      <c r="V493" s="15" t="str">
        <f t="shared" si="45"/>
        <v>High Discount</v>
      </c>
      <c r="W493" s="15">
        <f>VLOOKUP(D493,Lookup_Table!$A:$C,2,FALSE)</f>
        <v>0.16</v>
      </c>
      <c r="X493" s="15">
        <f t="shared" si="46"/>
        <v>0.303872003806578</v>
      </c>
      <c r="Y493" s="15" t="str">
        <f>VLOOKUP(D493,Lookup_Table!A:C,3,0)</f>
        <v>Vikram</v>
      </c>
      <c r="Z493" s="15" t="str">
        <f t="shared" si="47"/>
        <v>Achived</v>
      </c>
    </row>
    <row r="494" spans="1:26">
      <c r="A494" s="13" t="s">
        <v>585</v>
      </c>
      <c r="B494" s="14">
        <v>45662</v>
      </c>
      <c r="C494" s="13" t="s">
        <v>55</v>
      </c>
      <c r="D494" s="13" t="s">
        <v>44</v>
      </c>
      <c r="E494" s="13" t="s">
        <v>104</v>
      </c>
      <c r="F494" s="13" t="s">
        <v>67</v>
      </c>
      <c r="G494" s="13" t="s">
        <v>68</v>
      </c>
      <c r="H494" s="13" t="s">
        <v>69</v>
      </c>
      <c r="I494" s="13" t="s">
        <v>33</v>
      </c>
      <c r="J494" s="13">
        <v>1</v>
      </c>
      <c r="K494" s="13">
        <v>1156.42</v>
      </c>
      <c r="L494" s="13">
        <v>0</v>
      </c>
      <c r="M494" s="13">
        <v>1156.42</v>
      </c>
      <c r="N494" s="13">
        <v>804.79</v>
      </c>
      <c r="O494" s="13">
        <v>351.63</v>
      </c>
      <c r="P494" s="13">
        <v>4.2</v>
      </c>
      <c r="Q494" s="13" t="s">
        <v>64</v>
      </c>
      <c r="R494" s="13">
        <v>2025</v>
      </c>
      <c r="S494" s="15" t="str">
        <f t="shared" si="42"/>
        <v>Low Profit</v>
      </c>
      <c r="T494" s="15" t="str">
        <f t="shared" si="43"/>
        <v>High Sales</v>
      </c>
      <c r="U494" s="15" t="str">
        <f t="shared" si="44"/>
        <v>Good</v>
      </c>
      <c r="V494" s="15" t="str">
        <f t="shared" si="45"/>
        <v>Normal Discount</v>
      </c>
      <c r="W494" s="15">
        <f>VLOOKUP(D494,Lookup_Table!$A:$C,2,FALSE)</f>
        <v>0.18</v>
      </c>
      <c r="X494" s="15">
        <f t="shared" si="46"/>
        <v>0.304067726258626</v>
      </c>
      <c r="Y494" s="15" t="str">
        <f>VLOOKUP(D494,Lookup_Table!A:C,3,0)</f>
        <v>Amit</v>
      </c>
      <c r="Z494" s="15" t="str">
        <f t="shared" si="47"/>
        <v>Achived</v>
      </c>
    </row>
    <row r="495" spans="1:26">
      <c r="A495" s="13" t="s">
        <v>586</v>
      </c>
      <c r="B495" s="14">
        <v>45823</v>
      </c>
      <c r="C495" s="13" t="s">
        <v>27</v>
      </c>
      <c r="D495" s="13" t="s">
        <v>44</v>
      </c>
      <c r="E495" s="13" t="s">
        <v>143</v>
      </c>
      <c r="F495" s="13" t="s">
        <v>75</v>
      </c>
      <c r="G495" s="13" t="s">
        <v>76</v>
      </c>
      <c r="H495" s="13" t="s">
        <v>77</v>
      </c>
      <c r="I495" s="13" t="s">
        <v>96</v>
      </c>
      <c r="J495" s="13">
        <v>2</v>
      </c>
      <c r="K495" s="13">
        <v>250.33</v>
      </c>
      <c r="L495" s="13">
        <v>0.1</v>
      </c>
      <c r="M495" s="13">
        <v>450.59</v>
      </c>
      <c r="N495" s="13">
        <v>313.58</v>
      </c>
      <c r="O495" s="13">
        <v>137.01</v>
      </c>
      <c r="P495" s="13">
        <v>3.5</v>
      </c>
      <c r="Q495" s="13" t="s">
        <v>58</v>
      </c>
      <c r="R495" s="13">
        <v>2025</v>
      </c>
      <c r="S495" s="15" t="str">
        <f t="shared" si="42"/>
        <v>Low Profit</v>
      </c>
      <c r="T495" s="15" t="str">
        <f t="shared" si="43"/>
        <v>Low Sales</v>
      </c>
      <c r="U495" s="15" t="str">
        <f t="shared" si="44"/>
        <v>Needs Improvement</v>
      </c>
      <c r="V495" s="15" t="str">
        <f t="shared" si="45"/>
        <v>Normal Discount</v>
      </c>
      <c r="W495" s="15">
        <f>VLOOKUP(D495,Lookup_Table!$A:$C,2,FALSE)</f>
        <v>0.18</v>
      </c>
      <c r="X495" s="15">
        <f t="shared" si="46"/>
        <v>0.304067999733682</v>
      </c>
      <c r="Y495" s="15" t="str">
        <f>VLOOKUP(D495,Lookup_Table!A:C,3,0)</f>
        <v>Amit</v>
      </c>
      <c r="Z495" s="15" t="str">
        <f t="shared" si="47"/>
        <v>Achived</v>
      </c>
    </row>
    <row r="496" spans="1:26">
      <c r="A496" s="13" t="s">
        <v>587</v>
      </c>
      <c r="B496" s="14">
        <v>45942</v>
      </c>
      <c r="C496" s="13" t="s">
        <v>27</v>
      </c>
      <c r="D496" s="13" t="s">
        <v>28</v>
      </c>
      <c r="E496" s="13" t="s">
        <v>73</v>
      </c>
      <c r="F496" s="13" t="s">
        <v>39</v>
      </c>
      <c r="G496" s="13" t="s">
        <v>40</v>
      </c>
      <c r="H496" s="13" t="s">
        <v>41</v>
      </c>
      <c r="I496" s="13" t="s">
        <v>46</v>
      </c>
      <c r="J496" s="13">
        <v>2</v>
      </c>
      <c r="K496" s="13">
        <v>71.53</v>
      </c>
      <c r="L496" s="13">
        <v>0</v>
      </c>
      <c r="M496" s="13">
        <v>143.06</v>
      </c>
      <c r="N496" s="13">
        <v>99.51</v>
      </c>
      <c r="O496" s="13">
        <v>43.55</v>
      </c>
      <c r="P496" s="13">
        <v>2.8</v>
      </c>
      <c r="Q496" s="13" t="s">
        <v>87</v>
      </c>
      <c r="R496" s="13">
        <v>2025</v>
      </c>
      <c r="S496" s="15" t="str">
        <f t="shared" si="42"/>
        <v>Low Profit</v>
      </c>
      <c r="T496" s="15" t="str">
        <f t="shared" si="43"/>
        <v>Low Sales</v>
      </c>
      <c r="U496" s="15" t="str">
        <f t="shared" si="44"/>
        <v>Needs Improvement</v>
      </c>
      <c r="V496" s="15" t="str">
        <f t="shared" si="45"/>
        <v>Normal Discount</v>
      </c>
      <c r="W496" s="15">
        <f>VLOOKUP(D496,Lookup_Table!$A:$C,2,FALSE)</f>
        <v>0.2</v>
      </c>
      <c r="X496" s="15">
        <f t="shared" si="46"/>
        <v>0.304417726827904</v>
      </c>
      <c r="Y496" s="15" t="str">
        <f>VLOOKUP(D496,Lookup_Table!A:C,3,0)</f>
        <v>Sneha</v>
      </c>
      <c r="Z496" s="15" t="str">
        <f t="shared" si="47"/>
        <v>Achived</v>
      </c>
    </row>
    <row r="497" spans="1:26">
      <c r="A497" s="13" t="s">
        <v>588</v>
      </c>
      <c r="B497" s="14">
        <v>45921</v>
      </c>
      <c r="C497" s="13" t="s">
        <v>36</v>
      </c>
      <c r="D497" s="13" t="s">
        <v>28</v>
      </c>
      <c r="E497" s="13" t="s">
        <v>73</v>
      </c>
      <c r="F497" s="13" t="s">
        <v>62</v>
      </c>
      <c r="G497" s="13" t="s">
        <v>63</v>
      </c>
      <c r="H497" s="13" t="s">
        <v>32</v>
      </c>
      <c r="I497" s="13" t="s">
        <v>33</v>
      </c>
      <c r="J497" s="13">
        <v>4</v>
      </c>
      <c r="K497" s="13">
        <v>47.29</v>
      </c>
      <c r="L497" s="13">
        <v>0.05</v>
      </c>
      <c r="M497" s="13">
        <v>179.7</v>
      </c>
      <c r="N497" s="13">
        <v>124.97</v>
      </c>
      <c r="O497" s="13">
        <v>54.73</v>
      </c>
      <c r="P497" s="13">
        <v>4</v>
      </c>
      <c r="Q497" s="13" t="s">
        <v>53</v>
      </c>
      <c r="R497" s="13">
        <v>2025</v>
      </c>
      <c r="S497" s="15" t="str">
        <f t="shared" si="42"/>
        <v>Low Profit</v>
      </c>
      <c r="T497" s="15" t="str">
        <f t="shared" si="43"/>
        <v>Low Sales</v>
      </c>
      <c r="U497" s="15" t="str">
        <f t="shared" si="44"/>
        <v>Good</v>
      </c>
      <c r="V497" s="15" t="str">
        <f t="shared" si="45"/>
        <v>Normal Discount</v>
      </c>
      <c r="W497" s="15">
        <f>VLOOKUP(D497,Lookup_Table!$A:$C,2,FALSE)</f>
        <v>0.2</v>
      </c>
      <c r="X497" s="15">
        <f t="shared" si="46"/>
        <v>0.304563160823595</v>
      </c>
      <c r="Y497" s="15" t="str">
        <f>VLOOKUP(D497,Lookup_Table!A:C,3,0)</f>
        <v>Sneha</v>
      </c>
      <c r="Z497" s="15" t="str">
        <f t="shared" si="47"/>
        <v>Achived</v>
      </c>
    </row>
    <row r="498" spans="1:26">
      <c r="A498" s="13" t="s">
        <v>589</v>
      </c>
      <c r="B498" s="14">
        <v>45838</v>
      </c>
      <c r="C498" s="13" t="s">
        <v>27</v>
      </c>
      <c r="D498" s="13" t="s">
        <v>37</v>
      </c>
      <c r="E498" s="13" t="s">
        <v>109</v>
      </c>
      <c r="F498" s="13" t="s">
        <v>39</v>
      </c>
      <c r="G498" s="13" t="s">
        <v>40</v>
      </c>
      <c r="H498" s="13" t="s">
        <v>41</v>
      </c>
      <c r="I498" s="13" t="s">
        <v>46</v>
      </c>
      <c r="J498" s="13">
        <v>2</v>
      </c>
      <c r="K498" s="13">
        <v>448.06</v>
      </c>
      <c r="L498" s="13">
        <v>0.05</v>
      </c>
      <c r="M498" s="13">
        <v>851.31</v>
      </c>
      <c r="N498" s="13">
        <v>591.88</v>
      </c>
      <c r="O498" s="13">
        <v>259.43</v>
      </c>
      <c r="P498" s="13">
        <v>2.8</v>
      </c>
      <c r="Q498" s="13" t="s">
        <v>58</v>
      </c>
      <c r="R498" s="13">
        <v>2025</v>
      </c>
      <c r="S498" s="15" t="str">
        <f t="shared" si="42"/>
        <v>Low Profit</v>
      </c>
      <c r="T498" s="15" t="str">
        <f t="shared" si="43"/>
        <v>Low Sales</v>
      </c>
      <c r="U498" s="15" t="str">
        <f t="shared" si="44"/>
        <v>Needs Improvement</v>
      </c>
      <c r="V498" s="15" t="str">
        <f t="shared" si="45"/>
        <v>Normal Discount</v>
      </c>
      <c r="W498" s="15">
        <f>VLOOKUP(D498,Lookup_Table!$A:$C,2,FALSE)</f>
        <v>0.16</v>
      </c>
      <c r="X498" s="15">
        <f t="shared" si="46"/>
        <v>0.304742103346607</v>
      </c>
      <c r="Y498" s="15" t="str">
        <f>VLOOKUP(D498,Lookup_Table!A:C,3,0)</f>
        <v>Vikram</v>
      </c>
      <c r="Z498" s="15" t="str">
        <f t="shared" si="47"/>
        <v>Achived</v>
      </c>
    </row>
    <row r="499" spans="1:26">
      <c r="A499" s="13" t="s">
        <v>590</v>
      </c>
      <c r="B499" s="14">
        <v>45867</v>
      </c>
      <c r="C499" s="13" t="s">
        <v>27</v>
      </c>
      <c r="D499" s="13" t="s">
        <v>44</v>
      </c>
      <c r="E499" s="13" t="s">
        <v>137</v>
      </c>
      <c r="F499" s="13" t="s">
        <v>30</v>
      </c>
      <c r="G499" s="13" t="s">
        <v>31</v>
      </c>
      <c r="H499" s="13" t="s">
        <v>32</v>
      </c>
      <c r="I499" s="13" t="s">
        <v>96</v>
      </c>
      <c r="J499" s="13">
        <v>2</v>
      </c>
      <c r="K499" s="13">
        <v>885.7</v>
      </c>
      <c r="L499" s="13">
        <v>0.05</v>
      </c>
      <c r="M499" s="13">
        <v>1682.83</v>
      </c>
      <c r="N499" s="13">
        <v>1169.8</v>
      </c>
      <c r="O499" s="13">
        <v>513.03</v>
      </c>
      <c r="P499" s="13">
        <v>4.2</v>
      </c>
      <c r="Q499" s="13" t="s">
        <v>56</v>
      </c>
      <c r="R499" s="13">
        <v>2025</v>
      </c>
      <c r="S499" s="15" t="str">
        <f t="shared" si="42"/>
        <v>High Profit</v>
      </c>
      <c r="T499" s="15" t="str">
        <f t="shared" si="43"/>
        <v>High Sales</v>
      </c>
      <c r="U499" s="15" t="str">
        <f t="shared" si="44"/>
        <v>Good</v>
      </c>
      <c r="V499" s="15" t="str">
        <f t="shared" si="45"/>
        <v>Normal Discount</v>
      </c>
      <c r="W499" s="15">
        <f>VLOOKUP(D499,Lookup_Table!$A:$C,2,FALSE)</f>
        <v>0.18</v>
      </c>
      <c r="X499" s="15">
        <f t="shared" si="46"/>
        <v>0.304861453622766</v>
      </c>
      <c r="Y499" s="15" t="str">
        <f>VLOOKUP(D499,Lookup_Table!A:C,3,0)</f>
        <v>Amit</v>
      </c>
      <c r="Z499" s="15" t="str">
        <f t="shared" si="47"/>
        <v>Achived</v>
      </c>
    </row>
    <row r="500" spans="1:26">
      <c r="A500" s="13" t="s">
        <v>591</v>
      </c>
      <c r="B500" s="14">
        <v>46006</v>
      </c>
      <c r="C500" s="13" t="s">
        <v>36</v>
      </c>
      <c r="D500" s="13" t="s">
        <v>37</v>
      </c>
      <c r="E500" s="13" t="s">
        <v>38</v>
      </c>
      <c r="F500" s="13" t="s">
        <v>111</v>
      </c>
      <c r="G500" s="13" t="s">
        <v>76</v>
      </c>
      <c r="H500" s="13" t="s">
        <v>77</v>
      </c>
      <c r="I500" s="13" t="s">
        <v>52</v>
      </c>
      <c r="J500" s="13">
        <v>3</v>
      </c>
      <c r="K500" s="13">
        <v>417.32</v>
      </c>
      <c r="L500" s="13">
        <v>0</v>
      </c>
      <c r="M500" s="13">
        <v>1251.96</v>
      </c>
      <c r="N500" s="13">
        <v>870.01</v>
      </c>
      <c r="O500" s="13">
        <v>381.95</v>
      </c>
      <c r="P500" s="13">
        <v>3.7</v>
      </c>
      <c r="Q500" s="13" t="s">
        <v>34</v>
      </c>
      <c r="R500" s="13">
        <v>2025</v>
      </c>
      <c r="S500" s="15" t="str">
        <f t="shared" si="42"/>
        <v>Low Profit</v>
      </c>
      <c r="T500" s="15" t="str">
        <f t="shared" si="43"/>
        <v>High Sales</v>
      </c>
      <c r="U500" s="15" t="str">
        <f t="shared" si="44"/>
        <v>Needs Improvement</v>
      </c>
      <c r="V500" s="15" t="str">
        <f t="shared" si="45"/>
        <v>Normal Discount</v>
      </c>
      <c r="W500" s="15">
        <f>VLOOKUP(D500,Lookup_Table!$A:$C,2,FALSE)</f>
        <v>0.16</v>
      </c>
      <c r="X500" s="15">
        <f t="shared" si="46"/>
        <v>0.305081632001022</v>
      </c>
      <c r="Y500" s="15" t="str">
        <f>VLOOKUP(D500,Lookup_Table!A:C,3,0)</f>
        <v>Vikram</v>
      </c>
      <c r="Z500" s="15" t="str">
        <f t="shared" si="47"/>
        <v>Achived</v>
      </c>
    </row>
    <row r="501" spans="1:26">
      <c r="A501" s="13" t="s">
        <v>592</v>
      </c>
      <c r="B501" s="14">
        <v>45697</v>
      </c>
      <c r="C501" s="13" t="s">
        <v>55</v>
      </c>
      <c r="D501" s="13" t="s">
        <v>80</v>
      </c>
      <c r="E501" s="13" t="s">
        <v>101</v>
      </c>
      <c r="F501" s="13" t="s">
        <v>30</v>
      </c>
      <c r="G501" s="13" t="s">
        <v>31</v>
      </c>
      <c r="H501" s="13" t="s">
        <v>32</v>
      </c>
      <c r="I501" s="13" t="s">
        <v>46</v>
      </c>
      <c r="J501" s="13">
        <v>7</v>
      </c>
      <c r="K501" s="13">
        <v>33.25</v>
      </c>
      <c r="L501" s="13">
        <v>0</v>
      </c>
      <c r="M501" s="13">
        <v>232.75</v>
      </c>
      <c r="N501" s="13">
        <v>161.74</v>
      </c>
      <c r="O501" s="13">
        <v>71.01</v>
      </c>
      <c r="P501" s="13">
        <v>4.5</v>
      </c>
      <c r="Q501" s="13" t="s">
        <v>105</v>
      </c>
      <c r="R501" s="13">
        <v>2025</v>
      </c>
      <c r="S501" s="15" t="str">
        <f t="shared" si="42"/>
        <v>Low Profit</v>
      </c>
      <c r="T501" s="15" t="str">
        <f t="shared" si="43"/>
        <v>Low Sales</v>
      </c>
      <c r="U501" s="15" t="str">
        <f t="shared" si="44"/>
        <v>Good</v>
      </c>
      <c r="V501" s="15" t="str">
        <f t="shared" si="45"/>
        <v>Normal Discount</v>
      </c>
      <c r="W501" s="15">
        <f>VLOOKUP(D501,Lookup_Table!$A:$C,2,FALSE)</f>
        <v>0.12</v>
      </c>
      <c r="X501" s="15">
        <f t="shared" si="46"/>
        <v>0.305091299677766</v>
      </c>
      <c r="Y501" s="15" t="str">
        <f>VLOOKUP(D501,Lookup_Table!A:C,3,0)</f>
        <v>Rahul</v>
      </c>
      <c r="Z501" s="15" t="str">
        <f t="shared" si="47"/>
        <v>Achived</v>
      </c>
    </row>
    <row r="502" spans="1:26">
      <c r="A502" s="13" t="s">
        <v>593</v>
      </c>
      <c r="B502" s="14">
        <v>45983</v>
      </c>
      <c r="C502" s="13" t="s">
        <v>27</v>
      </c>
      <c r="D502" s="13" t="s">
        <v>37</v>
      </c>
      <c r="E502" s="13" t="s">
        <v>109</v>
      </c>
      <c r="F502" s="13" t="s">
        <v>30</v>
      </c>
      <c r="G502" s="13" t="s">
        <v>31</v>
      </c>
      <c r="H502" s="13" t="s">
        <v>32</v>
      </c>
      <c r="I502" s="13" t="s">
        <v>46</v>
      </c>
      <c r="J502" s="13">
        <v>4</v>
      </c>
      <c r="K502" s="13">
        <v>51.71</v>
      </c>
      <c r="L502" s="13">
        <v>0.05</v>
      </c>
      <c r="M502" s="13">
        <v>196.5</v>
      </c>
      <c r="N502" s="13">
        <v>136.51</v>
      </c>
      <c r="O502" s="13">
        <v>59.99</v>
      </c>
      <c r="P502" s="13">
        <v>4</v>
      </c>
      <c r="Q502" s="13" t="s">
        <v>71</v>
      </c>
      <c r="R502" s="13">
        <v>2025</v>
      </c>
      <c r="S502" s="15" t="str">
        <f t="shared" si="42"/>
        <v>Low Profit</v>
      </c>
      <c r="T502" s="15" t="str">
        <f t="shared" si="43"/>
        <v>Low Sales</v>
      </c>
      <c r="U502" s="15" t="str">
        <f t="shared" si="44"/>
        <v>Good</v>
      </c>
      <c r="V502" s="15" t="str">
        <f t="shared" si="45"/>
        <v>Normal Discount</v>
      </c>
      <c r="W502" s="15">
        <f>VLOOKUP(D502,Lookup_Table!$A:$C,2,FALSE)</f>
        <v>0.16</v>
      </c>
      <c r="X502" s="15">
        <f t="shared" si="46"/>
        <v>0.30529262086514</v>
      </c>
      <c r="Y502" s="15" t="str">
        <f>VLOOKUP(D502,Lookup_Table!A:C,3,0)</f>
        <v>Vikram</v>
      </c>
      <c r="Z502" s="15" t="str">
        <f t="shared" si="47"/>
        <v>Achived</v>
      </c>
    </row>
    <row r="503" spans="1:26">
      <c r="A503" s="13" t="s">
        <v>594</v>
      </c>
      <c r="B503" s="14">
        <v>45770</v>
      </c>
      <c r="C503" s="13" t="s">
        <v>27</v>
      </c>
      <c r="D503" s="13" t="s">
        <v>60</v>
      </c>
      <c r="E503" s="13" t="s">
        <v>66</v>
      </c>
      <c r="F503" s="13" t="s">
        <v>50</v>
      </c>
      <c r="G503" s="13" t="s">
        <v>51</v>
      </c>
      <c r="H503" s="13" t="s">
        <v>32</v>
      </c>
      <c r="I503" s="13" t="s">
        <v>96</v>
      </c>
      <c r="J503" s="13">
        <v>3</v>
      </c>
      <c r="K503" s="13">
        <v>888.86</v>
      </c>
      <c r="L503" s="13">
        <v>0.1</v>
      </c>
      <c r="M503" s="13">
        <v>2399.92</v>
      </c>
      <c r="N503" s="13">
        <v>1667.24</v>
      </c>
      <c r="O503" s="13">
        <v>732.68</v>
      </c>
      <c r="P503" s="13">
        <v>3</v>
      </c>
      <c r="Q503" s="13" t="s">
        <v>84</v>
      </c>
      <c r="R503" s="13">
        <v>2025</v>
      </c>
      <c r="S503" s="15" t="str">
        <f t="shared" si="42"/>
        <v>High Profit</v>
      </c>
      <c r="T503" s="15" t="str">
        <f t="shared" si="43"/>
        <v>High Sales</v>
      </c>
      <c r="U503" s="15" t="str">
        <f t="shared" si="44"/>
        <v>Needs Improvement</v>
      </c>
      <c r="V503" s="15" t="str">
        <f t="shared" si="45"/>
        <v>Normal Discount</v>
      </c>
      <c r="W503" s="15">
        <f>VLOOKUP(D503,Lookup_Table!$A:$C,2,FALSE)</f>
        <v>0.15</v>
      </c>
      <c r="X503" s="15">
        <f t="shared" si="46"/>
        <v>0.305293509783659</v>
      </c>
      <c r="Y503" s="15" t="str">
        <f>VLOOKUP(D503,Lookup_Table!A:C,3,0)</f>
        <v>Priya</v>
      </c>
      <c r="Z503" s="15" t="str">
        <f t="shared" si="47"/>
        <v>Achived</v>
      </c>
    </row>
    <row r="504" spans="1:26">
      <c r="A504" s="13" t="s">
        <v>595</v>
      </c>
      <c r="B504" s="14">
        <v>45697</v>
      </c>
      <c r="C504" s="13" t="s">
        <v>27</v>
      </c>
      <c r="D504" s="13" t="s">
        <v>28</v>
      </c>
      <c r="E504" s="13" t="s">
        <v>73</v>
      </c>
      <c r="F504" s="13" t="s">
        <v>111</v>
      </c>
      <c r="G504" s="13" t="s">
        <v>76</v>
      </c>
      <c r="H504" s="13" t="s">
        <v>77</v>
      </c>
      <c r="I504" s="13" t="s">
        <v>96</v>
      </c>
      <c r="J504" s="13">
        <v>3</v>
      </c>
      <c r="K504" s="13">
        <v>53.13</v>
      </c>
      <c r="L504" s="13">
        <v>0.15</v>
      </c>
      <c r="M504" s="13">
        <v>135.48</v>
      </c>
      <c r="N504" s="13">
        <v>94.1</v>
      </c>
      <c r="O504" s="13">
        <v>41.38</v>
      </c>
      <c r="P504" s="13">
        <v>2.5</v>
      </c>
      <c r="Q504" s="13" t="s">
        <v>105</v>
      </c>
      <c r="R504" s="13">
        <v>2025</v>
      </c>
      <c r="S504" s="15" t="str">
        <f t="shared" si="42"/>
        <v>Low Profit</v>
      </c>
      <c r="T504" s="15" t="str">
        <f t="shared" si="43"/>
        <v>Low Sales</v>
      </c>
      <c r="U504" s="15" t="str">
        <f t="shared" si="44"/>
        <v>Needs Improvement</v>
      </c>
      <c r="V504" s="15" t="str">
        <f t="shared" si="45"/>
        <v>High Discount</v>
      </c>
      <c r="W504" s="15">
        <f>VLOOKUP(D504,Lookup_Table!$A:$C,2,FALSE)</f>
        <v>0.2</v>
      </c>
      <c r="X504" s="15">
        <f t="shared" si="46"/>
        <v>0.3054325361677</v>
      </c>
      <c r="Y504" s="15" t="str">
        <f>VLOOKUP(D504,Lookup_Table!A:C,3,0)</f>
        <v>Sneha</v>
      </c>
      <c r="Z504" s="15" t="str">
        <f t="shared" si="47"/>
        <v>Achived</v>
      </c>
    </row>
    <row r="505" spans="1:26">
      <c r="A505" s="13" t="s">
        <v>596</v>
      </c>
      <c r="B505" s="14">
        <v>45988</v>
      </c>
      <c r="C505" s="13" t="s">
        <v>55</v>
      </c>
      <c r="D505" s="13" t="s">
        <v>60</v>
      </c>
      <c r="E505" s="13" t="s">
        <v>127</v>
      </c>
      <c r="F505" s="13" t="s">
        <v>62</v>
      </c>
      <c r="G505" s="13" t="s">
        <v>63</v>
      </c>
      <c r="H505" s="13" t="s">
        <v>32</v>
      </c>
      <c r="I505" s="13" t="s">
        <v>33</v>
      </c>
      <c r="J505" s="13">
        <v>1</v>
      </c>
      <c r="K505" s="13">
        <v>211.61</v>
      </c>
      <c r="L505" s="13">
        <v>0.1</v>
      </c>
      <c r="M505" s="13">
        <v>190.45</v>
      </c>
      <c r="N505" s="13">
        <v>132.18</v>
      </c>
      <c r="O505" s="13">
        <v>58.27</v>
      </c>
      <c r="P505" s="13">
        <v>3.8</v>
      </c>
      <c r="Q505" s="13" t="s">
        <v>71</v>
      </c>
      <c r="R505" s="13">
        <v>2025</v>
      </c>
      <c r="S505" s="15" t="str">
        <f t="shared" si="42"/>
        <v>Low Profit</v>
      </c>
      <c r="T505" s="15" t="str">
        <f t="shared" si="43"/>
        <v>Low Sales</v>
      </c>
      <c r="U505" s="15" t="str">
        <f t="shared" si="44"/>
        <v>Needs Improvement</v>
      </c>
      <c r="V505" s="15" t="str">
        <f t="shared" si="45"/>
        <v>Normal Discount</v>
      </c>
      <c r="W505" s="15">
        <f>VLOOKUP(D505,Lookup_Table!$A:$C,2,FALSE)</f>
        <v>0.15</v>
      </c>
      <c r="X505" s="15">
        <f t="shared" si="46"/>
        <v>0.305959569440798</v>
      </c>
      <c r="Y505" s="15" t="str">
        <f>VLOOKUP(D505,Lookup_Table!A:C,3,0)</f>
        <v>Priya</v>
      </c>
      <c r="Z505" s="15" t="str">
        <f t="shared" si="47"/>
        <v>Achived</v>
      </c>
    </row>
    <row r="506" spans="1:26">
      <c r="A506" s="13" t="s">
        <v>597</v>
      </c>
      <c r="B506" s="14">
        <v>45822</v>
      </c>
      <c r="C506" s="13" t="s">
        <v>36</v>
      </c>
      <c r="D506" s="13" t="s">
        <v>28</v>
      </c>
      <c r="E506" s="13" t="s">
        <v>73</v>
      </c>
      <c r="F506" s="13" t="s">
        <v>67</v>
      </c>
      <c r="G506" s="13" t="s">
        <v>68</v>
      </c>
      <c r="H506" s="13" t="s">
        <v>69</v>
      </c>
      <c r="I506" s="13" t="s">
        <v>96</v>
      </c>
      <c r="J506" s="13">
        <v>2</v>
      </c>
      <c r="K506" s="13">
        <v>165.29</v>
      </c>
      <c r="L506" s="13">
        <v>0.05</v>
      </c>
      <c r="M506" s="13">
        <v>314.05</v>
      </c>
      <c r="N506" s="13">
        <v>217.9</v>
      </c>
      <c r="O506" s="13">
        <v>96.15</v>
      </c>
      <c r="P506" s="13">
        <v>4.9</v>
      </c>
      <c r="Q506" s="13" t="s">
        <v>58</v>
      </c>
      <c r="R506" s="13">
        <v>2025</v>
      </c>
      <c r="S506" s="15" t="str">
        <f t="shared" si="42"/>
        <v>Low Profit</v>
      </c>
      <c r="T506" s="15" t="str">
        <f t="shared" si="43"/>
        <v>Low Sales</v>
      </c>
      <c r="U506" s="15" t="str">
        <f t="shared" si="44"/>
        <v>Good</v>
      </c>
      <c r="V506" s="15" t="str">
        <f t="shared" si="45"/>
        <v>Normal Discount</v>
      </c>
      <c r="W506" s="15">
        <f>VLOOKUP(D506,Lookup_Table!$A:$C,2,FALSE)</f>
        <v>0.2</v>
      </c>
      <c r="X506" s="15">
        <f t="shared" si="46"/>
        <v>0.306161439261264</v>
      </c>
      <c r="Y506" s="15" t="str">
        <f>VLOOKUP(D506,Lookup_Table!A:C,3,0)</f>
        <v>Sneha</v>
      </c>
      <c r="Z506" s="15" t="str">
        <f t="shared" si="47"/>
        <v>Achived</v>
      </c>
    </row>
    <row r="507" spans="1:26">
      <c r="A507" s="13" t="s">
        <v>598</v>
      </c>
      <c r="B507" s="14">
        <v>45982</v>
      </c>
      <c r="C507" s="13" t="s">
        <v>36</v>
      </c>
      <c r="D507" s="13" t="s">
        <v>60</v>
      </c>
      <c r="E507" s="13" t="s">
        <v>66</v>
      </c>
      <c r="F507" s="13" t="s">
        <v>30</v>
      </c>
      <c r="G507" s="13" t="s">
        <v>31</v>
      </c>
      <c r="H507" s="13" t="s">
        <v>32</v>
      </c>
      <c r="I507" s="13" t="s">
        <v>96</v>
      </c>
      <c r="J507" s="13">
        <v>3</v>
      </c>
      <c r="K507" s="13">
        <v>273.05</v>
      </c>
      <c r="L507" s="13">
        <v>0</v>
      </c>
      <c r="M507" s="13">
        <v>819.15</v>
      </c>
      <c r="N507" s="13">
        <v>567.75</v>
      </c>
      <c r="O507" s="13">
        <v>251.4</v>
      </c>
      <c r="P507" s="13">
        <v>2.9</v>
      </c>
      <c r="Q507" s="13" t="s">
        <v>71</v>
      </c>
      <c r="R507" s="13">
        <v>2025</v>
      </c>
      <c r="S507" s="15" t="str">
        <f t="shared" si="42"/>
        <v>Low Profit</v>
      </c>
      <c r="T507" s="15" t="str">
        <f t="shared" si="43"/>
        <v>Low Sales</v>
      </c>
      <c r="U507" s="15" t="str">
        <f t="shared" si="44"/>
        <v>Needs Improvement</v>
      </c>
      <c r="V507" s="15" t="str">
        <f t="shared" si="45"/>
        <v>Normal Discount</v>
      </c>
      <c r="W507" s="15">
        <f>VLOOKUP(D507,Lookup_Table!$A:$C,2,FALSE)</f>
        <v>0.15</v>
      </c>
      <c r="X507" s="15">
        <f t="shared" si="46"/>
        <v>0.306903497527925</v>
      </c>
      <c r="Y507" s="15" t="str">
        <f>VLOOKUP(D507,Lookup_Table!A:C,3,0)</f>
        <v>Priya</v>
      </c>
      <c r="Z507" s="15" t="str">
        <f t="shared" si="47"/>
        <v>Achived</v>
      </c>
    </row>
    <row r="508" spans="1:26">
      <c r="A508" s="13" t="s">
        <v>599</v>
      </c>
      <c r="B508" s="14">
        <v>45848</v>
      </c>
      <c r="C508" s="13" t="s">
        <v>27</v>
      </c>
      <c r="D508" s="13" t="s">
        <v>28</v>
      </c>
      <c r="E508" s="13" t="s">
        <v>29</v>
      </c>
      <c r="F508" s="13" t="s">
        <v>39</v>
      </c>
      <c r="G508" s="13" t="s">
        <v>40</v>
      </c>
      <c r="H508" s="13" t="s">
        <v>41</v>
      </c>
      <c r="I508" s="13" t="s">
        <v>96</v>
      </c>
      <c r="J508" s="13">
        <v>5</v>
      </c>
      <c r="K508" s="13">
        <v>56.01</v>
      </c>
      <c r="L508" s="13">
        <v>0.1</v>
      </c>
      <c r="M508" s="13">
        <v>252.04</v>
      </c>
      <c r="N508" s="13">
        <v>174.62</v>
      </c>
      <c r="O508" s="13">
        <v>77.42</v>
      </c>
      <c r="P508" s="13">
        <v>3.2</v>
      </c>
      <c r="Q508" s="13" t="s">
        <v>56</v>
      </c>
      <c r="R508" s="13">
        <v>2025</v>
      </c>
      <c r="S508" s="15" t="str">
        <f t="shared" si="42"/>
        <v>Low Profit</v>
      </c>
      <c r="T508" s="15" t="str">
        <f t="shared" si="43"/>
        <v>Low Sales</v>
      </c>
      <c r="U508" s="15" t="str">
        <f t="shared" si="44"/>
        <v>Needs Improvement</v>
      </c>
      <c r="V508" s="15" t="str">
        <f t="shared" si="45"/>
        <v>Normal Discount</v>
      </c>
      <c r="W508" s="15">
        <f>VLOOKUP(D508,Lookup_Table!$A:$C,2,FALSE)</f>
        <v>0.2</v>
      </c>
      <c r="X508" s="15">
        <f t="shared" si="46"/>
        <v>0.30717346452944</v>
      </c>
      <c r="Y508" s="15" t="str">
        <f>VLOOKUP(D508,Lookup_Table!A:C,3,0)</f>
        <v>Sneha</v>
      </c>
      <c r="Z508" s="15" t="str">
        <f t="shared" si="47"/>
        <v>Achived</v>
      </c>
    </row>
    <row r="509" spans="1:26">
      <c r="A509" s="13" t="s">
        <v>600</v>
      </c>
      <c r="B509" s="14">
        <v>45985</v>
      </c>
      <c r="C509" s="13" t="s">
        <v>55</v>
      </c>
      <c r="D509" s="13" t="s">
        <v>60</v>
      </c>
      <c r="E509" s="13" t="s">
        <v>127</v>
      </c>
      <c r="F509" s="13" t="s">
        <v>98</v>
      </c>
      <c r="G509" s="13" t="s">
        <v>99</v>
      </c>
      <c r="H509" s="13" t="s">
        <v>77</v>
      </c>
      <c r="I509" s="13" t="s">
        <v>46</v>
      </c>
      <c r="J509" s="13">
        <v>1</v>
      </c>
      <c r="K509" s="13">
        <v>484.95</v>
      </c>
      <c r="L509" s="13">
        <v>0.1</v>
      </c>
      <c r="M509" s="13">
        <v>436.46</v>
      </c>
      <c r="N509" s="13">
        <v>302.27</v>
      </c>
      <c r="O509" s="13">
        <v>134.19</v>
      </c>
      <c r="P509" s="13">
        <v>2.8</v>
      </c>
      <c r="Q509" s="13" t="s">
        <v>71</v>
      </c>
      <c r="R509" s="13">
        <v>2025</v>
      </c>
      <c r="S509" s="15" t="str">
        <f t="shared" si="42"/>
        <v>Low Profit</v>
      </c>
      <c r="T509" s="15" t="str">
        <f t="shared" si="43"/>
        <v>Low Sales</v>
      </c>
      <c r="U509" s="15" t="str">
        <f t="shared" si="44"/>
        <v>Needs Improvement</v>
      </c>
      <c r="V509" s="15" t="str">
        <f t="shared" si="45"/>
        <v>Normal Discount</v>
      </c>
      <c r="W509" s="15">
        <f>VLOOKUP(D509,Lookup_Table!$A:$C,2,FALSE)</f>
        <v>0.15</v>
      </c>
      <c r="X509" s="15">
        <f t="shared" si="46"/>
        <v>0.307450854602942</v>
      </c>
      <c r="Y509" s="15" t="str">
        <f>VLOOKUP(D509,Lookup_Table!A:C,3,0)</f>
        <v>Priya</v>
      </c>
      <c r="Z509" s="15" t="str">
        <f t="shared" si="47"/>
        <v>Achived</v>
      </c>
    </row>
    <row r="510" spans="1:26">
      <c r="A510" s="13" t="s">
        <v>601</v>
      </c>
      <c r="B510" s="14">
        <v>45753</v>
      </c>
      <c r="C510" s="13" t="s">
        <v>36</v>
      </c>
      <c r="D510" s="13" t="s">
        <v>60</v>
      </c>
      <c r="E510" s="13" t="s">
        <v>66</v>
      </c>
      <c r="F510" s="13" t="s">
        <v>30</v>
      </c>
      <c r="G510" s="13" t="s">
        <v>31</v>
      </c>
      <c r="H510" s="13" t="s">
        <v>32</v>
      </c>
      <c r="I510" s="13" t="s">
        <v>46</v>
      </c>
      <c r="J510" s="13">
        <v>5</v>
      </c>
      <c r="K510" s="13">
        <v>207.49</v>
      </c>
      <c r="L510" s="13">
        <v>0</v>
      </c>
      <c r="M510" s="13">
        <v>1037.45</v>
      </c>
      <c r="N510" s="13">
        <v>718.05</v>
      </c>
      <c r="O510" s="13">
        <v>319.4</v>
      </c>
      <c r="P510" s="13">
        <v>2.7</v>
      </c>
      <c r="Q510" s="13" t="s">
        <v>84</v>
      </c>
      <c r="R510" s="13">
        <v>2025</v>
      </c>
      <c r="S510" s="15" t="str">
        <f t="shared" si="42"/>
        <v>Low Profit</v>
      </c>
      <c r="T510" s="15" t="str">
        <f t="shared" si="43"/>
        <v>High Sales</v>
      </c>
      <c r="U510" s="15" t="str">
        <f t="shared" si="44"/>
        <v>Needs Improvement</v>
      </c>
      <c r="V510" s="15" t="str">
        <f t="shared" si="45"/>
        <v>Normal Discount</v>
      </c>
      <c r="W510" s="15">
        <f>VLOOKUP(D510,Lookup_Table!$A:$C,2,FALSE)</f>
        <v>0.15</v>
      </c>
      <c r="X510" s="15">
        <f t="shared" si="46"/>
        <v>0.307870258807653</v>
      </c>
      <c r="Y510" s="15" t="str">
        <f>VLOOKUP(D510,Lookup_Table!A:C,3,0)</f>
        <v>Priya</v>
      </c>
      <c r="Z510" s="15" t="str">
        <f t="shared" si="47"/>
        <v>Achived</v>
      </c>
    </row>
    <row r="511" spans="1:26">
      <c r="A511" s="13" t="s">
        <v>602</v>
      </c>
      <c r="B511" s="14">
        <v>45802</v>
      </c>
      <c r="C511" s="13" t="s">
        <v>36</v>
      </c>
      <c r="D511" s="13" t="s">
        <v>28</v>
      </c>
      <c r="E511" s="13" t="s">
        <v>29</v>
      </c>
      <c r="F511" s="13" t="s">
        <v>98</v>
      </c>
      <c r="G511" s="13" t="s">
        <v>99</v>
      </c>
      <c r="H511" s="13" t="s">
        <v>77</v>
      </c>
      <c r="I511" s="13" t="s">
        <v>52</v>
      </c>
      <c r="J511" s="13">
        <v>6</v>
      </c>
      <c r="K511" s="13">
        <v>82.28</v>
      </c>
      <c r="L511" s="13">
        <v>0.15</v>
      </c>
      <c r="M511" s="13">
        <v>419.63</v>
      </c>
      <c r="N511" s="13">
        <v>290.4</v>
      </c>
      <c r="O511" s="13">
        <v>129.23</v>
      </c>
      <c r="P511" s="13">
        <v>3.9</v>
      </c>
      <c r="Q511" s="13" t="s">
        <v>42</v>
      </c>
      <c r="R511" s="13">
        <v>2025</v>
      </c>
      <c r="S511" s="15" t="str">
        <f t="shared" si="42"/>
        <v>Low Profit</v>
      </c>
      <c r="T511" s="15" t="str">
        <f t="shared" si="43"/>
        <v>Low Sales</v>
      </c>
      <c r="U511" s="15" t="str">
        <f t="shared" si="44"/>
        <v>Needs Improvement</v>
      </c>
      <c r="V511" s="15" t="str">
        <f t="shared" si="45"/>
        <v>High Discount</v>
      </c>
      <c r="W511" s="15">
        <f>VLOOKUP(D511,Lookup_Table!$A:$C,2,FALSE)</f>
        <v>0.2</v>
      </c>
      <c r="X511" s="15">
        <f t="shared" si="46"/>
        <v>0.307961775850154</v>
      </c>
      <c r="Y511" s="15" t="str">
        <f>VLOOKUP(D511,Lookup_Table!A:C,3,0)</f>
        <v>Sneha</v>
      </c>
      <c r="Z511" s="15" t="str">
        <f t="shared" si="47"/>
        <v>Achived</v>
      </c>
    </row>
    <row r="512" spans="1:26">
      <c r="A512" s="13" t="s">
        <v>603</v>
      </c>
      <c r="B512" s="14">
        <v>45710</v>
      </c>
      <c r="C512" s="13" t="s">
        <v>27</v>
      </c>
      <c r="D512" s="13" t="s">
        <v>28</v>
      </c>
      <c r="E512" s="13" t="s">
        <v>29</v>
      </c>
      <c r="F512" s="13" t="s">
        <v>111</v>
      </c>
      <c r="G512" s="13" t="s">
        <v>76</v>
      </c>
      <c r="H512" s="13" t="s">
        <v>77</v>
      </c>
      <c r="I512" s="13" t="s">
        <v>46</v>
      </c>
      <c r="J512" s="13">
        <v>4</v>
      </c>
      <c r="K512" s="13">
        <v>78.05</v>
      </c>
      <c r="L512" s="13">
        <v>0.15</v>
      </c>
      <c r="M512" s="13">
        <v>265.37</v>
      </c>
      <c r="N512" s="13">
        <v>183.44</v>
      </c>
      <c r="O512" s="13">
        <v>81.93</v>
      </c>
      <c r="P512" s="13">
        <v>4.7</v>
      </c>
      <c r="Q512" s="13" t="s">
        <v>105</v>
      </c>
      <c r="R512" s="13">
        <v>2025</v>
      </c>
      <c r="S512" s="15" t="str">
        <f t="shared" si="42"/>
        <v>Low Profit</v>
      </c>
      <c r="T512" s="15" t="str">
        <f t="shared" si="43"/>
        <v>Low Sales</v>
      </c>
      <c r="U512" s="15" t="str">
        <f t="shared" si="44"/>
        <v>Good</v>
      </c>
      <c r="V512" s="15" t="str">
        <f t="shared" si="45"/>
        <v>High Discount</v>
      </c>
      <c r="W512" s="15">
        <f>VLOOKUP(D512,Lookup_Table!$A:$C,2,FALSE)</f>
        <v>0.2</v>
      </c>
      <c r="X512" s="15">
        <f t="shared" si="46"/>
        <v>0.308738742133625</v>
      </c>
      <c r="Y512" s="15" t="str">
        <f>VLOOKUP(D512,Lookup_Table!A:C,3,0)</f>
        <v>Sneha</v>
      </c>
      <c r="Z512" s="15" t="str">
        <f t="shared" si="47"/>
        <v>Achived</v>
      </c>
    </row>
    <row r="513" spans="1:26">
      <c r="A513" s="13" t="s">
        <v>604</v>
      </c>
      <c r="B513" s="14">
        <v>46012</v>
      </c>
      <c r="C513" s="13" t="s">
        <v>55</v>
      </c>
      <c r="D513" s="13" t="s">
        <v>60</v>
      </c>
      <c r="E513" s="13" t="s">
        <v>127</v>
      </c>
      <c r="F513" s="13" t="s">
        <v>116</v>
      </c>
      <c r="G513" s="13" t="s">
        <v>117</v>
      </c>
      <c r="H513" s="13" t="s">
        <v>32</v>
      </c>
      <c r="I513" s="13" t="s">
        <v>46</v>
      </c>
      <c r="J513" s="13">
        <v>5</v>
      </c>
      <c r="K513" s="13">
        <v>794.52</v>
      </c>
      <c r="L513" s="13">
        <v>0.2</v>
      </c>
      <c r="M513" s="13">
        <v>3178.08</v>
      </c>
      <c r="N513" s="13">
        <v>2196.8</v>
      </c>
      <c r="O513" s="13">
        <v>981.28</v>
      </c>
      <c r="P513" s="13">
        <v>2.6</v>
      </c>
      <c r="Q513" s="13" t="s">
        <v>34</v>
      </c>
      <c r="R513" s="13">
        <v>2025</v>
      </c>
      <c r="S513" s="15" t="str">
        <f t="shared" si="42"/>
        <v>High Profit</v>
      </c>
      <c r="T513" s="15" t="str">
        <f t="shared" si="43"/>
        <v>High Sales</v>
      </c>
      <c r="U513" s="15" t="str">
        <f t="shared" si="44"/>
        <v>Needs Improvement</v>
      </c>
      <c r="V513" s="15" t="str">
        <f t="shared" si="45"/>
        <v>High Discount</v>
      </c>
      <c r="W513" s="15">
        <f>VLOOKUP(D513,Lookup_Table!$A:$C,2,FALSE)</f>
        <v>0.15</v>
      </c>
      <c r="X513" s="15">
        <f t="shared" si="46"/>
        <v>0.308765040527614</v>
      </c>
      <c r="Y513" s="15" t="str">
        <f>VLOOKUP(D513,Lookup_Table!A:C,3,0)</f>
        <v>Priya</v>
      </c>
      <c r="Z513" s="15" t="str">
        <f t="shared" si="47"/>
        <v>Achived</v>
      </c>
    </row>
    <row r="514" spans="1:26">
      <c r="A514" s="13" t="s">
        <v>605</v>
      </c>
      <c r="B514" s="14">
        <v>45812</v>
      </c>
      <c r="C514" s="13" t="s">
        <v>55</v>
      </c>
      <c r="D514" s="13" t="s">
        <v>80</v>
      </c>
      <c r="E514" s="13" t="s">
        <v>81</v>
      </c>
      <c r="F514" s="13" t="s">
        <v>30</v>
      </c>
      <c r="G514" s="13" t="s">
        <v>31</v>
      </c>
      <c r="H514" s="13" t="s">
        <v>32</v>
      </c>
      <c r="I514" s="13" t="s">
        <v>52</v>
      </c>
      <c r="J514" s="13">
        <v>3</v>
      </c>
      <c r="K514" s="13">
        <v>22.77</v>
      </c>
      <c r="L514" s="13">
        <v>0.15</v>
      </c>
      <c r="M514" s="13">
        <v>58.06</v>
      </c>
      <c r="N514" s="13">
        <v>40.13</v>
      </c>
      <c r="O514" s="13">
        <v>17.93</v>
      </c>
      <c r="P514" s="13">
        <v>3.6</v>
      </c>
      <c r="Q514" s="13" t="s">
        <v>58</v>
      </c>
      <c r="R514" s="13">
        <v>2025</v>
      </c>
      <c r="S514" s="15" t="str">
        <f t="shared" ref="S514:S577" si="48">IF(O514&gt;500,"High Profit","Low Profit")</f>
        <v>Low Profit</v>
      </c>
      <c r="T514" s="15" t="str">
        <f t="shared" ref="T514:T577" si="49">IF(M514&gt;1000,"High Sales","Low Sales")</f>
        <v>Low Sales</v>
      </c>
      <c r="U514" s="15" t="str">
        <f t="shared" ref="U514:U577" si="50">IF(P514&gt;=4,"Good","Needs Improvement")</f>
        <v>Needs Improvement</v>
      </c>
      <c r="V514" s="15" t="str">
        <f t="shared" ref="V514:V577" si="51">IF(L514&gt;=15%,"High Discount","Normal Discount")</f>
        <v>High Discount</v>
      </c>
      <c r="W514" s="15">
        <f>VLOOKUP(D514,Lookup_Table!$A:$C,2,FALSE)</f>
        <v>0.12</v>
      </c>
      <c r="X514" s="15">
        <f t="shared" ref="X514:X577" si="52">O514/M514</f>
        <v>0.308818463658285</v>
      </c>
      <c r="Y514" s="15" t="str">
        <f>VLOOKUP(D514,Lookup_Table!A:C,3,0)</f>
        <v>Rahul</v>
      </c>
      <c r="Z514" s="15" t="str">
        <f t="shared" ref="Z514:Z577" si="53">IF(X514&gt;=W514,"Achived","Not Achieved")</f>
        <v>Achived</v>
      </c>
    </row>
    <row r="515" spans="1:26">
      <c r="A515" s="13" t="s">
        <v>606</v>
      </c>
      <c r="B515" s="14">
        <v>45942</v>
      </c>
      <c r="C515" s="13" t="s">
        <v>27</v>
      </c>
      <c r="D515" s="13" t="s">
        <v>60</v>
      </c>
      <c r="E515" s="13" t="s">
        <v>66</v>
      </c>
      <c r="F515" s="13" t="s">
        <v>30</v>
      </c>
      <c r="G515" s="13" t="s">
        <v>31</v>
      </c>
      <c r="H515" s="13" t="s">
        <v>32</v>
      </c>
      <c r="I515" s="13" t="s">
        <v>46</v>
      </c>
      <c r="J515" s="13">
        <v>2</v>
      </c>
      <c r="K515" s="13">
        <v>334.57</v>
      </c>
      <c r="L515" s="13">
        <v>0.05</v>
      </c>
      <c r="M515" s="13">
        <v>635.68</v>
      </c>
      <c r="N515" s="13">
        <v>439.1</v>
      </c>
      <c r="O515" s="13">
        <v>196.58</v>
      </c>
      <c r="P515" s="13">
        <v>2.8</v>
      </c>
      <c r="Q515" s="13" t="s">
        <v>87</v>
      </c>
      <c r="R515" s="13">
        <v>2025</v>
      </c>
      <c r="S515" s="15" t="str">
        <f t="shared" si="48"/>
        <v>Low Profit</v>
      </c>
      <c r="T515" s="15" t="str">
        <f t="shared" si="49"/>
        <v>Low Sales</v>
      </c>
      <c r="U515" s="15" t="str">
        <f t="shared" si="50"/>
        <v>Needs Improvement</v>
      </c>
      <c r="V515" s="15" t="str">
        <f t="shared" si="51"/>
        <v>Normal Discount</v>
      </c>
      <c r="W515" s="15">
        <f>VLOOKUP(D515,Lookup_Table!$A:$C,2,FALSE)</f>
        <v>0.15</v>
      </c>
      <c r="X515" s="15">
        <f t="shared" si="52"/>
        <v>0.309243644601057</v>
      </c>
      <c r="Y515" s="15" t="str">
        <f>VLOOKUP(D515,Lookup_Table!A:C,3,0)</f>
        <v>Priya</v>
      </c>
      <c r="Z515" s="15" t="str">
        <f t="shared" si="53"/>
        <v>Achived</v>
      </c>
    </row>
    <row r="516" spans="1:26">
      <c r="A516" s="13" t="s">
        <v>607</v>
      </c>
      <c r="B516" s="14">
        <v>45746</v>
      </c>
      <c r="C516" s="13" t="s">
        <v>55</v>
      </c>
      <c r="D516" s="13" t="s">
        <v>60</v>
      </c>
      <c r="E516" s="13" t="s">
        <v>66</v>
      </c>
      <c r="F516" s="13" t="s">
        <v>111</v>
      </c>
      <c r="G516" s="13" t="s">
        <v>76</v>
      </c>
      <c r="H516" s="13" t="s">
        <v>77</v>
      </c>
      <c r="I516" s="13" t="s">
        <v>52</v>
      </c>
      <c r="J516" s="13">
        <v>3</v>
      </c>
      <c r="K516" s="13">
        <v>340.39</v>
      </c>
      <c r="L516" s="13">
        <v>0</v>
      </c>
      <c r="M516" s="13">
        <v>1021.17</v>
      </c>
      <c r="N516" s="13">
        <v>704.05</v>
      </c>
      <c r="O516" s="13">
        <v>317.12</v>
      </c>
      <c r="P516" s="13">
        <v>3.5</v>
      </c>
      <c r="Q516" s="13" t="s">
        <v>94</v>
      </c>
      <c r="R516" s="13">
        <v>2025</v>
      </c>
      <c r="S516" s="15" t="str">
        <f t="shared" si="48"/>
        <v>Low Profit</v>
      </c>
      <c r="T516" s="15" t="str">
        <f t="shared" si="49"/>
        <v>High Sales</v>
      </c>
      <c r="U516" s="15" t="str">
        <f t="shared" si="50"/>
        <v>Needs Improvement</v>
      </c>
      <c r="V516" s="15" t="str">
        <f t="shared" si="51"/>
        <v>Normal Discount</v>
      </c>
      <c r="W516" s="15">
        <f>VLOOKUP(D516,Lookup_Table!$A:$C,2,FALSE)</f>
        <v>0.15</v>
      </c>
      <c r="X516" s="15">
        <f t="shared" si="52"/>
        <v>0.310545746545629</v>
      </c>
      <c r="Y516" s="15" t="str">
        <f>VLOOKUP(D516,Lookup_Table!A:C,3,0)</f>
        <v>Priya</v>
      </c>
      <c r="Z516" s="15" t="str">
        <f t="shared" si="53"/>
        <v>Achived</v>
      </c>
    </row>
    <row r="517" spans="1:26">
      <c r="A517" s="13" t="s">
        <v>608</v>
      </c>
      <c r="B517" s="14">
        <v>45917</v>
      </c>
      <c r="C517" s="13" t="s">
        <v>36</v>
      </c>
      <c r="D517" s="13" t="s">
        <v>80</v>
      </c>
      <c r="E517" s="13" t="s">
        <v>191</v>
      </c>
      <c r="F517" s="13" t="s">
        <v>116</v>
      </c>
      <c r="G517" s="13" t="s">
        <v>117</v>
      </c>
      <c r="H517" s="13" t="s">
        <v>32</v>
      </c>
      <c r="I517" s="13" t="s">
        <v>96</v>
      </c>
      <c r="J517" s="13">
        <v>1</v>
      </c>
      <c r="K517" s="13">
        <v>18.44</v>
      </c>
      <c r="L517" s="13">
        <v>0</v>
      </c>
      <c r="M517" s="13">
        <v>18.44</v>
      </c>
      <c r="N517" s="13">
        <v>12.71</v>
      </c>
      <c r="O517" s="13">
        <v>5.73</v>
      </c>
      <c r="P517" s="13">
        <v>4.7</v>
      </c>
      <c r="Q517" s="13" t="s">
        <v>53</v>
      </c>
      <c r="R517" s="13">
        <v>2025</v>
      </c>
      <c r="S517" s="15" t="str">
        <f t="shared" si="48"/>
        <v>Low Profit</v>
      </c>
      <c r="T517" s="15" t="str">
        <f t="shared" si="49"/>
        <v>Low Sales</v>
      </c>
      <c r="U517" s="15" t="str">
        <f t="shared" si="50"/>
        <v>Good</v>
      </c>
      <c r="V517" s="15" t="str">
        <f t="shared" si="51"/>
        <v>Normal Discount</v>
      </c>
      <c r="W517" s="15">
        <f>VLOOKUP(D517,Lookup_Table!$A:$C,2,FALSE)</f>
        <v>0.12</v>
      </c>
      <c r="X517" s="15">
        <f t="shared" si="52"/>
        <v>0.310737527114967</v>
      </c>
      <c r="Y517" s="15" t="str">
        <f>VLOOKUP(D517,Lookup_Table!A:C,3,0)</f>
        <v>Rahul</v>
      </c>
      <c r="Z517" s="15" t="str">
        <f t="shared" si="53"/>
        <v>Achived</v>
      </c>
    </row>
    <row r="518" spans="1:26">
      <c r="A518" s="13" t="s">
        <v>609</v>
      </c>
      <c r="B518" s="14">
        <v>45924</v>
      </c>
      <c r="C518" s="13" t="s">
        <v>27</v>
      </c>
      <c r="D518" s="13" t="s">
        <v>28</v>
      </c>
      <c r="E518" s="13" t="s">
        <v>29</v>
      </c>
      <c r="F518" s="13" t="s">
        <v>39</v>
      </c>
      <c r="G518" s="13" t="s">
        <v>40</v>
      </c>
      <c r="H518" s="13" t="s">
        <v>41</v>
      </c>
      <c r="I518" s="13" t="s">
        <v>52</v>
      </c>
      <c r="J518" s="13">
        <v>4</v>
      </c>
      <c r="K518" s="13">
        <v>169.34</v>
      </c>
      <c r="L518" s="13">
        <v>0.1</v>
      </c>
      <c r="M518" s="13">
        <v>609.62</v>
      </c>
      <c r="N518" s="13">
        <v>420.04</v>
      </c>
      <c r="O518" s="13">
        <v>189.58</v>
      </c>
      <c r="P518" s="13">
        <v>3.8</v>
      </c>
      <c r="Q518" s="13" t="s">
        <v>53</v>
      </c>
      <c r="R518" s="13">
        <v>2025</v>
      </c>
      <c r="S518" s="15" t="str">
        <f t="shared" si="48"/>
        <v>Low Profit</v>
      </c>
      <c r="T518" s="15" t="str">
        <f t="shared" si="49"/>
        <v>Low Sales</v>
      </c>
      <c r="U518" s="15" t="str">
        <f t="shared" si="50"/>
        <v>Needs Improvement</v>
      </c>
      <c r="V518" s="15" t="str">
        <f t="shared" si="51"/>
        <v>Normal Discount</v>
      </c>
      <c r="W518" s="15">
        <f>VLOOKUP(D518,Lookup_Table!$A:$C,2,FALSE)</f>
        <v>0.2</v>
      </c>
      <c r="X518" s="15">
        <f t="shared" si="52"/>
        <v>0.310980610872347</v>
      </c>
      <c r="Y518" s="15" t="str">
        <f>VLOOKUP(D518,Lookup_Table!A:C,3,0)</f>
        <v>Sneha</v>
      </c>
      <c r="Z518" s="15" t="str">
        <f t="shared" si="53"/>
        <v>Achived</v>
      </c>
    </row>
    <row r="519" spans="1:26">
      <c r="A519" s="13" t="s">
        <v>610</v>
      </c>
      <c r="B519" s="14">
        <v>45877</v>
      </c>
      <c r="C519" s="13" t="s">
        <v>55</v>
      </c>
      <c r="D519" s="13" t="s">
        <v>44</v>
      </c>
      <c r="E519" s="13" t="s">
        <v>45</v>
      </c>
      <c r="F519" s="13" t="s">
        <v>67</v>
      </c>
      <c r="G519" s="13" t="s">
        <v>68</v>
      </c>
      <c r="H519" s="13" t="s">
        <v>69</v>
      </c>
      <c r="I519" s="13" t="s">
        <v>33</v>
      </c>
      <c r="J519" s="13">
        <v>2</v>
      </c>
      <c r="K519" s="13">
        <v>1138.2</v>
      </c>
      <c r="L519" s="13">
        <v>0.1</v>
      </c>
      <c r="M519" s="13">
        <v>2048.76</v>
      </c>
      <c r="N519" s="13">
        <v>1410.66</v>
      </c>
      <c r="O519" s="13">
        <v>638.1</v>
      </c>
      <c r="P519" s="13">
        <v>3.5</v>
      </c>
      <c r="Q519" s="13" t="s">
        <v>47</v>
      </c>
      <c r="R519" s="13">
        <v>2025</v>
      </c>
      <c r="S519" s="15" t="str">
        <f t="shared" si="48"/>
        <v>High Profit</v>
      </c>
      <c r="T519" s="15" t="str">
        <f t="shared" si="49"/>
        <v>High Sales</v>
      </c>
      <c r="U519" s="15" t="str">
        <f t="shared" si="50"/>
        <v>Needs Improvement</v>
      </c>
      <c r="V519" s="15" t="str">
        <f t="shared" si="51"/>
        <v>Normal Discount</v>
      </c>
      <c r="W519" s="15">
        <f>VLOOKUP(D519,Lookup_Table!$A:$C,2,FALSE)</f>
        <v>0.18</v>
      </c>
      <c r="X519" s="15">
        <f t="shared" si="52"/>
        <v>0.311456685995431</v>
      </c>
      <c r="Y519" s="15" t="str">
        <f>VLOOKUP(D519,Lookup_Table!A:C,3,0)</f>
        <v>Amit</v>
      </c>
      <c r="Z519" s="15" t="str">
        <f t="shared" si="53"/>
        <v>Achived</v>
      </c>
    </row>
    <row r="520" spans="1:26">
      <c r="A520" s="13" t="s">
        <v>611</v>
      </c>
      <c r="B520" s="14">
        <v>45860</v>
      </c>
      <c r="C520" s="13" t="s">
        <v>55</v>
      </c>
      <c r="D520" s="13" t="s">
        <v>37</v>
      </c>
      <c r="E520" s="13" t="s">
        <v>86</v>
      </c>
      <c r="F520" s="13" t="s">
        <v>50</v>
      </c>
      <c r="G520" s="13" t="s">
        <v>51</v>
      </c>
      <c r="H520" s="13" t="s">
        <v>32</v>
      </c>
      <c r="I520" s="13" t="s">
        <v>52</v>
      </c>
      <c r="J520" s="13">
        <v>3</v>
      </c>
      <c r="K520" s="13">
        <v>262.53</v>
      </c>
      <c r="L520" s="13">
        <v>0.15</v>
      </c>
      <c r="M520" s="13">
        <v>669.45</v>
      </c>
      <c r="N520" s="13">
        <v>460.76</v>
      </c>
      <c r="O520" s="13">
        <v>208.69</v>
      </c>
      <c r="P520" s="13">
        <v>4</v>
      </c>
      <c r="Q520" s="13" t="s">
        <v>56</v>
      </c>
      <c r="R520" s="13">
        <v>2025</v>
      </c>
      <c r="S520" s="15" t="str">
        <f t="shared" si="48"/>
        <v>Low Profit</v>
      </c>
      <c r="T520" s="15" t="str">
        <f t="shared" si="49"/>
        <v>Low Sales</v>
      </c>
      <c r="U520" s="15" t="str">
        <f t="shared" si="50"/>
        <v>Good</v>
      </c>
      <c r="V520" s="15" t="str">
        <f t="shared" si="51"/>
        <v>High Discount</v>
      </c>
      <c r="W520" s="15">
        <f>VLOOKUP(D520,Lookup_Table!$A:$C,2,FALSE)</f>
        <v>0.16</v>
      </c>
      <c r="X520" s="15">
        <f t="shared" si="52"/>
        <v>0.311733512584958</v>
      </c>
      <c r="Y520" s="15" t="str">
        <f>VLOOKUP(D520,Lookup_Table!A:C,3,0)</f>
        <v>Vikram</v>
      </c>
      <c r="Z520" s="15" t="str">
        <f t="shared" si="53"/>
        <v>Achived</v>
      </c>
    </row>
    <row r="521" spans="1:26">
      <c r="A521" s="13" t="s">
        <v>612</v>
      </c>
      <c r="B521" s="14">
        <v>45929</v>
      </c>
      <c r="C521" s="13" t="s">
        <v>27</v>
      </c>
      <c r="D521" s="13" t="s">
        <v>28</v>
      </c>
      <c r="E521" s="13" t="s">
        <v>73</v>
      </c>
      <c r="F521" s="13" t="s">
        <v>82</v>
      </c>
      <c r="G521" s="13" t="s">
        <v>83</v>
      </c>
      <c r="H521" s="13" t="s">
        <v>77</v>
      </c>
      <c r="I521" s="13" t="s">
        <v>33</v>
      </c>
      <c r="J521" s="13">
        <v>5</v>
      </c>
      <c r="K521" s="13">
        <v>78.05</v>
      </c>
      <c r="L521" s="13">
        <v>0.15</v>
      </c>
      <c r="M521" s="13">
        <v>331.71</v>
      </c>
      <c r="N521" s="13">
        <v>228.23</v>
      </c>
      <c r="O521" s="13">
        <v>103.48</v>
      </c>
      <c r="P521" s="13">
        <v>4</v>
      </c>
      <c r="Q521" s="13" t="s">
        <v>53</v>
      </c>
      <c r="R521" s="13">
        <v>2025</v>
      </c>
      <c r="S521" s="15" t="str">
        <f t="shared" si="48"/>
        <v>Low Profit</v>
      </c>
      <c r="T521" s="15" t="str">
        <f t="shared" si="49"/>
        <v>Low Sales</v>
      </c>
      <c r="U521" s="15" t="str">
        <f t="shared" si="50"/>
        <v>Good</v>
      </c>
      <c r="V521" s="15" t="str">
        <f t="shared" si="51"/>
        <v>High Discount</v>
      </c>
      <c r="W521" s="15">
        <f>VLOOKUP(D521,Lookup_Table!$A:$C,2,FALSE)</f>
        <v>0.2</v>
      </c>
      <c r="X521" s="15">
        <f t="shared" si="52"/>
        <v>0.311959241506135</v>
      </c>
      <c r="Y521" s="15" t="str">
        <f>VLOOKUP(D521,Lookup_Table!A:C,3,0)</f>
        <v>Sneha</v>
      </c>
      <c r="Z521" s="15" t="str">
        <f t="shared" si="53"/>
        <v>Achived</v>
      </c>
    </row>
    <row r="522" spans="1:26">
      <c r="A522" s="13" t="s">
        <v>613</v>
      </c>
      <c r="B522" s="14">
        <v>46002</v>
      </c>
      <c r="C522" s="13" t="s">
        <v>55</v>
      </c>
      <c r="D522" s="13" t="s">
        <v>80</v>
      </c>
      <c r="E522" s="13" t="s">
        <v>81</v>
      </c>
      <c r="F522" s="13" t="s">
        <v>30</v>
      </c>
      <c r="G522" s="13" t="s">
        <v>31</v>
      </c>
      <c r="H522" s="13" t="s">
        <v>32</v>
      </c>
      <c r="I522" s="13" t="s">
        <v>33</v>
      </c>
      <c r="J522" s="13">
        <v>5</v>
      </c>
      <c r="K522" s="13">
        <v>68.46</v>
      </c>
      <c r="L522" s="13">
        <v>0.2</v>
      </c>
      <c r="M522" s="13">
        <v>273.84</v>
      </c>
      <c r="N522" s="13">
        <v>188.26</v>
      </c>
      <c r="O522" s="13">
        <v>85.58</v>
      </c>
      <c r="P522" s="13">
        <v>4.2</v>
      </c>
      <c r="Q522" s="13" t="s">
        <v>34</v>
      </c>
      <c r="R522" s="13">
        <v>2025</v>
      </c>
      <c r="S522" s="15" t="str">
        <f t="shared" si="48"/>
        <v>Low Profit</v>
      </c>
      <c r="T522" s="15" t="str">
        <f t="shared" si="49"/>
        <v>Low Sales</v>
      </c>
      <c r="U522" s="15" t="str">
        <f t="shared" si="50"/>
        <v>Good</v>
      </c>
      <c r="V522" s="15" t="str">
        <f t="shared" si="51"/>
        <v>High Discount</v>
      </c>
      <c r="W522" s="15">
        <f>VLOOKUP(D522,Lookup_Table!$A:$C,2,FALSE)</f>
        <v>0.12</v>
      </c>
      <c r="X522" s="15">
        <f t="shared" si="52"/>
        <v>0.312518258837277</v>
      </c>
      <c r="Y522" s="15" t="str">
        <f>VLOOKUP(D522,Lookup_Table!A:C,3,0)</f>
        <v>Rahul</v>
      </c>
      <c r="Z522" s="15" t="str">
        <f t="shared" si="53"/>
        <v>Achived</v>
      </c>
    </row>
    <row r="523" spans="1:26">
      <c r="A523" s="13" t="s">
        <v>614</v>
      </c>
      <c r="B523" s="14">
        <v>45886</v>
      </c>
      <c r="C523" s="13" t="s">
        <v>55</v>
      </c>
      <c r="D523" s="13" t="s">
        <v>60</v>
      </c>
      <c r="E523" s="13" t="s">
        <v>127</v>
      </c>
      <c r="F523" s="13" t="s">
        <v>82</v>
      </c>
      <c r="G523" s="13" t="s">
        <v>83</v>
      </c>
      <c r="H523" s="13" t="s">
        <v>77</v>
      </c>
      <c r="I523" s="13" t="s">
        <v>33</v>
      </c>
      <c r="J523" s="13">
        <v>6</v>
      </c>
      <c r="K523" s="13">
        <v>290.17</v>
      </c>
      <c r="L523" s="13">
        <v>0</v>
      </c>
      <c r="M523" s="13">
        <v>1741.02</v>
      </c>
      <c r="N523" s="13">
        <v>1196.38</v>
      </c>
      <c r="O523" s="13">
        <v>544.64</v>
      </c>
      <c r="P523" s="13">
        <v>3.6</v>
      </c>
      <c r="Q523" s="13" t="s">
        <v>47</v>
      </c>
      <c r="R523" s="13">
        <v>2025</v>
      </c>
      <c r="S523" s="15" t="str">
        <f t="shared" si="48"/>
        <v>High Profit</v>
      </c>
      <c r="T523" s="15" t="str">
        <f t="shared" si="49"/>
        <v>High Sales</v>
      </c>
      <c r="U523" s="15" t="str">
        <f t="shared" si="50"/>
        <v>Needs Improvement</v>
      </c>
      <c r="V523" s="15" t="str">
        <f t="shared" si="51"/>
        <v>Normal Discount</v>
      </c>
      <c r="W523" s="15">
        <f>VLOOKUP(D523,Lookup_Table!$A:$C,2,FALSE)</f>
        <v>0.15</v>
      </c>
      <c r="X523" s="15">
        <f t="shared" si="52"/>
        <v>0.312828112256034</v>
      </c>
      <c r="Y523" s="15" t="str">
        <f>VLOOKUP(D523,Lookup_Table!A:C,3,0)</f>
        <v>Priya</v>
      </c>
      <c r="Z523" s="15" t="str">
        <f t="shared" si="53"/>
        <v>Achived</v>
      </c>
    </row>
    <row r="524" spans="1:26">
      <c r="A524" s="13" t="s">
        <v>615</v>
      </c>
      <c r="B524" s="14">
        <v>45962</v>
      </c>
      <c r="C524" s="13" t="s">
        <v>55</v>
      </c>
      <c r="D524" s="13" t="s">
        <v>60</v>
      </c>
      <c r="E524" s="13" t="s">
        <v>61</v>
      </c>
      <c r="F524" s="13" t="s">
        <v>116</v>
      </c>
      <c r="G524" s="13" t="s">
        <v>117</v>
      </c>
      <c r="H524" s="13" t="s">
        <v>32</v>
      </c>
      <c r="I524" s="13" t="s">
        <v>46</v>
      </c>
      <c r="J524" s="13">
        <v>4</v>
      </c>
      <c r="K524" s="13">
        <v>193.53</v>
      </c>
      <c r="L524" s="13">
        <v>0.1</v>
      </c>
      <c r="M524" s="13">
        <v>696.71</v>
      </c>
      <c r="N524" s="13">
        <v>478.57</v>
      </c>
      <c r="O524" s="13">
        <v>218.14</v>
      </c>
      <c r="P524" s="13">
        <v>2.9</v>
      </c>
      <c r="Q524" s="13" t="s">
        <v>71</v>
      </c>
      <c r="R524" s="13">
        <v>2025</v>
      </c>
      <c r="S524" s="15" t="str">
        <f t="shared" si="48"/>
        <v>Low Profit</v>
      </c>
      <c r="T524" s="15" t="str">
        <f t="shared" si="49"/>
        <v>Low Sales</v>
      </c>
      <c r="U524" s="15" t="str">
        <f t="shared" si="50"/>
        <v>Needs Improvement</v>
      </c>
      <c r="V524" s="15" t="str">
        <f t="shared" si="51"/>
        <v>Normal Discount</v>
      </c>
      <c r="W524" s="15">
        <f>VLOOKUP(D524,Lookup_Table!$A:$C,2,FALSE)</f>
        <v>0.15</v>
      </c>
      <c r="X524" s="15">
        <f t="shared" si="52"/>
        <v>0.313100142096425</v>
      </c>
      <c r="Y524" s="15" t="str">
        <f>VLOOKUP(D524,Lookup_Table!A:C,3,0)</f>
        <v>Priya</v>
      </c>
      <c r="Z524" s="15" t="str">
        <f t="shared" si="53"/>
        <v>Achived</v>
      </c>
    </row>
    <row r="525" spans="1:26">
      <c r="A525" s="13" t="s">
        <v>616</v>
      </c>
      <c r="B525" s="14">
        <v>45803</v>
      </c>
      <c r="C525" s="13" t="s">
        <v>55</v>
      </c>
      <c r="D525" s="13" t="s">
        <v>80</v>
      </c>
      <c r="E525" s="13" t="s">
        <v>101</v>
      </c>
      <c r="F525" s="13" t="s">
        <v>82</v>
      </c>
      <c r="G525" s="13" t="s">
        <v>83</v>
      </c>
      <c r="H525" s="13" t="s">
        <v>77</v>
      </c>
      <c r="I525" s="13" t="s">
        <v>46</v>
      </c>
      <c r="J525" s="13">
        <v>6</v>
      </c>
      <c r="K525" s="13">
        <v>40.37</v>
      </c>
      <c r="L525" s="13">
        <v>0</v>
      </c>
      <c r="M525" s="13">
        <v>242.22</v>
      </c>
      <c r="N525" s="13">
        <v>166.33</v>
      </c>
      <c r="O525" s="13">
        <v>75.89</v>
      </c>
      <c r="P525" s="13">
        <v>2.6</v>
      </c>
      <c r="Q525" s="13" t="s">
        <v>42</v>
      </c>
      <c r="R525" s="13">
        <v>2025</v>
      </c>
      <c r="S525" s="15" t="str">
        <f t="shared" si="48"/>
        <v>Low Profit</v>
      </c>
      <c r="T525" s="15" t="str">
        <f t="shared" si="49"/>
        <v>Low Sales</v>
      </c>
      <c r="U525" s="15" t="str">
        <f t="shared" si="50"/>
        <v>Needs Improvement</v>
      </c>
      <c r="V525" s="15" t="str">
        <f t="shared" si="51"/>
        <v>Normal Discount</v>
      </c>
      <c r="W525" s="15">
        <f>VLOOKUP(D525,Lookup_Table!$A:$C,2,FALSE)</f>
        <v>0.12</v>
      </c>
      <c r="X525" s="15">
        <f t="shared" si="52"/>
        <v>0.313310213855173</v>
      </c>
      <c r="Y525" s="15" t="str">
        <f>VLOOKUP(D525,Lookup_Table!A:C,3,0)</f>
        <v>Rahul</v>
      </c>
      <c r="Z525" s="15" t="str">
        <f t="shared" si="53"/>
        <v>Achived</v>
      </c>
    </row>
    <row r="526" spans="1:26">
      <c r="A526" s="13" t="s">
        <v>617</v>
      </c>
      <c r="B526" s="14">
        <v>45927</v>
      </c>
      <c r="C526" s="13" t="s">
        <v>27</v>
      </c>
      <c r="D526" s="13" t="s">
        <v>60</v>
      </c>
      <c r="E526" s="13" t="s">
        <v>150</v>
      </c>
      <c r="F526" s="13" t="s">
        <v>82</v>
      </c>
      <c r="G526" s="13" t="s">
        <v>83</v>
      </c>
      <c r="H526" s="13" t="s">
        <v>77</v>
      </c>
      <c r="I526" s="13" t="s">
        <v>52</v>
      </c>
      <c r="J526" s="13">
        <v>6</v>
      </c>
      <c r="K526" s="13">
        <v>99.69</v>
      </c>
      <c r="L526" s="13">
        <v>0.05</v>
      </c>
      <c r="M526" s="13">
        <v>568.23</v>
      </c>
      <c r="N526" s="13">
        <v>390.18</v>
      </c>
      <c r="O526" s="13">
        <v>178.05</v>
      </c>
      <c r="P526" s="13">
        <v>2.9</v>
      </c>
      <c r="Q526" s="13" t="s">
        <v>53</v>
      </c>
      <c r="R526" s="13">
        <v>2025</v>
      </c>
      <c r="S526" s="15" t="str">
        <f t="shared" si="48"/>
        <v>Low Profit</v>
      </c>
      <c r="T526" s="15" t="str">
        <f t="shared" si="49"/>
        <v>Low Sales</v>
      </c>
      <c r="U526" s="15" t="str">
        <f t="shared" si="50"/>
        <v>Needs Improvement</v>
      </c>
      <c r="V526" s="15" t="str">
        <f t="shared" si="51"/>
        <v>Normal Discount</v>
      </c>
      <c r="W526" s="15">
        <f>VLOOKUP(D526,Lookup_Table!$A:$C,2,FALSE)</f>
        <v>0.15</v>
      </c>
      <c r="X526" s="15">
        <f t="shared" si="52"/>
        <v>0.313341428646851</v>
      </c>
      <c r="Y526" s="15" t="str">
        <f>VLOOKUP(D526,Lookup_Table!A:C,3,0)</f>
        <v>Priya</v>
      </c>
      <c r="Z526" s="15" t="str">
        <f t="shared" si="53"/>
        <v>Achived</v>
      </c>
    </row>
    <row r="527" spans="1:26">
      <c r="A527" s="13" t="s">
        <v>618</v>
      </c>
      <c r="B527" s="14">
        <v>45991</v>
      </c>
      <c r="C527" s="13" t="s">
        <v>27</v>
      </c>
      <c r="D527" s="13" t="s">
        <v>28</v>
      </c>
      <c r="E527" s="13" t="s">
        <v>90</v>
      </c>
      <c r="F527" s="13" t="s">
        <v>75</v>
      </c>
      <c r="G527" s="13" t="s">
        <v>76</v>
      </c>
      <c r="H527" s="13" t="s">
        <v>77</v>
      </c>
      <c r="I527" s="13" t="s">
        <v>46</v>
      </c>
      <c r="J527" s="13">
        <v>2</v>
      </c>
      <c r="K527" s="13">
        <v>77.18</v>
      </c>
      <c r="L527" s="13">
        <v>0.05</v>
      </c>
      <c r="M527" s="13">
        <v>146.64</v>
      </c>
      <c r="N527" s="13">
        <v>100.67</v>
      </c>
      <c r="O527" s="13">
        <v>45.97</v>
      </c>
      <c r="P527" s="13">
        <v>4.5</v>
      </c>
      <c r="Q527" s="13" t="s">
        <v>71</v>
      </c>
      <c r="R527" s="13">
        <v>2025</v>
      </c>
      <c r="S527" s="15" t="str">
        <f t="shared" si="48"/>
        <v>Low Profit</v>
      </c>
      <c r="T527" s="15" t="str">
        <f t="shared" si="49"/>
        <v>Low Sales</v>
      </c>
      <c r="U527" s="15" t="str">
        <f t="shared" si="50"/>
        <v>Good</v>
      </c>
      <c r="V527" s="15" t="str">
        <f t="shared" si="51"/>
        <v>Normal Discount</v>
      </c>
      <c r="W527" s="15">
        <f>VLOOKUP(D527,Lookup_Table!$A:$C,2,FALSE)</f>
        <v>0.2</v>
      </c>
      <c r="X527" s="15">
        <f t="shared" si="52"/>
        <v>0.313488816148391</v>
      </c>
      <c r="Y527" s="15" t="str">
        <f>VLOOKUP(D527,Lookup_Table!A:C,3,0)</f>
        <v>Sneha</v>
      </c>
      <c r="Z527" s="15" t="str">
        <f t="shared" si="53"/>
        <v>Achived</v>
      </c>
    </row>
    <row r="528" spans="1:26">
      <c r="A528" s="13" t="s">
        <v>619</v>
      </c>
      <c r="B528" s="14">
        <v>45778</v>
      </c>
      <c r="C528" s="13" t="s">
        <v>55</v>
      </c>
      <c r="D528" s="13" t="s">
        <v>28</v>
      </c>
      <c r="E528" s="13" t="s">
        <v>90</v>
      </c>
      <c r="F528" s="13" t="s">
        <v>50</v>
      </c>
      <c r="G528" s="13" t="s">
        <v>51</v>
      </c>
      <c r="H528" s="13" t="s">
        <v>32</v>
      </c>
      <c r="I528" s="13" t="s">
        <v>96</v>
      </c>
      <c r="J528" s="13">
        <v>1</v>
      </c>
      <c r="K528" s="13">
        <v>35.43</v>
      </c>
      <c r="L528" s="13">
        <v>0.1</v>
      </c>
      <c r="M528" s="13">
        <v>31.89</v>
      </c>
      <c r="N528" s="13">
        <v>21.88</v>
      </c>
      <c r="O528" s="13">
        <v>10.01</v>
      </c>
      <c r="P528" s="13">
        <v>2.8</v>
      </c>
      <c r="Q528" s="13" t="s">
        <v>42</v>
      </c>
      <c r="R528" s="13">
        <v>2025</v>
      </c>
      <c r="S528" s="15" t="str">
        <f t="shared" si="48"/>
        <v>Low Profit</v>
      </c>
      <c r="T528" s="15" t="str">
        <f t="shared" si="49"/>
        <v>Low Sales</v>
      </c>
      <c r="U528" s="15" t="str">
        <f t="shared" si="50"/>
        <v>Needs Improvement</v>
      </c>
      <c r="V528" s="15" t="str">
        <f t="shared" si="51"/>
        <v>Normal Discount</v>
      </c>
      <c r="W528" s="15">
        <f>VLOOKUP(D528,Lookup_Table!$A:$C,2,FALSE)</f>
        <v>0.2</v>
      </c>
      <c r="X528" s="15">
        <f t="shared" si="52"/>
        <v>0.313891502038256</v>
      </c>
      <c r="Y528" s="15" t="str">
        <f>VLOOKUP(D528,Lookup_Table!A:C,3,0)</f>
        <v>Sneha</v>
      </c>
      <c r="Z528" s="15" t="str">
        <f t="shared" si="53"/>
        <v>Achived</v>
      </c>
    </row>
    <row r="529" spans="1:26">
      <c r="A529" s="13" t="s">
        <v>620</v>
      </c>
      <c r="B529" s="14">
        <v>45846</v>
      </c>
      <c r="C529" s="13" t="s">
        <v>55</v>
      </c>
      <c r="D529" s="13" t="s">
        <v>60</v>
      </c>
      <c r="E529" s="13" t="s">
        <v>127</v>
      </c>
      <c r="F529" s="13" t="s">
        <v>67</v>
      </c>
      <c r="G529" s="13" t="s">
        <v>68</v>
      </c>
      <c r="H529" s="13" t="s">
        <v>69</v>
      </c>
      <c r="I529" s="13" t="s">
        <v>46</v>
      </c>
      <c r="J529" s="13">
        <v>4</v>
      </c>
      <c r="K529" s="13">
        <v>96.42</v>
      </c>
      <c r="L529" s="13">
        <v>0</v>
      </c>
      <c r="M529" s="13">
        <v>385.68</v>
      </c>
      <c r="N529" s="13">
        <v>264.38</v>
      </c>
      <c r="O529" s="13">
        <v>121.3</v>
      </c>
      <c r="P529" s="13">
        <v>4.7</v>
      </c>
      <c r="Q529" s="13" t="s">
        <v>56</v>
      </c>
      <c r="R529" s="13">
        <v>2025</v>
      </c>
      <c r="S529" s="15" t="str">
        <f t="shared" si="48"/>
        <v>Low Profit</v>
      </c>
      <c r="T529" s="15" t="str">
        <f t="shared" si="49"/>
        <v>Low Sales</v>
      </c>
      <c r="U529" s="15" t="str">
        <f t="shared" si="50"/>
        <v>Good</v>
      </c>
      <c r="V529" s="15" t="str">
        <f t="shared" si="51"/>
        <v>Normal Discount</v>
      </c>
      <c r="W529" s="15">
        <f>VLOOKUP(D529,Lookup_Table!$A:$C,2,FALSE)</f>
        <v>0.15</v>
      </c>
      <c r="X529" s="15">
        <f t="shared" si="52"/>
        <v>0.314509437875959</v>
      </c>
      <c r="Y529" s="15" t="str">
        <f>VLOOKUP(D529,Lookup_Table!A:C,3,0)</f>
        <v>Priya</v>
      </c>
      <c r="Z529" s="15" t="str">
        <f t="shared" si="53"/>
        <v>Achived</v>
      </c>
    </row>
    <row r="530" spans="1:26">
      <c r="A530" s="13" t="s">
        <v>621</v>
      </c>
      <c r="B530" s="14">
        <v>46010</v>
      </c>
      <c r="C530" s="13" t="s">
        <v>36</v>
      </c>
      <c r="D530" s="13" t="s">
        <v>44</v>
      </c>
      <c r="E530" s="13" t="s">
        <v>143</v>
      </c>
      <c r="F530" s="13" t="s">
        <v>67</v>
      </c>
      <c r="G530" s="13" t="s">
        <v>68</v>
      </c>
      <c r="H530" s="13" t="s">
        <v>69</v>
      </c>
      <c r="I530" s="13" t="s">
        <v>46</v>
      </c>
      <c r="J530" s="13">
        <v>1</v>
      </c>
      <c r="K530" s="13">
        <v>689.39</v>
      </c>
      <c r="L530" s="13">
        <v>0.15</v>
      </c>
      <c r="M530" s="13">
        <v>585.98</v>
      </c>
      <c r="N530" s="13">
        <v>401.4</v>
      </c>
      <c r="O530" s="13">
        <v>184.58</v>
      </c>
      <c r="P530" s="13">
        <v>4.6</v>
      </c>
      <c r="Q530" s="13" t="s">
        <v>34</v>
      </c>
      <c r="R530" s="13">
        <v>2025</v>
      </c>
      <c r="S530" s="15" t="str">
        <f t="shared" si="48"/>
        <v>Low Profit</v>
      </c>
      <c r="T530" s="15" t="str">
        <f t="shared" si="49"/>
        <v>Low Sales</v>
      </c>
      <c r="U530" s="15" t="str">
        <f t="shared" si="50"/>
        <v>Good</v>
      </c>
      <c r="V530" s="15" t="str">
        <f t="shared" si="51"/>
        <v>High Discount</v>
      </c>
      <c r="W530" s="15">
        <f>VLOOKUP(D530,Lookup_Table!$A:$C,2,FALSE)</f>
        <v>0.18</v>
      </c>
      <c r="X530" s="15">
        <f t="shared" si="52"/>
        <v>0.314993685791324</v>
      </c>
      <c r="Y530" s="15" t="str">
        <f>VLOOKUP(D530,Lookup_Table!A:C,3,0)</f>
        <v>Amit</v>
      </c>
      <c r="Z530" s="15" t="str">
        <f t="shared" si="53"/>
        <v>Achived</v>
      </c>
    </row>
    <row r="531" spans="1:26">
      <c r="A531" s="13" t="s">
        <v>622</v>
      </c>
      <c r="B531" s="14">
        <v>45669</v>
      </c>
      <c r="C531" s="13" t="s">
        <v>27</v>
      </c>
      <c r="D531" s="13" t="s">
        <v>80</v>
      </c>
      <c r="E531" s="13" t="s">
        <v>191</v>
      </c>
      <c r="F531" s="13" t="s">
        <v>98</v>
      </c>
      <c r="G531" s="13" t="s">
        <v>99</v>
      </c>
      <c r="H531" s="13" t="s">
        <v>77</v>
      </c>
      <c r="I531" s="13" t="s">
        <v>33</v>
      </c>
      <c r="J531" s="13">
        <v>3</v>
      </c>
      <c r="K531" s="13">
        <v>10.13</v>
      </c>
      <c r="L531" s="13">
        <v>0.1</v>
      </c>
      <c r="M531" s="13">
        <v>27.35</v>
      </c>
      <c r="N531" s="13">
        <v>18.73</v>
      </c>
      <c r="O531" s="13">
        <v>8.62</v>
      </c>
      <c r="P531" s="13">
        <v>4.2</v>
      </c>
      <c r="Q531" s="13" t="s">
        <v>64</v>
      </c>
      <c r="R531" s="13">
        <v>2025</v>
      </c>
      <c r="S531" s="15" t="str">
        <f t="shared" si="48"/>
        <v>Low Profit</v>
      </c>
      <c r="T531" s="15" t="str">
        <f t="shared" si="49"/>
        <v>Low Sales</v>
      </c>
      <c r="U531" s="15" t="str">
        <f t="shared" si="50"/>
        <v>Good</v>
      </c>
      <c r="V531" s="15" t="str">
        <f t="shared" si="51"/>
        <v>Normal Discount</v>
      </c>
      <c r="W531" s="15">
        <f>VLOOKUP(D531,Lookup_Table!$A:$C,2,FALSE)</f>
        <v>0.12</v>
      </c>
      <c r="X531" s="15">
        <f t="shared" si="52"/>
        <v>0.315173674588665</v>
      </c>
      <c r="Y531" s="15" t="str">
        <f>VLOOKUP(D531,Lookup_Table!A:C,3,0)</f>
        <v>Rahul</v>
      </c>
      <c r="Z531" s="15" t="str">
        <f t="shared" si="53"/>
        <v>Achived</v>
      </c>
    </row>
    <row r="532" spans="1:26">
      <c r="A532" s="13" t="s">
        <v>623</v>
      </c>
      <c r="B532" s="14">
        <v>45926</v>
      </c>
      <c r="C532" s="13" t="s">
        <v>55</v>
      </c>
      <c r="D532" s="13" t="s">
        <v>28</v>
      </c>
      <c r="E532" s="13" t="s">
        <v>49</v>
      </c>
      <c r="F532" s="13" t="s">
        <v>75</v>
      </c>
      <c r="G532" s="13" t="s">
        <v>76</v>
      </c>
      <c r="H532" s="13" t="s">
        <v>77</v>
      </c>
      <c r="I532" s="13" t="s">
        <v>52</v>
      </c>
      <c r="J532" s="13">
        <v>7</v>
      </c>
      <c r="K532" s="13">
        <v>84.03</v>
      </c>
      <c r="L532" s="13">
        <v>0.15</v>
      </c>
      <c r="M532" s="13">
        <v>499.98</v>
      </c>
      <c r="N532" s="13">
        <v>342.28</v>
      </c>
      <c r="O532" s="13">
        <v>157.7</v>
      </c>
      <c r="P532" s="13">
        <v>4.6</v>
      </c>
      <c r="Q532" s="13" t="s">
        <v>53</v>
      </c>
      <c r="R532" s="13">
        <v>2025</v>
      </c>
      <c r="S532" s="15" t="str">
        <f t="shared" si="48"/>
        <v>Low Profit</v>
      </c>
      <c r="T532" s="15" t="str">
        <f t="shared" si="49"/>
        <v>Low Sales</v>
      </c>
      <c r="U532" s="15" t="str">
        <f t="shared" si="50"/>
        <v>Good</v>
      </c>
      <c r="V532" s="15" t="str">
        <f t="shared" si="51"/>
        <v>High Discount</v>
      </c>
      <c r="W532" s="15">
        <f>VLOOKUP(D532,Lookup_Table!$A:$C,2,FALSE)</f>
        <v>0.2</v>
      </c>
      <c r="X532" s="15">
        <f t="shared" si="52"/>
        <v>0.31541261650466</v>
      </c>
      <c r="Y532" s="15" t="str">
        <f>VLOOKUP(D532,Lookup_Table!A:C,3,0)</f>
        <v>Sneha</v>
      </c>
      <c r="Z532" s="15" t="str">
        <f t="shared" si="53"/>
        <v>Achived</v>
      </c>
    </row>
    <row r="533" spans="1:26">
      <c r="A533" s="13" t="s">
        <v>624</v>
      </c>
      <c r="B533" s="14">
        <v>45888</v>
      </c>
      <c r="C533" s="13" t="s">
        <v>27</v>
      </c>
      <c r="D533" s="13" t="s">
        <v>28</v>
      </c>
      <c r="E533" s="13" t="s">
        <v>73</v>
      </c>
      <c r="F533" s="13" t="s">
        <v>111</v>
      </c>
      <c r="G533" s="13" t="s">
        <v>76</v>
      </c>
      <c r="H533" s="13" t="s">
        <v>77</v>
      </c>
      <c r="I533" s="13" t="s">
        <v>96</v>
      </c>
      <c r="J533" s="13">
        <v>5</v>
      </c>
      <c r="K533" s="13">
        <v>86.98</v>
      </c>
      <c r="L533" s="13">
        <v>0.1</v>
      </c>
      <c r="M533" s="13">
        <v>391.41</v>
      </c>
      <c r="N533" s="13">
        <v>267.93</v>
      </c>
      <c r="O533" s="13">
        <v>123.48</v>
      </c>
      <c r="P533" s="13">
        <v>4.9</v>
      </c>
      <c r="Q533" s="13" t="s">
        <v>47</v>
      </c>
      <c r="R533" s="13">
        <v>2025</v>
      </c>
      <c r="S533" s="15" t="str">
        <f t="shared" si="48"/>
        <v>Low Profit</v>
      </c>
      <c r="T533" s="15" t="str">
        <f t="shared" si="49"/>
        <v>Low Sales</v>
      </c>
      <c r="U533" s="15" t="str">
        <f t="shared" si="50"/>
        <v>Good</v>
      </c>
      <c r="V533" s="15" t="str">
        <f t="shared" si="51"/>
        <v>Normal Discount</v>
      </c>
      <c r="W533" s="15">
        <f>VLOOKUP(D533,Lookup_Table!$A:$C,2,FALSE)</f>
        <v>0.2</v>
      </c>
      <c r="X533" s="15">
        <f t="shared" si="52"/>
        <v>0.315474821798114</v>
      </c>
      <c r="Y533" s="15" t="str">
        <f>VLOOKUP(D533,Lookup_Table!A:C,3,0)</f>
        <v>Sneha</v>
      </c>
      <c r="Z533" s="15" t="str">
        <f t="shared" si="53"/>
        <v>Achived</v>
      </c>
    </row>
    <row r="534" spans="1:26">
      <c r="A534" s="13" t="s">
        <v>625</v>
      </c>
      <c r="B534" s="14">
        <v>45868</v>
      </c>
      <c r="C534" s="13" t="s">
        <v>27</v>
      </c>
      <c r="D534" s="13" t="s">
        <v>28</v>
      </c>
      <c r="E534" s="13" t="s">
        <v>49</v>
      </c>
      <c r="F534" s="13" t="s">
        <v>82</v>
      </c>
      <c r="G534" s="13" t="s">
        <v>83</v>
      </c>
      <c r="H534" s="13" t="s">
        <v>77</v>
      </c>
      <c r="I534" s="13" t="s">
        <v>52</v>
      </c>
      <c r="J534" s="13">
        <v>4</v>
      </c>
      <c r="K534" s="13">
        <v>164.96</v>
      </c>
      <c r="L534" s="13">
        <v>0.15</v>
      </c>
      <c r="M534" s="13">
        <v>560.86</v>
      </c>
      <c r="N534" s="13">
        <v>383.73</v>
      </c>
      <c r="O534" s="13">
        <v>177.13</v>
      </c>
      <c r="P534" s="13">
        <v>3.6</v>
      </c>
      <c r="Q534" s="13" t="s">
        <v>56</v>
      </c>
      <c r="R534" s="13">
        <v>2025</v>
      </c>
      <c r="S534" s="15" t="str">
        <f t="shared" si="48"/>
        <v>Low Profit</v>
      </c>
      <c r="T534" s="15" t="str">
        <f t="shared" si="49"/>
        <v>Low Sales</v>
      </c>
      <c r="U534" s="15" t="str">
        <f t="shared" si="50"/>
        <v>Needs Improvement</v>
      </c>
      <c r="V534" s="15" t="str">
        <f t="shared" si="51"/>
        <v>High Discount</v>
      </c>
      <c r="W534" s="15">
        <f>VLOOKUP(D534,Lookup_Table!$A:$C,2,FALSE)</f>
        <v>0.2</v>
      </c>
      <c r="X534" s="15">
        <f t="shared" si="52"/>
        <v>0.315818564347609</v>
      </c>
      <c r="Y534" s="15" t="str">
        <f>VLOOKUP(D534,Lookup_Table!A:C,3,0)</f>
        <v>Sneha</v>
      </c>
      <c r="Z534" s="15" t="str">
        <f t="shared" si="53"/>
        <v>Achived</v>
      </c>
    </row>
    <row r="535" spans="1:26">
      <c r="A535" s="13" t="s">
        <v>626</v>
      </c>
      <c r="B535" s="14">
        <v>45878</v>
      </c>
      <c r="C535" s="13" t="s">
        <v>36</v>
      </c>
      <c r="D535" s="13" t="s">
        <v>60</v>
      </c>
      <c r="E535" s="13" t="s">
        <v>66</v>
      </c>
      <c r="F535" s="13" t="s">
        <v>30</v>
      </c>
      <c r="G535" s="13" t="s">
        <v>31</v>
      </c>
      <c r="H535" s="13" t="s">
        <v>32</v>
      </c>
      <c r="I535" s="13" t="s">
        <v>96</v>
      </c>
      <c r="J535" s="13">
        <v>2</v>
      </c>
      <c r="K535" s="13">
        <v>510.08</v>
      </c>
      <c r="L535" s="13">
        <v>0.15</v>
      </c>
      <c r="M535" s="13">
        <v>867.14</v>
      </c>
      <c r="N535" s="13">
        <v>593.15</v>
      </c>
      <c r="O535" s="13">
        <v>273.99</v>
      </c>
      <c r="P535" s="13">
        <v>4</v>
      </c>
      <c r="Q535" s="13" t="s">
        <v>47</v>
      </c>
      <c r="R535" s="13">
        <v>2025</v>
      </c>
      <c r="S535" s="15" t="str">
        <f t="shared" si="48"/>
        <v>Low Profit</v>
      </c>
      <c r="T535" s="15" t="str">
        <f t="shared" si="49"/>
        <v>Low Sales</v>
      </c>
      <c r="U535" s="15" t="str">
        <f t="shared" si="50"/>
        <v>Good</v>
      </c>
      <c r="V535" s="15" t="str">
        <f t="shared" si="51"/>
        <v>High Discount</v>
      </c>
      <c r="W535" s="15">
        <f>VLOOKUP(D535,Lookup_Table!$A:$C,2,FALSE)</f>
        <v>0.15</v>
      </c>
      <c r="X535" s="15">
        <f t="shared" si="52"/>
        <v>0.315969739603755</v>
      </c>
      <c r="Y535" s="15" t="str">
        <f>VLOOKUP(D535,Lookup_Table!A:C,3,0)</f>
        <v>Priya</v>
      </c>
      <c r="Z535" s="15" t="str">
        <f t="shared" si="53"/>
        <v>Achived</v>
      </c>
    </row>
    <row r="536" spans="1:26">
      <c r="A536" s="13" t="s">
        <v>627</v>
      </c>
      <c r="B536" s="14">
        <v>45838</v>
      </c>
      <c r="C536" s="13" t="s">
        <v>27</v>
      </c>
      <c r="D536" s="13" t="s">
        <v>44</v>
      </c>
      <c r="E536" s="13" t="s">
        <v>104</v>
      </c>
      <c r="F536" s="13" t="s">
        <v>67</v>
      </c>
      <c r="G536" s="13" t="s">
        <v>68</v>
      </c>
      <c r="H536" s="13" t="s">
        <v>69</v>
      </c>
      <c r="I536" s="13" t="s">
        <v>96</v>
      </c>
      <c r="J536" s="13">
        <v>6</v>
      </c>
      <c r="K536" s="13">
        <v>1158.95</v>
      </c>
      <c r="L536" s="13">
        <v>0</v>
      </c>
      <c r="M536" s="13">
        <v>6953.7</v>
      </c>
      <c r="N536" s="13">
        <v>4756.48</v>
      </c>
      <c r="O536" s="13">
        <v>2197.22</v>
      </c>
      <c r="P536" s="13">
        <v>4.9</v>
      </c>
      <c r="Q536" s="13" t="s">
        <v>58</v>
      </c>
      <c r="R536" s="13">
        <v>2025</v>
      </c>
      <c r="S536" s="15" t="str">
        <f t="shared" si="48"/>
        <v>High Profit</v>
      </c>
      <c r="T536" s="15" t="str">
        <f t="shared" si="49"/>
        <v>High Sales</v>
      </c>
      <c r="U536" s="15" t="str">
        <f t="shared" si="50"/>
        <v>Good</v>
      </c>
      <c r="V536" s="15" t="str">
        <f t="shared" si="51"/>
        <v>Normal Discount</v>
      </c>
      <c r="W536" s="15">
        <f>VLOOKUP(D536,Lookup_Table!$A:$C,2,FALSE)</f>
        <v>0.18</v>
      </c>
      <c r="X536" s="15">
        <f t="shared" si="52"/>
        <v>0.315978543796828</v>
      </c>
      <c r="Y536" s="15" t="str">
        <f>VLOOKUP(D536,Lookup_Table!A:C,3,0)</f>
        <v>Amit</v>
      </c>
      <c r="Z536" s="15" t="str">
        <f t="shared" si="53"/>
        <v>Achived</v>
      </c>
    </row>
    <row r="537" spans="1:26">
      <c r="A537" s="13" t="s">
        <v>628</v>
      </c>
      <c r="B537" s="14">
        <v>45837</v>
      </c>
      <c r="C537" s="13" t="s">
        <v>36</v>
      </c>
      <c r="D537" s="13" t="s">
        <v>80</v>
      </c>
      <c r="E537" s="13" t="s">
        <v>81</v>
      </c>
      <c r="F537" s="13" t="s">
        <v>62</v>
      </c>
      <c r="G537" s="13" t="s">
        <v>63</v>
      </c>
      <c r="H537" s="13" t="s">
        <v>32</v>
      </c>
      <c r="I537" s="13" t="s">
        <v>33</v>
      </c>
      <c r="J537" s="13">
        <v>7</v>
      </c>
      <c r="K537" s="13">
        <v>78.59</v>
      </c>
      <c r="L537" s="13">
        <v>0.05</v>
      </c>
      <c r="M537" s="13">
        <v>522.62</v>
      </c>
      <c r="N537" s="13">
        <v>357.48</v>
      </c>
      <c r="O537" s="13">
        <v>165.14</v>
      </c>
      <c r="P537" s="13">
        <v>5</v>
      </c>
      <c r="Q537" s="13" t="s">
        <v>58</v>
      </c>
      <c r="R537" s="13">
        <v>2025</v>
      </c>
      <c r="S537" s="15" t="str">
        <f t="shared" si="48"/>
        <v>Low Profit</v>
      </c>
      <c r="T537" s="15" t="str">
        <f t="shared" si="49"/>
        <v>Low Sales</v>
      </c>
      <c r="U537" s="15" t="str">
        <f t="shared" si="50"/>
        <v>Good</v>
      </c>
      <c r="V537" s="15" t="str">
        <f t="shared" si="51"/>
        <v>Normal Discount</v>
      </c>
      <c r="W537" s="15">
        <f>VLOOKUP(D537,Lookup_Table!$A:$C,2,FALSE)</f>
        <v>0.12</v>
      </c>
      <c r="X537" s="15">
        <f t="shared" si="52"/>
        <v>0.315984845585703</v>
      </c>
      <c r="Y537" s="15" t="str">
        <f>VLOOKUP(D537,Lookup_Table!A:C,3,0)</f>
        <v>Rahul</v>
      </c>
      <c r="Z537" s="15" t="str">
        <f t="shared" si="53"/>
        <v>Achived</v>
      </c>
    </row>
    <row r="538" spans="1:26">
      <c r="A538" s="13" t="s">
        <v>629</v>
      </c>
      <c r="B538" s="14">
        <v>45956</v>
      </c>
      <c r="C538" s="13" t="s">
        <v>55</v>
      </c>
      <c r="D538" s="13" t="s">
        <v>28</v>
      </c>
      <c r="E538" s="13" t="s">
        <v>73</v>
      </c>
      <c r="F538" s="13" t="s">
        <v>116</v>
      </c>
      <c r="G538" s="13" t="s">
        <v>117</v>
      </c>
      <c r="H538" s="13" t="s">
        <v>32</v>
      </c>
      <c r="I538" s="13" t="s">
        <v>52</v>
      </c>
      <c r="J538" s="13">
        <v>6</v>
      </c>
      <c r="K538" s="13">
        <v>73.65</v>
      </c>
      <c r="L538" s="13">
        <v>0.1</v>
      </c>
      <c r="M538" s="13">
        <v>397.71</v>
      </c>
      <c r="N538" s="13">
        <v>271.92</v>
      </c>
      <c r="O538" s="13">
        <v>125.79</v>
      </c>
      <c r="P538" s="13">
        <v>4.5</v>
      </c>
      <c r="Q538" s="13" t="s">
        <v>87</v>
      </c>
      <c r="R538" s="13">
        <v>2025</v>
      </c>
      <c r="S538" s="15" t="str">
        <f t="shared" si="48"/>
        <v>Low Profit</v>
      </c>
      <c r="T538" s="15" t="str">
        <f t="shared" si="49"/>
        <v>Low Sales</v>
      </c>
      <c r="U538" s="15" t="str">
        <f t="shared" si="50"/>
        <v>Good</v>
      </c>
      <c r="V538" s="15" t="str">
        <f t="shared" si="51"/>
        <v>Normal Discount</v>
      </c>
      <c r="W538" s="15">
        <f>VLOOKUP(D538,Lookup_Table!$A:$C,2,FALSE)</f>
        <v>0.2</v>
      </c>
      <c r="X538" s="15">
        <f t="shared" si="52"/>
        <v>0.316285735837671</v>
      </c>
      <c r="Y538" s="15" t="str">
        <f>VLOOKUP(D538,Lookup_Table!A:C,3,0)</f>
        <v>Sneha</v>
      </c>
      <c r="Z538" s="15" t="str">
        <f t="shared" si="53"/>
        <v>Achived</v>
      </c>
    </row>
    <row r="539" spans="1:26">
      <c r="A539" s="13" t="s">
        <v>630</v>
      </c>
      <c r="B539" s="14">
        <v>45916</v>
      </c>
      <c r="C539" s="13" t="s">
        <v>27</v>
      </c>
      <c r="D539" s="13" t="s">
        <v>80</v>
      </c>
      <c r="E539" s="13" t="s">
        <v>101</v>
      </c>
      <c r="F539" s="13" t="s">
        <v>116</v>
      </c>
      <c r="G539" s="13" t="s">
        <v>117</v>
      </c>
      <c r="H539" s="13" t="s">
        <v>32</v>
      </c>
      <c r="I539" s="13" t="s">
        <v>46</v>
      </c>
      <c r="J539" s="13">
        <v>2</v>
      </c>
      <c r="K539" s="13">
        <v>15.38</v>
      </c>
      <c r="L539" s="13">
        <v>0</v>
      </c>
      <c r="M539" s="13">
        <v>30.76</v>
      </c>
      <c r="N539" s="13">
        <v>21.02</v>
      </c>
      <c r="O539" s="13">
        <v>9.74</v>
      </c>
      <c r="P539" s="13">
        <v>4.5</v>
      </c>
      <c r="Q539" s="13" t="s">
        <v>53</v>
      </c>
      <c r="R539" s="13">
        <v>2025</v>
      </c>
      <c r="S539" s="15" t="str">
        <f t="shared" si="48"/>
        <v>Low Profit</v>
      </c>
      <c r="T539" s="15" t="str">
        <f t="shared" si="49"/>
        <v>Low Sales</v>
      </c>
      <c r="U539" s="15" t="str">
        <f t="shared" si="50"/>
        <v>Good</v>
      </c>
      <c r="V539" s="15" t="str">
        <f t="shared" si="51"/>
        <v>Normal Discount</v>
      </c>
      <c r="W539" s="15">
        <f>VLOOKUP(D539,Lookup_Table!$A:$C,2,FALSE)</f>
        <v>0.12</v>
      </c>
      <c r="X539" s="15">
        <f t="shared" si="52"/>
        <v>0.316644993498049</v>
      </c>
      <c r="Y539" s="15" t="str">
        <f>VLOOKUP(D539,Lookup_Table!A:C,3,0)</f>
        <v>Rahul</v>
      </c>
      <c r="Z539" s="15" t="str">
        <f t="shared" si="53"/>
        <v>Achived</v>
      </c>
    </row>
    <row r="540" spans="1:26">
      <c r="A540" s="13" t="s">
        <v>631</v>
      </c>
      <c r="B540" s="14">
        <v>46017</v>
      </c>
      <c r="C540" s="13" t="s">
        <v>36</v>
      </c>
      <c r="D540" s="13" t="s">
        <v>44</v>
      </c>
      <c r="E540" s="13" t="s">
        <v>45</v>
      </c>
      <c r="F540" s="13" t="s">
        <v>75</v>
      </c>
      <c r="G540" s="13" t="s">
        <v>76</v>
      </c>
      <c r="H540" s="13" t="s">
        <v>77</v>
      </c>
      <c r="I540" s="13" t="s">
        <v>96</v>
      </c>
      <c r="J540" s="13">
        <v>2</v>
      </c>
      <c r="K540" s="13">
        <v>265.62</v>
      </c>
      <c r="L540" s="13">
        <v>0.1</v>
      </c>
      <c r="M540" s="13">
        <v>478.12</v>
      </c>
      <c r="N540" s="13">
        <v>326.51</v>
      </c>
      <c r="O540" s="13">
        <v>151.61</v>
      </c>
      <c r="P540" s="13">
        <v>3.3</v>
      </c>
      <c r="Q540" s="13" t="s">
        <v>34</v>
      </c>
      <c r="R540" s="13">
        <v>2025</v>
      </c>
      <c r="S540" s="15" t="str">
        <f t="shared" si="48"/>
        <v>Low Profit</v>
      </c>
      <c r="T540" s="15" t="str">
        <f t="shared" si="49"/>
        <v>Low Sales</v>
      </c>
      <c r="U540" s="15" t="str">
        <f t="shared" si="50"/>
        <v>Needs Improvement</v>
      </c>
      <c r="V540" s="15" t="str">
        <f t="shared" si="51"/>
        <v>Normal Discount</v>
      </c>
      <c r="W540" s="15">
        <f>VLOOKUP(D540,Lookup_Table!$A:$C,2,FALSE)</f>
        <v>0.18</v>
      </c>
      <c r="X540" s="15">
        <f t="shared" si="52"/>
        <v>0.31709612649544</v>
      </c>
      <c r="Y540" s="15" t="str">
        <f>VLOOKUP(D540,Lookup_Table!A:C,3,0)</f>
        <v>Amit</v>
      </c>
      <c r="Z540" s="15" t="str">
        <f t="shared" si="53"/>
        <v>Achived</v>
      </c>
    </row>
    <row r="541" spans="1:26">
      <c r="A541" s="13" t="s">
        <v>632</v>
      </c>
      <c r="B541" s="14">
        <v>45744</v>
      </c>
      <c r="C541" s="13" t="s">
        <v>55</v>
      </c>
      <c r="D541" s="13" t="s">
        <v>44</v>
      </c>
      <c r="E541" s="13" t="s">
        <v>45</v>
      </c>
      <c r="F541" s="13" t="s">
        <v>39</v>
      </c>
      <c r="G541" s="13" t="s">
        <v>40</v>
      </c>
      <c r="H541" s="13" t="s">
        <v>41</v>
      </c>
      <c r="I541" s="13" t="s">
        <v>46</v>
      </c>
      <c r="J541" s="13">
        <v>6</v>
      </c>
      <c r="K541" s="13">
        <v>1184.83</v>
      </c>
      <c r="L541" s="13">
        <v>0.1</v>
      </c>
      <c r="M541" s="13">
        <v>6398.08</v>
      </c>
      <c r="N541" s="13">
        <v>4368.74</v>
      </c>
      <c r="O541" s="13">
        <v>2029.34</v>
      </c>
      <c r="P541" s="13">
        <v>4.6</v>
      </c>
      <c r="Q541" s="13" t="s">
        <v>94</v>
      </c>
      <c r="R541" s="13">
        <v>2025</v>
      </c>
      <c r="S541" s="15" t="str">
        <f t="shared" si="48"/>
        <v>High Profit</v>
      </c>
      <c r="T541" s="15" t="str">
        <f t="shared" si="49"/>
        <v>High Sales</v>
      </c>
      <c r="U541" s="15" t="str">
        <f t="shared" si="50"/>
        <v>Good</v>
      </c>
      <c r="V541" s="15" t="str">
        <f t="shared" si="51"/>
        <v>Normal Discount</v>
      </c>
      <c r="W541" s="15">
        <f>VLOOKUP(D541,Lookup_Table!$A:$C,2,FALSE)</f>
        <v>0.18</v>
      </c>
      <c r="X541" s="15">
        <f t="shared" si="52"/>
        <v>0.317179528858658</v>
      </c>
      <c r="Y541" s="15" t="str">
        <f>VLOOKUP(D541,Lookup_Table!A:C,3,0)</f>
        <v>Amit</v>
      </c>
      <c r="Z541" s="15" t="str">
        <f t="shared" si="53"/>
        <v>Achived</v>
      </c>
    </row>
    <row r="542" spans="1:26">
      <c r="A542" s="13" t="s">
        <v>633</v>
      </c>
      <c r="B542" s="14">
        <v>45779</v>
      </c>
      <c r="C542" s="13" t="s">
        <v>55</v>
      </c>
      <c r="D542" s="13" t="s">
        <v>28</v>
      </c>
      <c r="E542" s="13" t="s">
        <v>29</v>
      </c>
      <c r="F542" s="13" t="s">
        <v>116</v>
      </c>
      <c r="G542" s="13" t="s">
        <v>117</v>
      </c>
      <c r="H542" s="13" t="s">
        <v>32</v>
      </c>
      <c r="I542" s="13" t="s">
        <v>33</v>
      </c>
      <c r="J542" s="13">
        <v>5</v>
      </c>
      <c r="K542" s="13">
        <v>74.89</v>
      </c>
      <c r="L542" s="13">
        <v>0.15</v>
      </c>
      <c r="M542" s="13">
        <v>318.28</v>
      </c>
      <c r="N542" s="13">
        <v>217.3</v>
      </c>
      <c r="O542" s="13">
        <v>100.98</v>
      </c>
      <c r="P542" s="13">
        <v>3.6</v>
      </c>
      <c r="Q542" s="13" t="s">
        <v>42</v>
      </c>
      <c r="R542" s="13">
        <v>2025</v>
      </c>
      <c r="S542" s="15" t="str">
        <f t="shared" si="48"/>
        <v>Low Profit</v>
      </c>
      <c r="T542" s="15" t="str">
        <f t="shared" si="49"/>
        <v>Low Sales</v>
      </c>
      <c r="U542" s="15" t="str">
        <f t="shared" si="50"/>
        <v>Needs Improvement</v>
      </c>
      <c r="V542" s="15" t="str">
        <f t="shared" si="51"/>
        <v>High Discount</v>
      </c>
      <c r="W542" s="15">
        <f>VLOOKUP(D542,Lookup_Table!$A:$C,2,FALSE)</f>
        <v>0.2</v>
      </c>
      <c r="X542" s="15">
        <f t="shared" si="52"/>
        <v>0.317267814502953</v>
      </c>
      <c r="Y542" s="15" t="str">
        <f>VLOOKUP(D542,Lookup_Table!A:C,3,0)</f>
        <v>Sneha</v>
      </c>
      <c r="Z542" s="15" t="str">
        <f t="shared" si="53"/>
        <v>Achived</v>
      </c>
    </row>
    <row r="543" spans="1:26">
      <c r="A543" s="13" t="s">
        <v>634</v>
      </c>
      <c r="B543" s="14">
        <v>45826</v>
      </c>
      <c r="C543" s="13" t="s">
        <v>27</v>
      </c>
      <c r="D543" s="13" t="s">
        <v>60</v>
      </c>
      <c r="E543" s="13" t="s">
        <v>127</v>
      </c>
      <c r="F543" s="13" t="s">
        <v>98</v>
      </c>
      <c r="G543" s="13" t="s">
        <v>99</v>
      </c>
      <c r="H543" s="13" t="s">
        <v>77</v>
      </c>
      <c r="I543" s="13" t="s">
        <v>33</v>
      </c>
      <c r="J543" s="13">
        <v>6</v>
      </c>
      <c r="K543" s="13">
        <v>453.55</v>
      </c>
      <c r="L543" s="13">
        <v>0.1</v>
      </c>
      <c r="M543" s="13">
        <v>2449.17</v>
      </c>
      <c r="N543" s="13">
        <v>1670.65</v>
      </c>
      <c r="O543" s="13">
        <v>778.52</v>
      </c>
      <c r="P543" s="13">
        <v>4.7</v>
      </c>
      <c r="Q543" s="13" t="s">
        <v>58</v>
      </c>
      <c r="R543" s="13">
        <v>2025</v>
      </c>
      <c r="S543" s="15" t="str">
        <f t="shared" si="48"/>
        <v>High Profit</v>
      </c>
      <c r="T543" s="15" t="str">
        <f t="shared" si="49"/>
        <v>High Sales</v>
      </c>
      <c r="U543" s="15" t="str">
        <f t="shared" si="50"/>
        <v>Good</v>
      </c>
      <c r="V543" s="15" t="str">
        <f t="shared" si="51"/>
        <v>Normal Discount</v>
      </c>
      <c r="W543" s="15">
        <f>VLOOKUP(D543,Lookup_Table!$A:$C,2,FALSE)</f>
        <v>0.15</v>
      </c>
      <c r="X543" s="15">
        <f t="shared" si="52"/>
        <v>0.317870952200133</v>
      </c>
      <c r="Y543" s="15" t="str">
        <f>VLOOKUP(D543,Lookup_Table!A:C,3,0)</f>
        <v>Priya</v>
      </c>
      <c r="Z543" s="15" t="str">
        <f t="shared" si="53"/>
        <v>Achived</v>
      </c>
    </row>
    <row r="544" spans="1:26">
      <c r="A544" s="13" t="s">
        <v>635</v>
      </c>
      <c r="B544" s="14">
        <v>45844</v>
      </c>
      <c r="C544" s="13" t="s">
        <v>27</v>
      </c>
      <c r="D544" s="13" t="s">
        <v>44</v>
      </c>
      <c r="E544" s="13" t="s">
        <v>45</v>
      </c>
      <c r="F544" s="13" t="s">
        <v>50</v>
      </c>
      <c r="G544" s="13" t="s">
        <v>51</v>
      </c>
      <c r="H544" s="13" t="s">
        <v>32</v>
      </c>
      <c r="I544" s="13" t="s">
        <v>96</v>
      </c>
      <c r="J544" s="13">
        <v>4</v>
      </c>
      <c r="K544" s="13">
        <v>1483.14</v>
      </c>
      <c r="L544" s="13">
        <v>0</v>
      </c>
      <c r="M544" s="13">
        <v>5932.56</v>
      </c>
      <c r="N544" s="13">
        <v>4045.13</v>
      </c>
      <c r="O544" s="13">
        <v>1887.43</v>
      </c>
      <c r="P544" s="13">
        <v>4.6</v>
      </c>
      <c r="Q544" s="13" t="s">
        <v>56</v>
      </c>
      <c r="R544" s="13">
        <v>2025</v>
      </c>
      <c r="S544" s="15" t="str">
        <f t="shared" si="48"/>
        <v>High Profit</v>
      </c>
      <c r="T544" s="15" t="str">
        <f t="shared" si="49"/>
        <v>High Sales</v>
      </c>
      <c r="U544" s="15" t="str">
        <f t="shared" si="50"/>
        <v>Good</v>
      </c>
      <c r="V544" s="15" t="str">
        <f t="shared" si="51"/>
        <v>Normal Discount</v>
      </c>
      <c r="W544" s="15">
        <f>VLOOKUP(D544,Lookup_Table!$A:$C,2,FALSE)</f>
        <v>0.18</v>
      </c>
      <c r="X544" s="15">
        <f t="shared" si="52"/>
        <v>0.318147646210068</v>
      </c>
      <c r="Y544" s="15" t="str">
        <f>VLOOKUP(D544,Lookup_Table!A:C,3,0)</f>
        <v>Amit</v>
      </c>
      <c r="Z544" s="15" t="str">
        <f t="shared" si="53"/>
        <v>Achived</v>
      </c>
    </row>
    <row r="545" spans="1:26">
      <c r="A545" s="13" t="s">
        <v>636</v>
      </c>
      <c r="B545" s="14">
        <v>45844</v>
      </c>
      <c r="C545" s="13" t="s">
        <v>55</v>
      </c>
      <c r="D545" s="13" t="s">
        <v>44</v>
      </c>
      <c r="E545" s="13" t="s">
        <v>137</v>
      </c>
      <c r="F545" s="13" t="s">
        <v>75</v>
      </c>
      <c r="G545" s="13" t="s">
        <v>76</v>
      </c>
      <c r="H545" s="13" t="s">
        <v>77</v>
      </c>
      <c r="I545" s="13" t="s">
        <v>46</v>
      </c>
      <c r="J545" s="13">
        <v>6</v>
      </c>
      <c r="K545" s="13">
        <v>1127.86</v>
      </c>
      <c r="L545" s="13">
        <v>0.1</v>
      </c>
      <c r="M545" s="13">
        <v>6090.44</v>
      </c>
      <c r="N545" s="13">
        <v>4152.7</v>
      </c>
      <c r="O545" s="13">
        <v>1937.74</v>
      </c>
      <c r="P545" s="13">
        <v>4.8</v>
      </c>
      <c r="Q545" s="13" t="s">
        <v>56</v>
      </c>
      <c r="R545" s="13">
        <v>2025</v>
      </c>
      <c r="S545" s="15" t="str">
        <f t="shared" si="48"/>
        <v>High Profit</v>
      </c>
      <c r="T545" s="15" t="str">
        <f t="shared" si="49"/>
        <v>High Sales</v>
      </c>
      <c r="U545" s="15" t="str">
        <f t="shared" si="50"/>
        <v>Good</v>
      </c>
      <c r="V545" s="15" t="str">
        <f t="shared" si="51"/>
        <v>Normal Discount</v>
      </c>
      <c r="W545" s="15">
        <f>VLOOKUP(D545,Lookup_Table!$A:$C,2,FALSE)</f>
        <v>0.18</v>
      </c>
      <c r="X545" s="15">
        <f t="shared" si="52"/>
        <v>0.318160921050039</v>
      </c>
      <c r="Y545" s="15" t="str">
        <f>VLOOKUP(D545,Lookup_Table!A:C,3,0)</f>
        <v>Amit</v>
      </c>
      <c r="Z545" s="15" t="str">
        <f t="shared" si="53"/>
        <v>Achived</v>
      </c>
    </row>
    <row r="546" spans="1:26">
      <c r="A546" s="13" t="s">
        <v>637</v>
      </c>
      <c r="B546" s="14">
        <v>45944</v>
      </c>
      <c r="C546" s="13" t="s">
        <v>55</v>
      </c>
      <c r="D546" s="13" t="s">
        <v>28</v>
      </c>
      <c r="E546" s="13" t="s">
        <v>73</v>
      </c>
      <c r="F546" s="13" t="s">
        <v>116</v>
      </c>
      <c r="G546" s="13" t="s">
        <v>117</v>
      </c>
      <c r="H546" s="13" t="s">
        <v>32</v>
      </c>
      <c r="I546" s="13" t="s">
        <v>52</v>
      </c>
      <c r="J546" s="13">
        <v>3</v>
      </c>
      <c r="K546" s="13">
        <v>32.52</v>
      </c>
      <c r="L546" s="13">
        <v>0.1</v>
      </c>
      <c r="M546" s="13">
        <v>87.8</v>
      </c>
      <c r="N546" s="13">
        <v>59.83</v>
      </c>
      <c r="O546" s="13">
        <v>27.97</v>
      </c>
      <c r="P546" s="13">
        <v>3.2</v>
      </c>
      <c r="Q546" s="13" t="s">
        <v>87</v>
      </c>
      <c r="R546" s="13">
        <v>2025</v>
      </c>
      <c r="S546" s="15" t="str">
        <f t="shared" si="48"/>
        <v>Low Profit</v>
      </c>
      <c r="T546" s="15" t="str">
        <f t="shared" si="49"/>
        <v>Low Sales</v>
      </c>
      <c r="U546" s="15" t="str">
        <f t="shared" si="50"/>
        <v>Needs Improvement</v>
      </c>
      <c r="V546" s="15" t="str">
        <f t="shared" si="51"/>
        <v>Normal Discount</v>
      </c>
      <c r="W546" s="15">
        <f>VLOOKUP(D546,Lookup_Table!$A:$C,2,FALSE)</f>
        <v>0.2</v>
      </c>
      <c r="X546" s="15">
        <f t="shared" si="52"/>
        <v>0.318564920273349</v>
      </c>
      <c r="Y546" s="15" t="str">
        <f>VLOOKUP(D546,Lookup_Table!A:C,3,0)</f>
        <v>Sneha</v>
      </c>
      <c r="Z546" s="15" t="str">
        <f t="shared" si="53"/>
        <v>Achived</v>
      </c>
    </row>
    <row r="547" spans="1:26">
      <c r="A547" s="13" t="s">
        <v>638</v>
      </c>
      <c r="B547" s="14">
        <v>45744</v>
      </c>
      <c r="C547" s="13" t="s">
        <v>55</v>
      </c>
      <c r="D547" s="13" t="s">
        <v>60</v>
      </c>
      <c r="E547" s="13" t="s">
        <v>127</v>
      </c>
      <c r="F547" s="13" t="s">
        <v>82</v>
      </c>
      <c r="G547" s="13" t="s">
        <v>83</v>
      </c>
      <c r="H547" s="13" t="s">
        <v>77</v>
      </c>
      <c r="I547" s="13" t="s">
        <v>96</v>
      </c>
      <c r="J547" s="13">
        <v>3</v>
      </c>
      <c r="K547" s="13">
        <v>524.45</v>
      </c>
      <c r="L547" s="13">
        <v>0.1</v>
      </c>
      <c r="M547" s="13">
        <v>1416.02</v>
      </c>
      <c r="N547" s="13">
        <v>964.89</v>
      </c>
      <c r="O547" s="13">
        <v>451.13</v>
      </c>
      <c r="P547" s="13">
        <v>2.9</v>
      </c>
      <c r="Q547" s="13" t="s">
        <v>94</v>
      </c>
      <c r="R547" s="13">
        <v>2025</v>
      </c>
      <c r="S547" s="15" t="str">
        <f t="shared" si="48"/>
        <v>Low Profit</v>
      </c>
      <c r="T547" s="15" t="str">
        <f t="shared" si="49"/>
        <v>High Sales</v>
      </c>
      <c r="U547" s="15" t="str">
        <f t="shared" si="50"/>
        <v>Needs Improvement</v>
      </c>
      <c r="V547" s="15" t="str">
        <f t="shared" si="51"/>
        <v>Normal Discount</v>
      </c>
      <c r="W547" s="15">
        <f>VLOOKUP(D547,Lookup_Table!$A:$C,2,FALSE)</f>
        <v>0.15</v>
      </c>
      <c r="X547" s="15">
        <f t="shared" si="52"/>
        <v>0.318590132907727</v>
      </c>
      <c r="Y547" s="15" t="str">
        <f>VLOOKUP(D547,Lookup_Table!A:C,3,0)</f>
        <v>Priya</v>
      </c>
      <c r="Z547" s="15" t="str">
        <f t="shared" si="53"/>
        <v>Achived</v>
      </c>
    </row>
    <row r="548" spans="1:26">
      <c r="A548" s="13" t="s">
        <v>639</v>
      </c>
      <c r="B548" s="14">
        <v>45805</v>
      </c>
      <c r="C548" s="13" t="s">
        <v>55</v>
      </c>
      <c r="D548" s="13" t="s">
        <v>28</v>
      </c>
      <c r="E548" s="13" t="s">
        <v>49</v>
      </c>
      <c r="F548" s="13" t="s">
        <v>75</v>
      </c>
      <c r="G548" s="13" t="s">
        <v>76</v>
      </c>
      <c r="H548" s="13" t="s">
        <v>77</v>
      </c>
      <c r="I548" s="13" t="s">
        <v>96</v>
      </c>
      <c r="J548" s="13">
        <v>5</v>
      </c>
      <c r="K548" s="13">
        <v>67.16</v>
      </c>
      <c r="L548" s="13">
        <v>0.2</v>
      </c>
      <c r="M548" s="13">
        <v>268.64</v>
      </c>
      <c r="N548" s="13">
        <v>182.98</v>
      </c>
      <c r="O548" s="13">
        <v>85.66</v>
      </c>
      <c r="P548" s="13">
        <v>2.8</v>
      </c>
      <c r="Q548" s="13" t="s">
        <v>42</v>
      </c>
      <c r="R548" s="13">
        <v>2025</v>
      </c>
      <c r="S548" s="15" t="str">
        <f t="shared" si="48"/>
        <v>Low Profit</v>
      </c>
      <c r="T548" s="15" t="str">
        <f t="shared" si="49"/>
        <v>Low Sales</v>
      </c>
      <c r="U548" s="15" t="str">
        <f t="shared" si="50"/>
        <v>Needs Improvement</v>
      </c>
      <c r="V548" s="15" t="str">
        <f t="shared" si="51"/>
        <v>High Discount</v>
      </c>
      <c r="W548" s="15">
        <f>VLOOKUP(D548,Lookup_Table!$A:$C,2,FALSE)</f>
        <v>0.2</v>
      </c>
      <c r="X548" s="15">
        <f t="shared" si="52"/>
        <v>0.318865396069089</v>
      </c>
      <c r="Y548" s="15" t="str">
        <f>VLOOKUP(D548,Lookup_Table!A:C,3,0)</f>
        <v>Sneha</v>
      </c>
      <c r="Z548" s="15" t="str">
        <f t="shared" si="53"/>
        <v>Achived</v>
      </c>
    </row>
    <row r="549" spans="1:26">
      <c r="A549" s="13" t="s">
        <v>640</v>
      </c>
      <c r="B549" s="14">
        <v>45658</v>
      </c>
      <c r="C549" s="13" t="s">
        <v>27</v>
      </c>
      <c r="D549" s="13" t="s">
        <v>37</v>
      </c>
      <c r="E549" s="13" t="s">
        <v>86</v>
      </c>
      <c r="F549" s="13" t="s">
        <v>98</v>
      </c>
      <c r="G549" s="13" t="s">
        <v>99</v>
      </c>
      <c r="H549" s="13" t="s">
        <v>77</v>
      </c>
      <c r="I549" s="13" t="s">
        <v>52</v>
      </c>
      <c r="J549" s="13">
        <v>3</v>
      </c>
      <c r="K549" s="13">
        <v>220.12</v>
      </c>
      <c r="L549" s="13">
        <v>0.2</v>
      </c>
      <c r="M549" s="13">
        <v>528.29</v>
      </c>
      <c r="N549" s="13">
        <v>359.67</v>
      </c>
      <c r="O549" s="13">
        <v>168.62</v>
      </c>
      <c r="P549" s="13">
        <v>2.9</v>
      </c>
      <c r="Q549" s="13" t="s">
        <v>64</v>
      </c>
      <c r="R549" s="13">
        <v>2025</v>
      </c>
      <c r="S549" s="15" t="str">
        <f t="shared" si="48"/>
        <v>Low Profit</v>
      </c>
      <c r="T549" s="15" t="str">
        <f t="shared" si="49"/>
        <v>Low Sales</v>
      </c>
      <c r="U549" s="15" t="str">
        <f t="shared" si="50"/>
        <v>Needs Improvement</v>
      </c>
      <c r="V549" s="15" t="str">
        <f t="shared" si="51"/>
        <v>High Discount</v>
      </c>
      <c r="W549" s="15">
        <f>VLOOKUP(D549,Lookup_Table!$A:$C,2,FALSE)</f>
        <v>0.16</v>
      </c>
      <c r="X549" s="15">
        <f t="shared" si="52"/>
        <v>0.319180752995514</v>
      </c>
      <c r="Y549" s="15" t="str">
        <f>VLOOKUP(D549,Lookup_Table!A:C,3,0)</f>
        <v>Vikram</v>
      </c>
      <c r="Z549" s="15" t="str">
        <f t="shared" si="53"/>
        <v>Achived</v>
      </c>
    </row>
    <row r="550" spans="1:26">
      <c r="A550" s="13" t="s">
        <v>641</v>
      </c>
      <c r="B550" s="14">
        <v>45722</v>
      </c>
      <c r="C550" s="13" t="s">
        <v>27</v>
      </c>
      <c r="D550" s="13" t="s">
        <v>44</v>
      </c>
      <c r="E550" s="13" t="s">
        <v>137</v>
      </c>
      <c r="F550" s="13" t="s">
        <v>82</v>
      </c>
      <c r="G550" s="13" t="s">
        <v>83</v>
      </c>
      <c r="H550" s="13" t="s">
        <v>77</v>
      </c>
      <c r="I550" s="13" t="s">
        <v>96</v>
      </c>
      <c r="J550" s="13">
        <v>7</v>
      </c>
      <c r="K550" s="13">
        <v>1044.41</v>
      </c>
      <c r="L550" s="13">
        <v>0.15</v>
      </c>
      <c r="M550" s="13">
        <v>6214.24</v>
      </c>
      <c r="N550" s="13">
        <v>4227.02</v>
      </c>
      <c r="O550" s="13">
        <v>1987.22</v>
      </c>
      <c r="P550" s="13">
        <v>2.9</v>
      </c>
      <c r="Q550" s="13" t="s">
        <v>94</v>
      </c>
      <c r="R550" s="13">
        <v>2025</v>
      </c>
      <c r="S550" s="15" t="str">
        <f t="shared" si="48"/>
        <v>High Profit</v>
      </c>
      <c r="T550" s="15" t="str">
        <f t="shared" si="49"/>
        <v>High Sales</v>
      </c>
      <c r="U550" s="15" t="str">
        <f t="shared" si="50"/>
        <v>Needs Improvement</v>
      </c>
      <c r="V550" s="15" t="str">
        <f t="shared" si="51"/>
        <v>High Discount</v>
      </c>
      <c r="W550" s="15">
        <f>VLOOKUP(D550,Lookup_Table!$A:$C,2,FALSE)</f>
        <v>0.18</v>
      </c>
      <c r="X550" s="15">
        <f t="shared" si="52"/>
        <v>0.319784881176137</v>
      </c>
      <c r="Y550" s="15" t="str">
        <f>VLOOKUP(D550,Lookup_Table!A:C,3,0)</f>
        <v>Amit</v>
      </c>
      <c r="Z550" s="15" t="str">
        <f t="shared" si="53"/>
        <v>Achived</v>
      </c>
    </row>
    <row r="551" spans="1:26">
      <c r="A551" s="13" t="s">
        <v>642</v>
      </c>
      <c r="B551" s="14">
        <v>45762</v>
      </c>
      <c r="C551" s="13" t="s">
        <v>55</v>
      </c>
      <c r="D551" s="13" t="s">
        <v>60</v>
      </c>
      <c r="E551" s="13" t="s">
        <v>61</v>
      </c>
      <c r="F551" s="13" t="s">
        <v>116</v>
      </c>
      <c r="G551" s="13" t="s">
        <v>117</v>
      </c>
      <c r="H551" s="13" t="s">
        <v>32</v>
      </c>
      <c r="I551" s="13" t="s">
        <v>46</v>
      </c>
      <c r="J551" s="13">
        <v>5</v>
      </c>
      <c r="K551" s="13">
        <v>540.55</v>
      </c>
      <c r="L551" s="13">
        <v>0.05</v>
      </c>
      <c r="M551" s="13">
        <v>2567.61</v>
      </c>
      <c r="N551" s="13">
        <v>1745.54</v>
      </c>
      <c r="O551" s="13">
        <v>822.07</v>
      </c>
      <c r="P551" s="13">
        <v>3</v>
      </c>
      <c r="Q551" s="13" t="s">
        <v>84</v>
      </c>
      <c r="R551" s="13">
        <v>2025</v>
      </c>
      <c r="S551" s="15" t="str">
        <f t="shared" si="48"/>
        <v>High Profit</v>
      </c>
      <c r="T551" s="15" t="str">
        <f t="shared" si="49"/>
        <v>High Sales</v>
      </c>
      <c r="U551" s="15" t="str">
        <f t="shared" si="50"/>
        <v>Needs Improvement</v>
      </c>
      <c r="V551" s="15" t="str">
        <f t="shared" si="51"/>
        <v>Normal Discount</v>
      </c>
      <c r="W551" s="15">
        <f>VLOOKUP(D551,Lookup_Table!$A:$C,2,FALSE)</f>
        <v>0.15</v>
      </c>
      <c r="X551" s="15">
        <f t="shared" si="52"/>
        <v>0.320169340359322</v>
      </c>
      <c r="Y551" s="15" t="str">
        <f>VLOOKUP(D551,Lookup_Table!A:C,3,0)</f>
        <v>Priya</v>
      </c>
      <c r="Z551" s="15" t="str">
        <f t="shared" si="53"/>
        <v>Achived</v>
      </c>
    </row>
    <row r="552" spans="1:26">
      <c r="A552" s="13" t="s">
        <v>643</v>
      </c>
      <c r="B552" s="14">
        <v>46017</v>
      </c>
      <c r="C552" s="13" t="s">
        <v>27</v>
      </c>
      <c r="D552" s="13" t="s">
        <v>44</v>
      </c>
      <c r="E552" s="13" t="s">
        <v>137</v>
      </c>
      <c r="F552" s="13" t="s">
        <v>62</v>
      </c>
      <c r="G552" s="13" t="s">
        <v>63</v>
      </c>
      <c r="H552" s="13" t="s">
        <v>32</v>
      </c>
      <c r="I552" s="13" t="s">
        <v>46</v>
      </c>
      <c r="J552" s="13">
        <v>7</v>
      </c>
      <c r="K552" s="13">
        <v>327.66</v>
      </c>
      <c r="L552" s="13">
        <v>0.05</v>
      </c>
      <c r="M552" s="13">
        <v>2178.94</v>
      </c>
      <c r="N552" s="13">
        <v>1481.09</v>
      </c>
      <c r="O552" s="13">
        <v>697.85</v>
      </c>
      <c r="P552" s="13">
        <v>3.5</v>
      </c>
      <c r="Q552" s="13" t="s">
        <v>34</v>
      </c>
      <c r="R552" s="13">
        <v>2025</v>
      </c>
      <c r="S552" s="15" t="str">
        <f t="shared" si="48"/>
        <v>High Profit</v>
      </c>
      <c r="T552" s="15" t="str">
        <f t="shared" si="49"/>
        <v>High Sales</v>
      </c>
      <c r="U552" s="15" t="str">
        <f t="shared" si="50"/>
        <v>Needs Improvement</v>
      </c>
      <c r="V552" s="15" t="str">
        <f t="shared" si="51"/>
        <v>Normal Discount</v>
      </c>
      <c r="W552" s="15">
        <f>VLOOKUP(D552,Lookup_Table!$A:$C,2,FALSE)</f>
        <v>0.18</v>
      </c>
      <c r="X552" s="15">
        <f t="shared" si="52"/>
        <v>0.32027040671152</v>
      </c>
      <c r="Y552" s="15" t="str">
        <f>VLOOKUP(D552,Lookup_Table!A:C,3,0)</f>
        <v>Amit</v>
      </c>
      <c r="Z552" s="15" t="str">
        <f t="shared" si="53"/>
        <v>Achived</v>
      </c>
    </row>
    <row r="553" spans="1:26">
      <c r="A553" s="13" t="s">
        <v>644</v>
      </c>
      <c r="B553" s="14">
        <v>45818</v>
      </c>
      <c r="C553" s="13" t="s">
        <v>55</v>
      </c>
      <c r="D553" s="13" t="s">
        <v>37</v>
      </c>
      <c r="E553" s="13" t="s">
        <v>93</v>
      </c>
      <c r="F553" s="13" t="s">
        <v>111</v>
      </c>
      <c r="G553" s="13" t="s">
        <v>76</v>
      </c>
      <c r="H553" s="13" t="s">
        <v>77</v>
      </c>
      <c r="I553" s="13" t="s">
        <v>52</v>
      </c>
      <c r="J553" s="13">
        <v>2</v>
      </c>
      <c r="K553" s="13">
        <v>356.15</v>
      </c>
      <c r="L553" s="13">
        <v>0.15</v>
      </c>
      <c r="M553" s="13">
        <v>605.45</v>
      </c>
      <c r="N553" s="13">
        <v>411.37</v>
      </c>
      <c r="O553" s="13">
        <v>194.08</v>
      </c>
      <c r="P553" s="13">
        <v>3.4</v>
      </c>
      <c r="Q553" s="13" t="s">
        <v>58</v>
      </c>
      <c r="R553" s="13">
        <v>2025</v>
      </c>
      <c r="S553" s="15" t="str">
        <f t="shared" si="48"/>
        <v>Low Profit</v>
      </c>
      <c r="T553" s="15" t="str">
        <f t="shared" si="49"/>
        <v>Low Sales</v>
      </c>
      <c r="U553" s="15" t="str">
        <f t="shared" si="50"/>
        <v>Needs Improvement</v>
      </c>
      <c r="V553" s="15" t="str">
        <f t="shared" si="51"/>
        <v>High Discount</v>
      </c>
      <c r="W553" s="15">
        <f>VLOOKUP(D553,Lookup_Table!$A:$C,2,FALSE)</f>
        <v>0.16</v>
      </c>
      <c r="X553" s="15">
        <f t="shared" si="52"/>
        <v>0.320554959121315</v>
      </c>
      <c r="Y553" s="15" t="str">
        <f>VLOOKUP(D553,Lookup_Table!A:C,3,0)</f>
        <v>Vikram</v>
      </c>
      <c r="Z553" s="15" t="str">
        <f t="shared" si="53"/>
        <v>Achived</v>
      </c>
    </row>
    <row r="554" spans="1:26">
      <c r="A554" s="13" t="s">
        <v>645</v>
      </c>
      <c r="B554" s="14">
        <v>45903</v>
      </c>
      <c r="C554" s="13" t="s">
        <v>27</v>
      </c>
      <c r="D554" s="13" t="s">
        <v>28</v>
      </c>
      <c r="E554" s="13" t="s">
        <v>73</v>
      </c>
      <c r="F554" s="13" t="s">
        <v>67</v>
      </c>
      <c r="G554" s="13" t="s">
        <v>68</v>
      </c>
      <c r="H554" s="13" t="s">
        <v>69</v>
      </c>
      <c r="I554" s="13" t="s">
        <v>46</v>
      </c>
      <c r="J554" s="13">
        <v>7</v>
      </c>
      <c r="K554" s="13">
        <v>47.87</v>
      </c>
      <c r="L554" s="13">
        <v>0.1</v>
      </c>
      <c r="M554" s="13">
        <v>301.58</v>
      </c>
      <c r="N554" s="13">
        <v>204.86</v>
      </c>
      <c r="O554" s="13">
        <v>96.72</v>
      </c>
      <c r="P554" s="13">
        <v>3.8</v>
      </c>
      <c r="Q554" s="13" t="s">
        <v>53</v>
      </c>
      <c r="R554" s="13">
        <v>2025</v>
      </c>
      <c r="S554" s="15" t="str">
        <f t="shared" si="48"/>
        <v>Low Profit</v>
      </c>
      <c r="T554" s="15" t="str">
        <f t="shared" si="49"/>
        <v>Low Sales</v>
      </c>
      <c r="U554" s="15" t="str">
        <f t="shared" si="50"/>
        <v>Needs Improvement</v>
      </c>
      <c r="V554" s="15" t="str">
        <f t="shared" si="51"/>
        <v>Normal Discount</v>
      </c>
      <c r="W554" s="15">
        <f>VLOOKUP(D554,Lookup_Table!$A:$C,2,FALSE)</f>
        <v>0.2</v>
      </c>
      <c r="X554" s="15">
        <f t="shared" si="52"/>
        <v>0.320710922474965</v>
      </c>
      <c r="Y554" s="15" t="str">
        <f>VLOOKUP(D554,Lookup_Table!A:C,3,0)</f>
        <v>Sneha</v>
      </c>
      <c r="Z554" s="15" t="str">
        <f t="shared" si="53"/>
        <v>Achived</v>
      </c>
    </row>
    <row r="555" spans="1:26">
      <c r="A555" s="13" t="s">
        <v>646</v>
      </c>
      <c r="B555" s="14">
        <v>45763</v>
      </c>
      <c r="C555" s="13" t="s">
        <v>55</v>
      </c>
      <c r="D555" s="13" t="s">
        <v>28</v>
      </c>
      <c r="E555" s="13" t="s">
        <v>29</v>
      </c>
      <c r="F555" s="13" t="s">
        <v>111</v>
      </c>
      <c r="G555" s="13" t="s">
        <v>76</v>
      </c>
      <c r="H555" s="13" t="s">
        <v>77</v>
      </c>
      <c r="I555" s="13" t="s">
        <v>33</v>
      </c>
      <c r="J555" s="13">
        <v>7</v>
      </c>
      <c r="K555" s="13">
        <v>133.59</v>
      </c>
      <c r="L555" s="13">
        <v>0.05</v>
      </c>
      <c r="M555" s="13">
        <v>888.37</v>
      </c>
      <c r="N555" s="13">
        <v>603.29</v>
      </c>
      <c r="O555" s="13">
        <v>285.08</v>
      </c>
      <c r="P555" s="13">
        <v>3.1</v>
      </c>
      <c r="Q555" s="13" t="s">
        <v>84</v>
      </c>
      <c r="R555" s="13">
        <v>2025</v>
      </c>
      <c r="S555" s="15" t="str">
        <f t="shared" si="48"/>
        <v>Low Profit</v>
      </c>
      <c r="T555" s="15" t="str">
        <f t="shared" si="49"/>
        <v>Low Sales</v>
      </c>
      <c r="U555" s="15" t="str">
        <f t="shared" si="50"/>
        <v>Needs Improvement</v>
      </c>
      <c r="V555" s="15" t="str">
        <f t="shared" si="51"/>
        <v>Normal Discount</v>
      </c>
      <c r="W555" s="15">
        <f>VLOOKUP(D555,Lookup_Table!$A:$C,2,FALSE)</f>
        <v>0.2</v>
      </c>
      <c r="X555" s="15">
        <f t="shared" si="52"/>
        <v>0.32090232673323</v>
      </c>
      <c r="Y555" s="15" t="str">
        <f>VLOOKUP(D555,Lookup_Table!A:C,3,0)</f>
        <v>Sneha</v>
      </c>
      <c r="Z555" s="15" t="str">
        <f t="shared" si="53"/>
        <v>Achived</v>
      </c>
    </row>
    <row r="556" spans="1:26">
      <c r="A556" s="13" t="s">
        <v>647</v>
      </c>
      <c r="B556" s="14">
        <v>45943</v>
      </c>
      <c r="C556" s="13" t="s">
        <v>55</v>
      </c>
      <c r="D556" s="13" t="s">
        <v>44</v>
      </c>
      <c r="E556" s="13" t="s">
        <v>143</v>
      </c>
      <c r="F556" s="13" t="s">
        <v>111</v>
      </c>
      <c r="G556" s="13" t="s">
        <v>76</v>
      </c>
      <c r="H556" s="13" t="s">
        <v>77</v>
      </c>
      <c r="I556" s="13" t="s">
        <v>46</v>
      </c>
      <c r="J556" s="13">
        <v>3</v>
      </c>
      <c r="K556" s="13">
        <v>1148</v>
      </c>
      <c r="L556" s="13">
        <v>0.1</v>
      </c>
      <c r="M556" s="13">
        <v>3099.6</v>
      </c>
      <c r="N556" s="13">
        <v>2104.79</v>
      </c>
      <c r="O556" s="13">
        <v>994.81</v>
      </c>
      <c r="P556" s="13">
        <v>3.8</v>
      </c>
      <c r="Q556" s="13" t="s">
        <v>87</v>
      </c>
      <c r="R556" s="13">
        <v>2025</v>
      </c>
      <c r="S556" s="15" t="str">
        <f t="shared" si="48"/>
        <v>High Profit</v>
      </c>
      <c r="T556" s="15" t="str">
        <f t="shared" si="49"/>
        <v>High Sales</v>
      </c>
      <c r="U556" s="15" t="str">
        <f t="shared" si="50"/>
        <v>Needs Improvement</v>
      </c>
      <c r="V556" s="15" t="str">
        <f t="shared" si="51"/>
        <v>Normal Discount</v>
      </c>
      <c r="W556" s="15">
        <f>VLOOKUP(D556,Lookup_Table!$A:$C,2,FALSE)</f>
        <v>0.18</v>
      </c>
      <c r="X556" s="15">
        <f t="shared" si="52"/>
        <v>0.320947864240547</v>
      </c>
      <c r="Y556" s="15" t="str">
        <f>VLOOKUP(D556,Lookup_Table!A:C,3,0)</f>
        <v>Amit</v>
      </c>
      <c r="Z556" s="15" t="str">
        <f t="shared" si="53"/>
        <v>Achived</v>
      </c>
    </row>
    <row r="557" spans="1:26">
      <c r="A557" s="13" t="s">
        <v>648</v>
      </c>
      <c r="B557" s="14">
        <v>45729</v>
      </c>
      <c r="C557" s="13" t="s">
        <v>55</v>
      </c>
      <c r="D557" s="13" t="s">
        <v>44</v>
      </c>
      <c r="E557" s="13" t="s">
        <v>104</v>
      </c>
      <c r="F557" s="13" t="s">
        <v>62</v>
      </c>
      <c r="G557" s="13" t="s">
        <v>63</v>
      </c>
      <c r="H557" s="13" t="s">
        <v>32</v>
      </c>
      <c r="I557" s="13" t="s">
        <v>33</v>
      </c>
      <c r="J557" s="13">
        <v>3</v>
      </c>
      <c r="K557" s="13">
        <v>638.27</v>
      </c>
      <c r="L557" s="13">
        <v>0.1</v>
      </c>
      <c r="M557" s="13">
        <v>1723.33</v>
      </c>
      <c r="N557" s="13">
        <v>1169.86</v>
      </c>
      <c r="O557" s="13">
        <v>553.47</v>
      </c>
      <c r="P557" s="13">
        <v>4.5</v>
      </c>
      <c r="Q557" s="13" t="s">
        <v>94</v>
      </c>
      <c r="R557" s="13">
        <v>2025</v>
      </c>
      <c r="S557" s="15" t="str">
        <f t="shared" si="48"/>
        <v>High Profit</v>
      </c>
      <c r="T557" s="15" t="str">
        <f t="shared" si="49"/>
        <v>High Sales</v>
      </c>
      <c r="U557" s="15" t="str">
        <f t="shared" si="50"/>
        <v>Good</v>
      </c>
      <c r="V557" s="15" t="str">
        <f t="shared" si="51"/>
        <v>Normal Discount</v>
      </c>
      <c r="W557" s="15">
        <f>VLOOKUP(D557,Lookup_Table!$A:$C,2,FALSE)</f>
        <v>0.18</v>
      </c>
      <c r="X557" s="15">
        <f t="shared" si="52"/>
        <v>0.321163097027267</v>
      </c>
      <c r="Y557" s="15" t="str">
        <f>VLOOKUP(D557,Lookup_Table!A:C,3,0)</f>
        <v>Amit</v>
      </c>
      <c r="Z557" s="15" t="str">
        <f t="shared" si="53"/>
        <v>Achived</v>
      </c>
    </row>
    <row r="558" spans="1:26">
      <c r="A558" s="13" t="s">
        <v>649</v>
      </c>
      <c r="B558" s="14">
        <v>45874</v>
      </c>
      <c r="C558" s="13" t="s">
        <v>27</v>
      </c>
      <c r="D558" s="13" t="s">
        <v>80</v>
      </c>
      <c r="E558" s="13" t="s">
        <v>191</v>
      </c>
      <c r="F558" s="13" t="s">
        <v>75</v>
      </c>
      <c r="G558" s="13" t="s">
        <v>76</v>
      </c>
      <c r="H558" s="13" t="s">
        <v>77</v>
      </c>
      <c r="I558" s="13" t="s">
        <v>52</v>
      </c>
      <c r="J558" s="13">
        <v>2</v>
      </c>
      <c r="K558" s="13">
        <v>36.45</v>
      </c>
      <c r="L558" s="13">
        <v>0.05</v>
      </c>
      <c r="M558" s="13">
        <v>69.26</v>
      </c>
      <c r="N558" s="13">
        <v>47</v>
      </c>
      <c r="O558" s="13">
        <v>22.26</v>
      </c>
      <c r="P558" s="13">
        <v>2.9</v>
      </c>
      <c r="Q558" s="13" t="s">
        <v>47</v>
      </c>
      <c r="R558" s="13">
        <v>2025</v>
      </c>
      <c r="S558" s="15" t="str">
        <f t="shared" si="48"/>
        <v>Low Profit</v>
      </c>
      <c r="T558" s="15" t="str">
        <f t="shared" si="49"/>
        <v>Low Sales</v>
      </c>
      <c r="U558" s="15" t="str">
        <f t="shared" si="50"/>
        <v>Needs Improvement</v>
      </c>
      <c r="V558" s="15" t="str">
        <f t="shared" si="51"/>
        <v>Normal Discount</v>
      </c>
      <c r="W558" s="15">
        <f>VLOOKUP(D558,Lookup_Table!$A:$C,2,FALSE)</f>
        <v>0.12</v>
      </c>
      <c r="X558" s="15">
        <f t="shared" si="52"/>
        <v>0.321397632110887</v>
      </c>
      <c r="Y558" s="15" t="str">
        <f>VLOOKUP(D558,Lookup_Table!A:C,3,0)</f>
        <v>Rahul</v>
      </c>
      <c r="Z558" s="15" t="str">
        <f t="shared" si="53"/>
        <v>Achived</v>
      </c>
    </row>
    <row r="559" spans="1:26">
      <c r="A559" s="13" t="s">
        <v>650</v>
      </c>
      <c r="B559" s="14">
        <v>45766</v>
      </c>
      <c r="C559" s="13" t="s">
        <v>55</v>
      </c>
      <c r="D559" s="13" t="s">
        <v>28</v>
      </c>
      <c r="E559" s="13" t="s">
        <v>29</v>
      </c>
      <c r="F559" s="13" t="s">
        <v>62</v>
      </c>
      <c r="G559" s="13" t="s">
        <v>63</v>
      </c>
      <c r="H559" s="13" t="s">
        <v>32</v>
      </c>
      <c r="I559" s="13" t="s">
        <v>96</v>
      </c>
      <c r="J559" s="13">
        <v>6</v>
      </c>
      <c r="K559" s="13">
        <v>78.81</v>
      </c>
      <c r="L559" s="13">
        <v>0</v>
      </c>
      <c r="M559" s="13">
        <v>472.86</v>
      </c>
      <c r="N559" s="13">
        <v>320.66</v>
      </c>
      <c r="O559" s="13">
        <v>152.2</v>
      </c>
      <c r="P559" s="13">
        <v>4</v>
      </c>
      <c r="Q559" s="13" t="s">
        <v>84</v>
      </c>
      <c r="R559" s="13">
        <v>2025</v>
      </c>
      <c r="S559" s="15" t="str">
        <f t="shared" si="48"/>
        <v>Low Profit</v>
      </c>
      <c r="T559" s="15" t="str">
        <f t="shared" si="49"/>
        <v>Low Sales</v>
      </c>
      <c r="U559" s="15" t="str">
        <f t="shared" si="50"/>
        <v>Good</v>
      </c>
      <c r="V559" s="15" t="str">
        <f t="shared" si="51"/>
        <v>Normal Discount</v>
      </c>
      <c r="W559" s="15">
        <f>VLOOKUP(D559,Lookup_Table!$A:$C,2,FALSE)</f>
        <v>0.2</v>
      </c>
      <c r="X559" s="15">
        <f t="shared" si="52"/>
        <v>0.321871166941589</v>
      </c>
      <c r="Y559" s="15" t="str">
        <f>VLOOKUP(D559,Lookup_Table!A:C,3,0)</f>
        <v>Sneha</v>
      </c>
      <c r="Z559" s="15" t="str">
        <f t="shared" si="53"/>
        <v>Achived</v>
      </c>
    </row>
    <row r="560" spans="1:26">
      <c r="A560" s="13" t="s">
        <v>651</v>
      </c>
      <c r="B560" s="14">
        <v>45772</v>
      </c>
      <c r="C560" s="13" t="s">
        <v>36</v>
      </c>
      <c r="D560" s="13" t="s">
        <v>60</v>
      </c>
      <c r="E560" s="13" t="s">
        <v>150</v>
      </c>
      <c r="F560" s="13" t="s">
        <v>98</v>
      </c>
      <c r="G560" s="13" t="s">
        <v>99</v>
      </c>
      <c r="H560" s="13" t="s">
        <v>77</v>
      </c>
      <c r="I560" s="13" t="s">
        <v>52</v>
      </c>
      <c r="J560" s="13">
        <v>4</v>
      </c>
      <c r="K560" s="13">
        <v>692.98</v>
      </c>
      <c r="L560" s="13">
        <v>0</v>
      </c>
      <c r="M560" s="13">
        <v>2771.92</v>
      </c>
      <c r="N560" s="13">
        <v>1878.72</v>
      </c>
      <c r="O560" s="13">
        <v>893.2</v>
      </c>
      <c r="P560" s="13">
        <v>4.7</v>
      </c>
      <c r="Q560" s="13" t="s">
        <v>84</v>
      </c>
      <c r="R560" s="13">
        <v>2025</v>
      </c>
      <c r="S560" s="15" t="str">
        <f t="shared" si="48"/>
        <v>High Profit</v>
      </c>
      <c r="T560" s="15" t="str">
        <f t="shared" si="49"/>
        <v>High Sales</v>
      </c>
      <c r="U560" s="15" t="str">
        <f t="shared" si="50"/>
        <v>Good</v>
      </c>
      <c r="V560" s="15" t="str">
        <f t="shared" si="51"/>
        <v>Normal Discount</v>
      </c>
      <c r="W560" s="15">
        <f>VLOOKUP(D560,Lookup_Table!$A:$C,2,FALSE)</f>
        <v>0.15</v>
      </c>
      <c r="X560" s="15">
        <f t="shared" si="52"/>
        <v>0.322231521833242</v>
      </c>
      <c r="Y560" s="15" t="str">
        <f>VLOOKUP(D560,Lookup_Table!A:C,3,0)</f>
        <v>Priya</v>
      </c>
      <c r="Z560" s="15" t="str">
        <f t="shared" si="53"/>
        <v>Achived</v>
      </c>
    </row>
    <row r="561" spans="1:26">
      <c r="A561" s="13" t="s">
        <v>652</v>
      </c>
      <c r="B561" s="14">
        <v>45703</v>
      </c>
      <c r="C561" s="13" t="s">
        <v>55</v>
      </c>
      <c r="D561" s="13" t="s">
        <v>60</v>
      </c>
      <c r="E561" s="13" t="s">
        <v>127</v>
      </c>
      <c r="F561" s="13" t="s">
        <v>111</v>
      </c>
      <c r="G561" s="13" t="s">
        <v>76</v>
      </c>
      <c r="H561" s="13" t="s">
        <v>77</v>
      </c>
      <c r="I561" s="13" t="s">
        <v>52</v>
      </c>
      <c r="J561" s="13">
        <v>1</v>
      </c>
      <c r="K561" s="13">
        <v>700.52</v>
      </c>
      <c r="L561" s="13">
        <v>0</v>
      </c>
      <c r="M561" s="13">
        <v>700.52</v>
      </c>
      <c r="N561" s="13">
        <v>474.68</v>
      </c>
      <c r="O561" s="13">
        <v>225.84</v>
      </c>
      <c r="P561" s="13">
        <v>2.9</v>
      </c>
      <c r="Q561" s="13" t="s">
        <v>105</v>
      </c>
      <c r="R561" s="13">
        <v>2025</v>
      </c>
      <c r="S561" s="15" t="str">
        <f t="shared" si="48"/>
        <v>Low Profit</v>
      </c>
      <c r="T561" s="15" t="str">
        <f t="shared" si="49"/>
        <v>Low Sales</v>
      </c>
      <c r="U561" s="15" t="str">
        <f t="shared" si="50"/>
        <v>Needs Improvement</v>
      </c>
      <c r="V561" s="15" t="str">
        <f t="shared" si="51"/>
        <v>Normal Discount</v>
      </c>
      <c r="W561" s="15">
        <f>VLOOKUP(D561,Lookup_Table!$A:$C,2,FALSE)</f>
        <v>0.15</v>
      </c>
      <c r="X561" s="15">
        <f t="shared" si="52"/>
        <v>0.322389082395934</v>
      </c>
      <c r="Y561" s="15" t="str">
        <f>VLOOKUP(D561,Lookup_Table!A:C,3,0)</f>
        <v>Priya</v>
      </c>
      <c r="Z561" s="15" t="str">
        <f t="shared" si="53"/>
        <v>Achived</v>
      </c>
    </row>
    <row r="562" spans="1:26">
      <c r="A562" s="13" t="s">
        <v>653</v>
      </c>
      <c r="B562" s="14">
        <v>45925</v>
      </c>
      <c r="C562" s="13" t="s">
        <v>55</v>
      </c>
      <c r="D562" s="13" t="s">
        <v>28</v>
      </c>
      <c r="E562" s="13" t="s">
        <v>73</v>
      </c>
      <c r="F562" s="13" t="s">
        <v>75</v>
      </c>
      <c r="G562" s="13" t="s">
        <v>76</v>
      </c>
      <c r="H562" s="13" t="s">
        <v>77</v>
      </c>
      <c r="I562" s="13" t="s">
        <v>46</v>
      </c>
      <c r="J562" s="13">
        <v>6</v>
      </c>
      <c r="K562" s="13">
        <v>49.5</v>
      </c>
      <c r="L562" s="13">
        <v>0</v>
      </c>
      <c r="M562" s="13">
        <v>297</v>
      </c>
      <c r="N562" s="13">
        <v>201.18</v>
      </c>
      <c r="O562" s="13">
        <v>95.82</v>
      </c>
      <c r="P562" s="13">
        <v>3</v>
      </c>
      <c r="Q562" s="13" t="s">
        <v>53</v>
      </c>
      <c r="R562" s="13">
        <v>2025</v>
      </c>
      <c r="S562" s="15" t="str">
        <f t="shared" si="48"/>
        <v>Low Profit</v>
      </c>
      <c r="T562" s="15" t="str">
        <f t="shared" si="49"/>
        <v>Low Sales</v>
      </c>
      <c r="U562" s="15" t="str">
        <f t="shared" si="50"/>
        <v>Needs Improvement</v>
      </c>
      <c r="V562" s="15" t="str">
        <f t="shared" si="51"/>
        <v>Normal Discount</v>
      </c>
      <c r="W562" s="15">
        <f>VLOOKUP(D562,Lookup_Table!$A:$C,2,FALSE)</f>
        <v>0.2</v>
      </c>
      <c r="X562" s="15">
        <f t="shared" si="52"/>
        <v>0.322626262626263</v>
      </c>
      <c r="Y562" s="15" t="str">
        <f>VLOOKUP(D562,Lookup_Table!A:C,3,0)</f>
        <v>Sneha</v>
      </c>
      <c r="Z562" s="15" t="str">
        <f t="shared" si="53"/>
        <v>Achived</v>
      </c>
    </row>
    <row r="563" spans="1:26">
      <c r="A563" s="13" t="s">
        <v>654</v>
      </c>
      <c r="B563" s="14">
        <v>45728</v>
      </c>
      <c r="C563" s="13" t="s">
        <v>55</v>
      </c>
      <c r="D563" s="13" t="s">
        <v>37</v>
      </c>
      <c r="E563" s="13" t="s">
        <v>93</v>
      </c>
      <c r="F563" s="13" t="s">
        <v>82</v>
      </c>
      <c r="G563" s="13" t="s">
        <v>83</v>
      </c>
      <c r="H563" s="13" t="s">
        <v>77</v>
      </c>
      <c r="I563" s="13" t="s">
        <v>52</v>
      </c>
      <c r="J563" s="13">
        <v>6</v>
      </c>
      <c r="K563" s="13">
        <v>76.62</v>
      </c>
      <c r="L563" s="13">
        <v>0</v>
      </c>
      <c r="M563" s="13">
        <v>459.72</v>
      </c>
      <c r="N563" s="13">
        <v>311.35</v>
      </c>
      <c r="O563" s="13">
        <v>148.37</v>
      </c>
      <c r="P563" s="13">
        <v>3.6</v>
      </c>
      <c r="Q563" s="13" t="s">
        <v>94</v>
      </c>
      <c r="R563" s="13">
        <v>2025</v>
      </c>
      <c r="S563" s="15" t="str">
        <f t="shared" si="48"/>
        <v>Low Profit</v>
      </c>
      <c r="T563" s="15" t="str">
        <f t="shared" si="49"/>
        <v>Low Sales</v>
      </c>
      <c r="U563" s="15" t="str">
        <f t="shared" si="50"/>
        <v>Needs Improvement</v>
      </c>
      <c r="V563" s="15" t="str">
        <f t="shared" si="51"/>
        <v>Normal Discount</v>
      </c>
      <c r="W563" s="15">
        <f>VLOOKUP(D563,Lookup_Table!$A:$C,2,FALSE)</f>
        <v>0.16</v>
      </c>
      <c r="X563" s="15">
        <f t="shared" si="52"/>
        <v>0.322739928652223</v>
      </c>
      <c r="Y563" s="15" t="str">
        <f>VLOOKUP(D563,Lookup_Table!A:C,3,0)</f>
        <v>Vikram</v>
      </c>
      <c r="Z563" s="15" t="str">
        <f t="shared" si="53"/>
        <v>Achived</v>
      </c>
    </row>
    <row r="564" spans="1:26">
      <c r="A564" s="13" t="s">
        <v>655</v>
      </c>
      <c r="B564" s="14">
        <v>45669</v>
      </c>
      <c r="C564" s="13" t="s">
        <v>27</v>
      </c>
      <c r="D564" s="13" t="s">
        <v>44</v>
      </c>
      <c r="E564" s="13" t="s">
        <v>45</v>
      </c>
      <c r="F564" s="13" t="s">
        <v>62</v>
      </c>
      <c r="G564" s="13" t="s">
        <v>63</v>
      </c>
      <c r="H564" s="13" t="s">
        <v>32</v>
      </c>
      <c r="I564" s="13" t="s">
        <v>33</v>
      </c>
      <c r="J564" s="13">
        <v>7</v>
      </c>
      <c r="K564" s="13">
        <v>520.64</v>
      </c>
      <c r="L564" s="13">
        <v>0.1</v>
      </c>
      <c r="M564" s="13">
        <v>3280.03</v>
      </c>
      <c r="N564" s="13">
        <v>2221.05</v>
      </c>
      <c r="O564" s="13">
        <v>1058.98</v>
      </c>
      <c r="P564" s="13">
        <v>2.7</v>
      </c>
      <c r="Q564" s="13" t="s">
        <v>64</v>
      </c>
      <c r="R564" s="13">
        <v>2025</v>
      </c>
      <c r="S564" s="15" t="str">
        <f t="shared" si="48"/>
        <v>High Profit</v>
      </c>
      <c r="T564" s="15" t="str">
        <f t="shared" si="49"/>
        <v>High Sales</v>
      </c>
      <c r="U564" s="15" t="str">
        <f t="shared" si="50"/>
        <v>Needs Improvement</v>
      </c>
      <c r="V564" s="15" t="str">
        <f t="shared" si="51"/>
        <v>Normal Discount</v>
      </c>
      <c r="W564" s="15">
        <f>VLOOKUP(D564,Lookup_Table!$A:$C,2,FALSE)</f>
        <v>0.18</v>
      </c>
      <c r="X564" s="15">
        <f t="shared" si="52"/>
        <v>0.322856803138996</v>
      </c>
      <c r="Y564" s="15" t="str">
        <f>VLOOKUP(D564,Lookup_Table!A:C,3,0)</f>
        <v>Amit</v>
      </c>
      <c r="Z564" s="15" t="str">
        <f t="shared" si="53"/>
        <v>Achived</v>
      </c>
    </row>
    <row r="565" spans="1:26">
      <c r="A565" s="13" t="s">
        <v>656</v>
      </c>
      <c r="B565" s="14">
        <v>45757</v>
      </c>
      <c r="C565" s="13" t="s">
        <v>27</v>
      </c>
      <c r="D565" s="13" t="s">
        <v>28</v>
      </c>
      <c r="E565" s="13" t="s">
        <v>49</v>
      </c>
      <c r="F565" s="13" t="s">
        <v>98</v>
      </c>
      <c r="G565" s="13" t="s">
        <v>99</v>
      </c>
      <c r="H565" s="13" t="s">
        <v>77</v>
      </c>
      <c r="I565" s="13" t="s">
        <v>33</v>
      </c>
      <c r="J565" s="13">
        <v>1</v>
      </c>
      <c r="K565" s="13">
        <v>125.72</v>
      </c>
      <c r="L565" s="13">
        <v>0.05</v>
      </c>
      <c r="M565" s="13">
        <v>119.43</v>
      </c>
      <c r="N565" s="13">
        <v>80.85</v>
      </c>
      <c r="O565" s="13">
        <v>38.58</v>
      </c>
      <c r="P565" s="13">
        <v>3.8</v>
      </c>
      <c r="Q565" s="13" t="s">
        <v>84</v>
      </c>
      <c r="R565" s="13">
        <v>2025</v>
      </c>
      <c r="S565" s="15" t="str">
        <f t="shared" si="48"/>
        <v>Low Profit</v>
      </c>
      <c r="T565" s="15" t="str">
        <f t="shared" si="49"/>
        <v>Low Sales</v>
      </c>
      <c r="U565" s="15" t="str">
        <f t="shared" si="50"/>
        <v>Needs Improvement</v>
      </c>
      <c r="V565" s="15" t="str">
        <f t="shared" si="51"/>
        <v>Normal Discount</v>
      </c>
      <c r="W565" s="15">
        <f>VLOOKUP(D565,Lookup_Table!$A:$C,2,FALSE)</f>
        <v>0.2</v>
      </c>
      <c r="X565" s="15">
        <f t="shared" si="52"/>
        <v>0.323034413463954</v>
      </c>
      <c r="Y565" s="15" t="str">
        <f>VLOOKUP(D565,Lookup_Table!A:C,3,0)</f>
        <v>Sneha</v>
      </c>
      <c r="Z565" s="15" t="str">
        <f t="shared" si="53"/>
        <v>Achived</v>
      </c>
    </row>
    <row r="566" spans="1:26">
      <c r="A566" s="13" t="s">
        <v>657</v>
      </c>
      <c r="B566" s="14">
        <v>45663</v>
      </c>
      <c r="C566" s="13" t="s">
        <v>27</v>
      </c>
      <c r="D566" s="13" t="s">
        <v>80</v>
      </c>
      <c r="E566" s="13" t="s">
        <v>81</v>
      </c>
      <c r="F566" s="13" t="s">
        <v>30</v>
      </c>
      <c r="G566" s="13" t="s">
        <v>31</v>
      </c>
      <c r="H566" s="13" t="s">
        <v>32</v>
      </c>
      <c r="I566" s="13" t="s">
        <v>33</v>
      </c>
      <c r="J566" s="13">
        <v>6</v>
      </c>
      <c r="K566" s="13">
        <v>33.74</v>
      </c>
      <c r="L566" s="13">
        <v>0.1</v>
      </c>
      <c r="M566" s="13">
        <v>182.2</v>
      </c>
      <c r="N566" s="13">
        <v>123.26</v>
      </c>
      <c r="O566" s="13">
        <v>58.94</v>
      </c>
      <c r="P566" s="13">
        <v>4.7</v>
      </c>
      <c r="Q566" s="13" t="s">
        <v>64</v>
      </c>
      <c r="R566" s="13">
        <v>2025</v>
      </c>
      <c r="S566" s="15" t="str">
        <f t="shared" si="48"/>
        <v>Low Profit</v>
      </c>
      <c r="T566" s="15" t="str">
        <f t="shared" si="49"/>
        <v>Low Sales</v>
      </c>
      <c r="U566" s="15" t="str">
        <f t="shared" si="50"/>
        <v>Good</v>
      </c>
      <c r="V566" s="15" t="str">
        <f t="shared" si="51"/>
        <v>Normal Discount</v>
      </c>
      <c r="W566" s="15">
        <f>VLOOKUP(D566,Lookup_Table!$A:$C,2,FALSE)</f>
        <v>0.12</v>
      </c>
      <c r="X566" s="15">
        <f t="shared" si="52"/>
        <v>0.323490669593853</v>
      </c>
      <c r="Y566" s="15" t="str">
        <f>VLOOKUP(D566,Lookup_Table!A:C,3,0)</f>
        <v>Rahul</v>
      </c>
      <c r="Z566" s="15" t="str">
        <f t="shared" si="53"/>
        <v>Achived</v>
      </c>
    </row>
    <row r="567" spans="1:26">
      <c r="A567" s="13" t="s">
        <v>658</v>
      </c>
      <c r="B567" s="14">
        <v>45925</v>
      </c>
      <c r="C567" s="13" t="s">
        <v>55</v>
      </c>
      <c r="D567" s="13" t="s">
        <v>37</v>
      </c>
      <c r="E567" s="13" t="s">
        <v>109</v>
      </c>
      <c r="F567" s="13" t="s">
        <v>50</v>
      </c>
      <c r="G567" s="13" t="s">
        <v>51</v>
      </c>
      <c r="H567" s="13" t="s">
        <v>32</v>
      </c>
      <c r="I567" s="13" t="s">
        <v>96</v>
      </c>
      <c r="J567" s="13">
        <v>4</v>
      </c>
      <c r="K567" s="13">
        <v>392.88</v>
      </c>
      <c r="L567" s="13">
        <v>0.05</v>
      </c>
      <c r="M567" s="13">
        <v>1492.94</v>
      </c>
      <c r="N567" s="13">
        <v>1009.73</v>
      </c>
      <c r="O567" s="13">
        <v>483.21</v>
      </c>
      <c r="P567" s="13">
        <v>2.8</v>
      </c>
      <c r="Q567" s="13" t="s">
        <v>53</v>
      </c>
      <c r="R567" s="13">
        <v>2025</v>
      </c>
      <c r="S567" s="15" t="str">
        <f t="shared" si="48"/>
        <v>Low Profit</v>
      </c>
      <c r="T567" s="15" t="str">
        <f t="shared" si="49"/>
        <v>High Sales</v>
      </c>
      <c r="U567" s="15" t="str">
        <f t="shared" si="50"/>
        <v>Needs Improvement</v>
      </c>
      <c r="V567" s="15" t="str">
        <f t="shared" si="51"/>
        <v>Normal Discount</v>
      </c>
      <c r="W567" s="15">
        <f>VLOOKUP(D567,Lookup_Table!$A:$C,2,FALSE)</f>
        <v>0.16</v>
      </c>
      <c r="X567" s="15">
        <f t="shared" si="52"/>
        <v>0.323663375621257</v>
      </c>
      <c r="Y567" s="15" t="str">
        <f>VLOOKUP(D567,Lookup_Table!A:C,3,0)</f>
        <v>Vikram</v>
      </c>
      <c r="Z567" s="15" t="str">
        <f t="shared" si="53"/>
        <v>Achived</v>
      </c>
    </row>
    <row r="568" spans="1:26">
      <c r="A568" s="13" t="s">
        <v>659</v>
      </c>
      <c r="B568" s="14">
        <v>45973</v>
      </c>
      <c r="C568" s="13" t="s">
        <v>55</v>
      </c>
      <c r="D568" s="13" t="s">
        <v>28</v>
      </c>
      <c r="E568" s="13" t="s">
        <v>73</v>
      </c>
      <c r="F568" s="13" t="s">
        <v>62</v>
      </c>
      <c r="G568" s="13" t="s">
        <v>63</v>
      </c>
      <c r="H568" s="13" t="s">
        <v>32</v>
      </c>
      <c r="I568" s="13" t="s">
        <v>33</v>
      </c>
      <c r="J568" s="13">
        <v>5</v>
      </c>
      <c r="K568" s="13">
        <v>57.42</v>
      </c>
      <c r="L568" s="13">
        <v>0.2</v>
      </c>
      <c r="M568" s="13">
        <v>229.68</v>
      </c>
      <c r="N568" s="13">
        <v>155.33</v>
      </c>
      <c r="O568" s="13">
        <v>74.35</v>
      </c>
      <c r="P568" s="13">
        <v>2.7</v>
      </c>
      <c r="Q568" s="13" t="s">
        <v>71</v>
      </c>
      <c r="R568" s="13">
        <v>2025</v>
      </c>
      <c r="S568" s="15" t="str">
        <f t="shared" si="48"/>
        <v>Low Profit</v>
      </c>
      <c r="T568" s="15" t="str">
        <f t="shared" si="49"/>
        <v>Low Sales</v>
      </c>
      <c r="U568" s="15" t="str">
        <f t="shared" si="50"/>
        <v>Needs Improvement</v>
      </c>
      <c r="V568" s="15" t="str">
        <f t="shared" si="51"/>
        <v>High Discount</v>
      </c>
      <c r="W568" s="15">
        <f>VLOOKUP(D568,Lookup_Table!$A:$C,2,FALSE)</f>
        <v>0.2</v>
      </c>
      <c r="X568" s="15">
        <f t="shared" si="52"/>
        <v>0.323711250435388</v>
      </c>
      <c r="Y568" s="15" t="str">
        <f>VLOOKUP(D568,Lookup_Table!A:C,3,0)</f>
        <v>Sneha</v>
      </c>
      <c r="Z568" s="15" t="str">
        <f t="shared" si="53"/>
        <v>Achived</v>
      </c>
    </row>
    <row r="569" spans="1:26">
      <c r="A569" s="13" t="s">
        <v>660</v>
      </c>
      <c r="B569" s="14">
        <v>46014</v>
      </c>
      <c r="C569" s="13" t="s">
        <v>27</v>
      </c>
      <c r="D569" s="13" t="s">
        <v>44</v>
      </c>
      <c r="E569" s="13" t="s">
        <v>137</v>
      </c>
      <c r="F569" s="13" t="s">
        <v>62</v>
      </c>
      <c r="G569" s="13" t="s">
        <v>63</v>
      </c>
      <c r="H569" s="13" t="s">
        <v>32</v>
      </c>
      <c r="I569" s="13" t="s">
        <v>46</v>
      </c>
      <c r="J569" s="13">
        <v>5</v>
      </c>
      <c r="K569" s="13">
        <v>829.17</v>
      </c>
      <c r="L569" s="13">
        <v>0.1</v>
      </c>
      <c r="M569" s="13">
        <v>3731.26</v>
      </c>
      <c r="N569" s="13">
        <v>2519.48</v>
      </c>
      <c r="O569" s="13">
        <v>1211.78</v>
      </c>
      <c r="P569" s="13">
        <v>4.7</v>
      </c>
      <c r="Q569" s="13" t="s">
        <v>34</v>
      </c>
      <c r="R569" s="13">
        <v>2025</v>
      </c>
      <c r="S569" s="15" t="str">
        <f t="shared" si="48"/>
        <v>High Profit</v>
      </c>
      <c r="T569" s="15" t="str">
        <f t="shared" si="49"/>
        <v>High Sales</v>
      </c>
      <c r="U569" s="15" t="str">
        <f t="shared" si="50"/>
        <v>Good</v>
      </c>
      <c r="V569" s="15" t="str">
        <f t="shared" si="51"/>
        <v>Normal Discount</v>
      </c>
      <c r="W569" s="15">
        <f>VLOOKUP(D569,Lookup_Table!$A:$C,2,FALSE)</f>
        <v>0.18</v>
      </c>
      <c r="X569" s="15">
        <f t="shared" si="52"/>
        <v>0.324764288738925</v>
      </c>
      <c r="Y569" s="15" t="str">
        <f>VLOOKUP(D569,Lookup_Table!A:C,3,0)</f>
        <v>Amit</v>
      </c>
      <c r="Z569" s="15" t="str">
        <f t="shared" si="53"/>
        <v>Achived</v>
      </c>
    </row>
    <row r="570" spans="1:26">
      <c r="A570" s="13" t="s">
        <v>661</v>
      </c>
      <c r="B570" s="14">
        <v>45912</v>
      </c>
      <c r="C570" s="13" t="s">
        <v>27</v>
      </c>
      <c r="D570" s="13" t="s">
        <v>44</v>
      </c>
      <c r="E570" s="13" t="s">
        <v>45</v>
      </c>
      <c r="F570" s="13" t="s">
        <v>39</v>
      </c>
      <c r="G570" s="13" t="s">
        <v>40</v>
      </c>
      <c r="H570" s="13" t="s">
        <v>41</v>
      </c>
      <c r="I570" s="13" t="s">
        <v>52</v>
      </c>
      <c r="J570" s="13">
        <v>3</v>
      </c>
      <c r="K570" s="13">
        <v>976.67</v>
      </c>
      <c r="L570" s="13">
        <v>0.05</v>
      </c>
      <c r="M570" s="13">
        <v>2783.51</v>
      </c>
      <c r="N570" s="13">
        <v>1878.37</v>
      </c>
      <c r="O570" s="13">
        <v>905.14</v>
      </c>
      <c r="P570" s="13">
        <v>4.7</v>
      </c>
      <c r="Q570" s="13" t="s">
        <v>53</v>
      </c>
      <c r="R570" s="13">
        <v>2025</v>
      </c>
      <c r="S570" s="15" t="str">
        <f t="shared" si="48"/>
        <v>High Profit</v>
      </c>
      <c r="T570" s="15" t="str">
        <f t="shared" si="49"/>
        <v>High Sales</v>
      </c>
      <c r="U570" s="15" t="str">
        <f t="shared" si="50"/>
        <v>Good</v>
      </c>
      <c r="V570" s="15" t="str">
        <f t="shared" si="51"/>
        <v>Normal Discount</v>
      </c>
      <c r="W570" s="15">
        <f>VLOOKUP(D570,Lookup_Table!$A:$C,2,FALSE)</f>
        <v>0.18</v>
      </c>
      <c r="X570" s="15">
        <f t="shared" si="52"/>
        <v>0.325179359872966</v>
      </c>
      <c r="Y570" s="15" t="str">
        <f>VLOOKUP(D570,Lookup_Table!A:C,3,0)</f>
        <v>Amit</v>
      </c>
      <c r="Z570" s="15" t="str">
        <f t="shared" si="53"/>
        <v>Achived</v>
      </c>
    </row>
    <row r="571" spans="1:26">
      <c r="A571" s="13" t="s">
        <v>662</v>
      </c>
      <c r="B571" s="14">
        <v>45682</v>
      </c>
      <c r="C571" s="13" t="s">
        <v>55</v>
      </c>
      <c r="D571" s="13" t="s">
        <v>28</v>
      </c>
      <c r="E571" s="13" t="s">
        <v>90</v>
      </c>
      <c r="F571" s="13" t="s">
        <v>116</v>
      </c>
      <c r="G571" s="13" t="s">
        <v>117</v>
      </c>
      <c r="H571" s="13" t="s">
        <v>32</v>
      </c>
      <c r="I571" s="13" t="s">
        <v>46</v>
      </c>
      <c r="J571" s="13">
        <v>2</v>
      </c>
      <c r="K571" s="13">
        <v>125.36</v>
      </c>
      <c r="L571" s="13">
        <v>0.15</v>
      </c>
      <c r="M571" s="13">
        <v>213.11</v>
      </c>
      <c r="N571" s="13">
        <v>143.8</v>
      </c>
      <c r="O571" s="13">
        <v>69.31</v>
      </c>
      <c r="P571" s="13">
        <v>4.4</v>
      </c>
      <c r="Q571" s="13" t="s">
        <v>64</v>
      </c>
      <c r="R571" s="13">
        <v>2025</v>
      </c>
      <c r="S571" s="15" t="str">
        <f t="shared" si="48"/>
        <v>Low Profit</v>
      </c>
      <c r="T571" s="15" t="str">
        <f t="shared" si="49"/>
        <v>Low Sales</v>
      </c>
      <c r="U571" s="15" t="str">
        <f t="shared" si="50"/>
        <v>Good</v>
      </c>
      <c r="V571" s="15" t="str">
        <f t="shared" si="51"/>
        <v>High Discount</v>
      </c>
      <c r="W571" s="15">
        <f>VLOOKUP(D571,Lookup_Table!$A:$C,2,FALSE)</f>
        <v>0.2</v>
      </c>
      <c r="X571" s="15">
        <f t="shared" si="52"/>
        <v>0.325231101309183</v>
      </c>
      <c r="Y571" s="15" t="str">
        <f>VLOOKUP(D571,Lookup_Table!A:C,3,0)</f>
        <v>Sneha</v>
      </c>
      <c r="Z571" s="15" t="str">
        <f t="shared" si="53"/>
        <v>Achived</v>
      </c>
    </row>
    <row r="572" spans="1:26">
      <c r="A572" s="13" t="s">
        <v>663</v>
      </c>
      <c r="B572" s="14">
        <v>45968</v>
      </c>
      <c r="C572" s="13" t="s">
        <v>36</v>
      </c>
      <c r="D572" s="13" t="s">
        <v>60</v>
      </c>
      <c r="E572" s="13" t="s">
        <v>150</v>
      </c>
      <c r="F572" s="13" t="s">
        <v>30</v>
      </c>
      <c r="G572" s="13" t="s">
        <v>31</v>
      </c>
      <c r="H572" s="13" t="s">
        <v>32</v>
      </c>
      <c r="I572" s="13" t="s">
        <v>96</v>
      </c>
      <c r="J572" s="13">
        <v>2</v>
      </c>
      <c r="K572" s="13">
        <v>108.68</v>
      </c>
      <c r="L572" s="13">
        <v>0.05</v>
      </c>
      <c r="M572" s="13">
        <v>206.49</v>
      </c>
      <c r="N572" s="13">
        <v>139.33</v>
      </c>
      <c r="O572" s="13">
        <v>67.16</v>
      </c>
      <c r="P572" s="13">
        <v>2.5</v>
      </c>
      <c r="Q572" s="13" t="s">
        <v>71</v>
      </c>
      <c r="R572" s="13">
        <v>2025</v>
      </c>
      <c r="S572" s="15" t="str">
        <f t="shared" si="48"/>
        <v>Low Profit</v>
      </c>
      <c r="T572" s="15" t="str">
        <f t="shared" si="49"/>
        <v>Low Sales</v>
      </c>
      <c r="U572" s="15" t="str">
        <f t="shared" si="50"/>
        <v>Needs Improvement</v>
      </c>
      <c r="V572" s="15" t="str">
        <f t="shared" si="51"/>
        <v>Normal Discount</v>
      </c>
      <c r="W572" s="15">
        <f>VLOOKUP(D572,Lookup_Table!$A:$C,2,FALSE)</f>
        <v>0.15</v>
      </c>
      <c r="X572" s="15">
        <f t="shared" si="52"/>
        <v>0.325245774613783</v>
      </c>
      <c r="Y572" s="15" t="str">
        <f>VLOOKUP(D572,Lookup_Table!A:C,3,0)</f>
        <v>Priya</v>
      </c>
      <c r="Z572" s="15" t="str">
        <f t="shared" si="53"/>
        <v>Achived</v>
      </c>
    </row>
    <row r="573" spans="1:26">
      <c r="A573" s="13" t="s">
        <v>664</v>
      </c>
      <c r="B573" s="14">
        <v>45838</v>
      </c>
      <c r="C573" s="13" t="s">
        <v>55</v>
      </c>
      <c r="D573" s="13" t="s">
        <v>44</v>
      </c>
      <c r="E573" s="13" t="s">
        <v>137</v>
      </c>
      <c r="F573" s="13" t="s">
        <v>62</v>
      </c>
      <c r="G573" s="13" t="s">
        <v>63</v>
      </c>
      <c r="H573" s="13" t="s">
        <v>32</v>
      </c>
      <c r="I573" s="13" t="s">
        <v>33</v>
      </c>
      <c r="J573" s="13">
        <v>5</v>
      </c>
      <c r="K573" s="13">
        <v>1416.21</v>
      </c>
      <c r="L573" s="13">
        <v>0.15</v>
      </c>
      <c r="M573" s="13">
        <v>6018.89</v>
      </c>
      <c r="N573" s="13">
        <v>4059.74</v>
      </c>
      <c r="O573" s="13">
        <v>1959.15</v>
      </c>
      <c r="P573" s="13">
        <v>2.5</v>
      </c>
      <c r="Q573" s="13" t="s">
        <v>58</v>
      </c>
      <c r="R573" s="13">
        <v>2025</v>
      </c>
      <c r="S573" s="15" t="str">
        <f t="shared" si="48"/>
        <v>High Profit</v>
      </c>
      <c r="T573" s="15" t="str">
        <f t="shared" si="49"/>
        <v>High Sales</v>
      </c>
      <c r="U573" s="15" t="str">
        <f t="shared" si="50"/>
        <v>Needs Improvement</v>
      </c>
      <c r="V573" s="15" t="str">
        <f t="shared" si="51"/>
        <v>High Discount</v>
      </c>
      <c r="W573" s="15">
        <f>VLOOKUP(D573,Lookup_Table!$A:$C,2,FALSE)</f>
        <v>0.18</v>
      </c>
      <c r="X573" s="15">
        <f t="shared" si="52"/>
        <v>0.325500216817387</v>
      </c>
      <c r="Y573" s="15" t="str">
        <f>VLOOKUP(D573,Lookup_Table!A:C,3,0)</f>
        <v>Amit</v>
      </c>
      <c r="Z573" s="15" t="str">
        <f t="shared" si="53"/>
        <v>Achived</v>
      </c>
    </row>
    <row r="574" spans="1:26">
      <c r="A574" s="13" t="s">
        <v>665</v>
      </c>
      <c r="B574" s="14">
        <v>45933</v>
      </c>
      <c r="C574" s="13" t="s">
        <v>36</v>
      </c>
      <c r="D574" s="13" t="s">
        <v>60</v>
      </c>
      <c r="E574" s="13" t="s">
        <v>61</v>
      </c>
      <c r="F574" s="13" t="s">
        <v>62</v>
      </c>
      <c r="G574" s="13" t="s">
        <v>63</v>
      </c>
      <c r="H574" s="13" t="s">
        <v>32</v>
      </c>
      <c r="I574" s="13" t="s">
        <v>46</v>
      </c>
      <c r="J574" s="13">
        <v>2</v>
      </c>
      <c r="K574" s="13">
        <v>370.44</v>
      </c>
      <c r="L574" s="13">
        <v>0.1</v>
      </c>
      <c r="M574" s="13">
        <v>666.79</v>
      </c>
      <c r="N574" s="13">
        <v>449.64</v>
      </c>
      <c r="O574" s="13">
        <v>217.15</v>
      </c>
      <c r="P574" s="13">
        <v>4.9</v>
      </c>
      <c r="Q574" s="13" t="s">
        <v>87</v>
      </c>
      <c r="R574" s="13">
        <v>2025</v>
      </c>
      <c r="S574" s="15" t="str">
        <f t="shared" si="48"/>
        <v>Low Profit</v>
      </c>
      <c r="T574" s="15" t="str">
        <f t="shared" si="49"/>
        <v>Low Sales</v>
      </c>
      <c r="U574" s="15" t="str">
        <f t="shared" si="50"/>
        <v>Good</v>
      </c>
      <c r="V574" s="15" t="str">
        <f t="shared" si="51"/>
        <v>Normal Discount</v>
      </c>
      <c r="W574" s="15">
        <f>VLOOKUP(D574,Lookup_Table!$A:$C,2,FALSE)</f>
        <v>0.15</v>
      </c>
      <c r="X574" s="15">
        <f t="shared" si="52"/>
        <v>0.325664752020876</v>
      </c>
      <c r="Y574" s="15" t="str">
        <f>VLOOKUP(D574,Lookup_Table!A:C,3,0)</f>
        <v>Priya</v>
      </c>
      <c r="Z574" s="15" t="str">
        <f t="shared" si="53"/>
        <v>Achived</v>
      </c>
    </row>
    <row r="575" spans="1:26">
      <c r="A575" s="13" t="s">
        <v>666</v>
      </c>
      <c r="B575" s="14">
        <v>45956</v>
      </c>
      <c r="C575" s="13" t="s">
        <v>27</v>
      </c>
      <c r="D575" s="13" t="s">
        <v>44</v>
      </c>
      <c r="E575" s="13" t="s">
        <v>143</v>
      </c>
      <c r="F575" s="13" t="s">
        <v>30</v>
      </c>
      <c r="G575" s="13" t="s">
        <v>31</v>
      </c>
      <c r="H575" s="13" t="s">
        <v>32</v>
      </c>
      <c r="I575" s="13" t="s">
        <v>96</v>
      </c>
      <c r="J575" s="13">
        <v>7</v>
      </c>
      <c r="K575" s="13">
        <v>353.6</v>
      </c>
      <c r="L575" s="13">
        <v>0</v>
      </c>
      <c r="M575" s="13">
        <v>2475.2</v>
      </c>
      <c r="N575" s="13">
        <v>1668.38</v>
      </c>
      <c r="O575" s="13">
        <v>806.82</v>
      </c>
      <c r="P575" s="13">
        <v>3.5</v>
      </c>
      <c r="Q575" s="13" t="s">
        <v>87</v>
      </c>
      <c r="R575" s="13">
        <v>2025</v>
      </c>
      <c r="S575" s="15" t="str">
        <f t="shared" si="48"/>
        <v>High Profit</v>
      </c>
      <c r="T575" s="15" t="str">
        <f t="shared" si="49"/>
        <v>High Sales</v>
      </c>
      <c r="U575" s="15" t="str">
        <f t="shared" si="50"/>
        <v>Needs Improvement</v>
      </c>
      <c r="V575" s="15" t="str">
        <f t="shared" si="51"/>
        <v>Normal Discount</v>
      </c>
      <c r="W575" s="15">
        <f>VLOOKUP(D575,Lookup_Table!$A:$C,2,FALSE)</f>
        <v>0.18</v>
      </c>
      <c r="X575" s="15">
        <f t="shared" si="52"/>
        <v>0.325961538461539</v>
      </c>
      <c r="Y575" s="15" t="str">
        <f>VLOOKUP(D575,Lookup_Table!A:C,3,0)</f>
        <v>Amit</v>
      </c>
      <c r="Z575" s="15" t="str">
        <f t="shared" si="53"/>
        <v>Achived</v>
      </c>
    </row>
    <row r="576" spans="1:26">
      <c r="A576" s="13" t="s">
        <v>667</v>
      </c>
      <c r="B576" s="14">
        <v>45794</v>
      </c>
      <c r="C576" s="13" t="s">
        <v>27</v>
      </c>
      <c r="D576" s="13" t="s">
        <v>44</v>
      </c>
      <c r="E576" s="13" t="s">
        <v>45</v>
      </c>
      <c r="F576" s="13" t="s">
        <v>116</v>
      </c>
      <c r="G576" s="13" t="s">
        <v>117</v>
      </c>
      <c r="H576" s="13" t="s">
        <v>32</v>
      </c>
      <c r="I576" s="13" t="s">
        <v>46</v>
      </c>
      <c r="J576" s="13">
        <v>6</v>
      </c>
      <c r="K576" s="13">
        <v>1032.02</v>
      </c>
      <c r="L576" s="13">
        <v>0.15</v>
      </c>
      <c r="M576" s="13">
        <v>5263.3</v>
      </c>
      <c r="N576" s="13">
        <v>3547.48</v>
      </c>
      <c r="O576" s="13">
        <v>1715.82</v>
      </c>
      <c r="P576" s="13">
        <v>4.8</v>
      </c>
      <c r="Q576" s="13" t="s">
        <v>42</v>
      </c>
      <c r="R576" s="13">
        <v>2025</v>
      </c>
      <c r="S576" s="15" t="str">
        <f t="shared" si="48"/>
        <v>High Profit</v>
      </c>
      <c r="T576" s="15" t="str">
        <f t="shared" si="49"/>
        <v>High Sales</v>
      </c>
      <c r="U576" s="15" t="str">
        <f t="shared" si="50"/>
        <v>Good</v>
      </c>
      <c r="V576" s="15" t="str">
        <f t="shared" si="51"/>
        <v>High Discount</v>
      </c>
      <c r="W576" s="15">
        <f>VLOOKUP(D576,Lookup_Table!$A:$C,2,FALSE)</f>
        <v>0.18</v>
      </c>
      <c r="X576" s="15">
        <f t="shared" si="52"/>
        <v>0.325996998081052</v>
      </c>
      <c r="Y576" s="15" t="str">
        <f>VLOOKUP(D576,Lookup_Table!A:C,3,0)</f>
        <v>Amit</v>
      </c>
      <c r="Z576" s="15" t="str">
        <f t="shared" si="53"/>
        <v>Achived</v>
      </c>
    </row>
    <row r="577" spans="1:26">
      <c r="A577" s="13" t="s">
        <v>668</v>
      </c>
      <c r="B577" s="14">
        <v>45907</v>
      </c>
      <c r="C577" s="13" t="s">
        <v>55</v>
      </c>
      <c r="D577" s="13" t="s">
        <v>60</v>
      </c>
      <c r="E577" s="13" t="s">
        <v>150</v>
      </c>
      <c r="F577" s="13" t="s">
        <v>62</v>
      </c>
      <c r="G577" s="13" t="s">
        <v>63</v>
      </c>
      <c r="H577" s="13" t="s">
        <v>32</v>
      </c>
      <c r="I577" s="13" t="s">
        <v>33</v>
      </c>
      <c r="J577" s="13">
        <v>1</v>
      </c>
      <c r="K577" s="13">
        <v>535.87</v>
      </c>
      <c r="L577" s="13">
        <v>0.1</v>
      </c>
      <c r="M577" s="13">
        <v>482.28</v>
      </c>
      <c r="N577" s="13">
        <v>324.86</v>
      </c>
      <c r="O577" s="13">
        <v>157.42</v>
      </c>
      <c r="P577" s="13">
        <v>3.5</v>
      </c>
      <c r="Q577" s="13" t="s">
        <v>53</v>
      </c>
      <c r="R577" s="13">
        <v>2025</v>
      </c>
      <c r="S577" s="15" t="str">
        <f t="shared" si="48"/>
        <v>Low Profit</v>
      </c>
      <c r="T577" s="15" t="str">
        <f t="shared" si="49"/>
        <v>Low Sales</v>
      </c>
      <c r="U577" s="15" t="str">
        <f t="shared" si="50"/>
        <v>Needs Improvement</v>
      </c>
      <c r="V577" s="15" t="str">
        <f t="shared" si="51"/>
        <v>Normal Discount</v>
      </c>
      <c r="W577" s="15">
        <f>VLOOKUP(D577,Lookup_Table!$A:$C,2,FALSE)</f>
        <v>0.15</v>
      </c>
      <c r="X577" s="15">
        <f t="shared" si="52"/>
        <v>0.32640789582815</v>
      </c>
      <c r="Y577" s="15" t="str">
        <f>VLOOKUP(D577,Lookup_Table!A:C,3,0)</f>
        <v>Priya</v>
      </c>
      <c r="Z577" s="15" t="str">
        <f t="shared" si="53"/>
        <v>Achived</v>
      </c>
    </row>
    <row r="578" spans="1:26">
      <c r="A578" s="13" t="s">
        <v>669</v>
      </c>
      <c r="B578" s="14">
        <v>45728</v>
      </c>
      <c r="C578" s="13" t="s">
        <v>55</v>
      </c>
      <c r="D578" s="13" t="s">
        <v>60</v>
      </c>
      <c r="E578" s="13" t="s">
        <v>61</v>
      </c>
      <c r="F578" s="13" t="s">
        <v>82</v>
      </c>
      <c r="G578" s="13" t="s">
        <v>83</v>
      </c>
      <c r="H578" s="13" t="s">
        <v>77</v>
      </c>
      <c r="I578" s="13" t="s">
        <v>52</v>
      </c>
      <c r="J578" s="13">
        <v>1</v>
      </c>
      <c r="K578" s="13">
        <v>752.49</v>
      </c>
      <c r="L578" s="13">
        <v>0.2</v>
      </c>
      <c r="M578" s="13">
        <v>601.99</v>
      </c>
      <c r="N578" s="13">
        <v>405.47</v>
      </c>
      <c r="O578" s="13">
        <v>196.52</v>
      </c>
      <c r="P578" s="13">
        <v>2.8</v>
      </c>
      <c r="Q578" s="13" t="s">
        <v>94</v>
      </c>
      <c r="R578" s="13">
        <v>2025</v>
      </c>
      <c r="S578" s="15" t="str">
        <f t="shared" ref="S578:S641" si="54">IF(O578&gt;500,"High Profit","Low Profit")</f>
        <v>Low Profit</v>
      </c>
      <c r="T578" s="15" t="str">
        <f t="shared" ref="T578:T641" si="55">IF(M578&gt;1000,"High Sales","Low Sales")</f>
        <v>Low Sales</v>
      </c>
      <c r="U578" s="15" t="str">
        <f t="shared" ref="U578:U641" si="56">IF(P578&gt;=4,"Good","Needs Improvement")</f>
        <v>Needs Improvement</v>
      </c>
      <c r="V578" s="15" t="str">
        <f t="shared" ref="V578:V641" si="57">IF(L578&gt;=15%,"High Discount","Normal Discount")</f>
        <v>High Discount</v>
      </c>
      <c r="W578" s="15">
        <f>VLOOKUP(D578,Lookup_Table!$A:$C,2,FALSE)</f>
        <v>0.15</v>
      </c>
      <c r="X578" s="15">
        <f t="shared" ref="X578:X641" si="58">O578/M578</f>
        <v>0.326450605491786</v>
      </c>
      <c r="Y578" s="15" t="str">
        <f>VLOOKUP(D578,Lookup_Table!A:C,3,0)</f>
        <v>Priya</v>
      </c>
      <c r="Z578" s="15" t="str">
        <f t="shared" ref="Z578:Z641" si="59">IF(X578&gt;=W578,"Achived","Not Achieved")</f>
        <v>Achived</v>
      </c>
    </row>
    <row r="579" spans="1:26">
      <c r="A579" s="13" t="s">
        <v>670</v>
      </c>
      <c r="B579" s="14">
        <v>45843</v>
      </c>
      <c r="C579" s="13" t="s">
        <v>55</v>
      </c>
      <c r="D579" s="13" t="s">
        <v>28</v>
      </c>
      <c r="E579" s="13" t="s">
        <v>90</v>
      </c>
      <c r="F579" s="13" t="s">
        <v>116</v>
      </c>
      <c r="G579" s="13" t="s">
        <v>117</v>
      </c>
      <c r="H579" s="13" t="s">
        <v>32</v>
      </c>
      <c r="I579" s="13" t="s">
        <v>96</v>
      </c>
      <c r="J579" s="13">
        <v>7</v>
      </c>
      <c r="K579" s="13">
        <v>47.77</v>
      </c>
      <c r="L579" s="13">
        <v>0.05</v>
      </c>
      <c r="M579" s="13">
        <v>317.67</v>
      </c>
      <c r="N579" s="13">
        <v>213.88</v>
      </c>
      <c r="O579" s="13">
        <v>103.79</v>
      </c>
      <c r="P579" s="13">
        <v>2.8</v>
      </c>
      <c r="Q579" s="13" t="s">
        <v>56</v>
      </c>
      <c r="R579" s="13">
        <v>2025</v>
      </c>
      <c r="S579" s="15" t="str">
        <f t="shared" si="54"/>
        <v>Low Profit</v>
      </c>
      <c r="T579" s="15" t="str">
        <f t="shared" si="55"/>
        <v>Low Sales</v>
      </c>
      <c r="U579" s="15" t="str">
        <f t="shared" si="56"/>
        <v>Needs Improvement</v>
      </c>
      <c r="V579" s="15" t="str">
        <f t="shared" si="57"/>
        <v>Normal Discount</v>
      </c>
      <c r="W579" s="15">
        <f>VLOOKUP(D579,Lookup_Table!$A:$C,2,FALSE)</f>
        <v>0.2</v>
      </c>
      <c r="X579" s="15">
        <f t="shared" si="58"/>
        <v>0.326722699656877</v>
      </c>
      <c r="Y579" s="15" t="str">
        <f>VLOOKUP(D579,Lookup_Table!A:C,3,0)</f>
        <v>Sneha</v>
      </c>
      <c r="Z579" s="15" t="str">
        <f t="shared" si="59"/>
        <v>Achived</v>
      </c>
    </row>
    <row r="580" spans="1:26">
      <c r="A580" s="13" t="s">
        <v>671</v>
      </c>
      <c r="B580" s="14">
        <v>45879</v>
      </c>
      <c r="C580" s="13" t="s">
        <v>27</v>
      </c>
      <c r="D580" s="13" t="s">
        <v>80</v>
      </c>
      <c r="E580" s="13" t="s">
        <v>191</v>
      </c>
      <c r="F580" s="13" t="s">
        <v>111</v>
      </c>
      <c r="G580" s="13" t="s">
        <v>76</v>
      </c>
      <c r="H580" s="13" t="s">
        <v>77</v>
      </c>
      <c r="I580" s="13" t="s">
        <v>52</v>
      </c>
      <c r="J580" s="13">
        <v>5</v>
      </c>
      <c r="K580" s="13">
        <v>15.08</v>
      </c>
      <c r="L580" s="13">
        <v>0.1</v>
      </c>
      <c r="M580" s="13">
        <v>67.86</v>
      </c>
      <c r="N580" s="13">
        <v>45.68</v>
      </c>
      <c r="O580" s="13">
        <v>22.18</v>
      </c>
      <c r="P580" s="13">
        <v>3</v>
      </c>
      <c r="Q580" s="13" t="s">
        <v>47</v>
      </c>
      <c r="R580" s="13">
        <v>2025</v>
      </c>
      <c r="S580" s="15" t="str">
        <f t="shared" si="54"/>
        <v>Low Profit</v>
      </c>
      <c r="T580" s="15" t="str">
        <f t="shared" si="55"/>
        <v>Low Sales</v>
      </c>
      <c r="U580" s="15" t="str">
        <f t="shared" si="56"/>
        <v>Needs Improvement</v>
      </c>
      <c r="V580" s="15" t="str">
        <f t="shared" si="57"/>
        <v>Normal Discount</v>
      </c>
      <c r="W580" s="15">
        <f>VLOOKUP(D580,Lookup_Table!$A:$C,2,FALSE)</f>
        <v>0.12</v>
      </c>
      <c r="X580" s="15">
        <f t="shared" si="58"/>
        <v>0.326849395814913</v>
      </c>
      <c r="Y580" s="15" t="str">
        <f>VLOOKUP(D580,Lookup_Table!A:C,3,0)</f>
        <v>Rahul</v>
      </c>
      <c r="Z580" s="15" t="str">
        <f t="shared" si="59"/>
        <v>Achived</v>
      </c>
    </row>
    <row r="581" spans="1:26">
      <c r="A581" s="13" t="s">
        <v>672</v>
      </c>
      <c r="B581" s="14">
        <v>45849</v>
      </c>
      <c r="C581" s="13" t="s">
        <v>36</v>
      </c>
      <c r="D581" s="13" t="s">
        <v>28</v>
      </c>
      <c r="E581" s="13" t="s">
        <v>73</v>
      </c>
      <c r="F581" s="13" t="s">
        <v>111</v>
      </c>
      <c r="G581" s="13" t="s">
        <v>76</v>
      </c>
      <c r="H581" s="13" t="s">
        <v>77</v>
      </c>
      <c r="I581" s="13" t="s">
        <v>52</v>
      </c>
      <c r="J581" s="13">
        <v>3</v>
      </c>
      <c r="K581" s="13">
        <v>23.12</v>
      </c>
      <c r="L581" s="13">
        <v>0.15</v>
      </c>
      <c r="M581" s="13">
        <v>58.96</v>
      </c>
      <c r="N581" s="13">
        <v>39.68</v>
      </c>
      <c r="O581" s="13">
        <v>19.28</v>
      </c>
      <c r="P581" s="13">
        <v>3.2</v>
      </c>
      <c r="Q581" s="13" t="s">
        <v>56</v>
      </c>
      <c r="R581" s="13">
        <v>2025</v>
      </c>
      <c r="S581" s="15" t="str">
        <f t="shared" si="54"/>
        <v>Low Profit</v>
      </c>
      <c r="T581" s="15" t="str">
        <f t="shared" si="55"/>
        <v>Low Sales</v>
      </c>
      <c r="U581" s="15" t="str">
        <f t="shared" si="56"/>
        <v>Needs Improvement</v>
      </c>
      <c r="V581" s="15" t="str">
        <f t="shared" si="57"/>
        <v>High Discount</v>
      </c>
      <c r="W581" s="15">
        <f>VLOOKUP(D581,Lookup_Table!$A:$C,2,FALSE)</f>
        <v>0.2</v>
      </c>
      <c r="X581" s="15">
        <f t="shared" si="58"/>
        <v>0.327001356852103</v>
      </c>
      <c r="Y581" s="15" t="str">
        <f>VLOOKUP(D581,Lookup_Table!A:C,3,0)</f>
        <v>Sneha</v>
      </c>
      <c r="Z581" s="15" t="str">
        <f t="shared" si="59"/>
        <v>Achived</v>
      </c>
    </row>
    <row r="582" spans="1:26">
      <c r="A582" s="13" t="s">
        <v>673</v>
      </c>
      <c r="B582" s="14">
        <v>45756</v>
      </c>
      <c r="C582" s="13" t="s">
        <v>55</v>
      </c>
      <c r="D582" s="13" t="s">
        <v>28</v>
      </c>
      <c r="E582" s="13" t="s">
        <v>90</v>
      </c>
      <c r="F582" s="13" t="s">
        <v>39</v>
      </c>
      <c r="G582" s="13" t="s">
        <v>40</v>
      </c>
      <c r="H582" s="13" t="s">
        <v>41</v>
      </c>
      <c r="I582" s="13" t="s">
        <v>52</v>
      </c>
      <c r="J582" s="13">
        <v>6</v>
      </c>
      <c r="K582" s="13">
        <v>156.44</v>
      </c>
      <c r="L582" s="13">
        <v>0</v>
      </c>
      <c r="M582" s="13">
        <v>938.64</v>
      </c>
      <c r="N582" s="13">
        <v>631.58</v>
      </c>
      <c r="O582" s="13">
        <v>307.06</v>
      </c>
      <c r="P582" s="13">
        <v>2.9</v>
      </c>
      <c r="Q582" s="13" t="s">
        <v>84</v>
      </c>
      <c r="R582" s="13">
        <v>2025</v>
      </c>
      <c r="S582" s="15" t="str">
        <f t="shared" si="54"/>
        <v>Low Profit</v>
      </c>
      <c r="T582" s="15" t="str">
        <f t="shared" si="55"/>
        <v>Low Sales</v>
      </c>
      <c r="U582" s="15" t="str">
        <f t="shared" si="56"/>
        <v>Needs Improvement</v>
      </c>
      <c r="V582" s="15" t="str">
        <f t="shared" si="57"/>
        <v>Normal Discount</v>
      </c>
      <c r="W582" s="15">
        <f>VLOOKUP(D582,Lookup_Table!$A:$C,2,FALSE)</f>
        <v>0.2</v>
      </c>
      <c r="X582" s="15">
        <f t="shared" si="58"/>
        <v>0.327132873092986</v>
      </c>
      <c r="Y582" s="15" t="str">
        <f>VLOOKUP(D582,Lookup_Table!A:C,3,0)</f>
        <v>Sneha</v>
      </c>
      <c r="Z582" s="15" t="str">
        <f t="shared" si="59"/>
        <v>Achived</v>
      </c>
    </row>
    <row r="583" spans="1:26">
      <c r="A583" s="13" t="s">
        <v>674</v>
      </c>
      <c r="B583" s="14">
        <v>45819</v>
      </c>
      <c r="C583" s="13" t="s">
        <v>36</v>
      </c>
      <c r="D583" s="13" t="s">
        <v>80</v>
      </c>
      <c r="E583" s="13" t="s">
        <v>101</v>
      </c>
      <c r="F583" s="13" t="s">
        <v>50</v>
      </c>
      <c r="G583" s="13" t="s">
        <v>51</v>
      </c>
      <c r="H583" s="13" t="s">
        <v>32</v>
      </c>
      <c r="I583" s="13" t="s">
        <v>33</v>
      </c>
      <c r="J583" s="13">
        <v>7</v>
      </c>
      <c r="K583" s="13">
        <v>78.16</v>
      </c>
      <c r="L583" s="13">
        <v>0.1</v>
      </c>
      <c r="M583" s="13">
        <v>492.41</v>
      </c>
      <c r="N583" s="13">
        <v>331.23</v>
      </c>
      <c r="O583" s="13">
        <v>161.18</v>
      </c>
      <c r="P583" s="13">
        <v>2.7</v>
      </c>
      <c r="Q583" s="13" t="s">
        <v>58</v>
      </c>
      <c r="R583" s="13">
        <v>2025</v>
      </c>
      <c r="S583" s="15" t="str">
        <f t="shared" si="54"/>
        <v>Low Profit</v>
      </c>
      <c r="T583" s="15" t="str">
        <f t="shared" si="55"/>
        <v>Low Sales</v>
      </c>
      <c r="U583" s="15" t="str">
        <f t="shared" si="56"/>
        <v>Needs Improvement</v>
      </c>
      <c r="V583" s="15" t="str">
        <f t="shared" si="57"/>
        <v>Normal Discount</v>
      </c>
      <c r="W583" s="15">
        <f>VLOOKUP(D583,Lookup_Table!$A:$C,2,FALSE)</f>
        <v>0.12</v>
      </c>
      <c r="X583" s="15">
        <f t="shared" si="58"/>
        <v>0.327328851972949</v>
      </c>
      <c r="Y583" s="15" t="str">
        <f>VLOOKUP(D583,Lookup_Table!A:C,3,0)</f>
        <v>Rahul</v>
      </c>
      <c r="Z583" s="15" t="str">
        <f t="shared" si="59"/>
        <v>Achived</v>
      </c>
    </row>
    <row r="584" spans="1:26">
      <c r="A584" s="13" t="s">
        <v>675</v>
      </c>
      <c r="B584" s="14">
        <v>45770</v>
      </c>
      <c r="C584" s="13" t="s">
        <v>27</v>
      </c>
      <c r="D584" s="13" t="s">
        <v>60</v>
      </c>
      <c r="E584" s="13" t="s">
        <v>127</v>
      </c>
      <c r="F584" s="13" t="s">
        <v>75</v>
      </c>
      <c r="G584" s="13" t="s">
        <v>76</v>
      </c>
      <c r="H584" s="13" t="s">
        <v>77</v>
      </c>
      <c r="I584" s="13" t="s">
        <v>96</v>
      </c>
      <c r="J584" s="13">
        <v>4</v>
      </c>
      <c r="K584" s="13">
        <v>67.12</v>
      </c>
      <c r="L584" s="13">
        <v>0.15</v>
      </c>
      <c r="M584" s="13">
        <v>228.21</v>
      </c>
      <c r="N584" s="13">
        <v>153.45</v>
      </c>
      <c r="O584" s="13">
        <v>74.76</v>
      </c>
      <c r="P584" s="13">
        <v>4.9</v>
      </c>
      <c r="Q584" s="13" t="s">
        <v>84</v>
      </c>
      <c r="R584" s="13">
        <v>2025</v>
      </c>
      <c r="S584" s="15" t="str">
        <f t="shared" si="54"/>
        <v>Low Profit</v>
      </c>
      <c r="T584" s="15" t="str">
        <f t="shared" si="55"/>
        <v>Low Sales</v>
      </c>
      <c r="U584" s="15" t="str">
        <f t="shared" si="56"/>
        <v>Good</v>
      </c>
      <c r="V584" s="15" t="str">
        <f t="shared" si="57"/>
        <v>High Discount</v>
      </c>
      <c r="W584" s="15">
        <f>VLOOKUP(D584,Lookup_Table!$A:$C,2,FALSE)</f>
        <v>0.15</v>
      </c>
      <c r="X584" s="15">
        <f t="shared" si="58"/>
        <v>0.327593006441436</v>
      </c>
      <c r="Y584" s="15" t="str">
        <f>VLOOKUP(D584,Lookup_Table!A:C,3,0)</f>
        <v>Priya</v>
      </c>
      <c r="Z584" s="15" t="str">
        <f t="shared" si="59"/>
        <v>Achived</v>
      </c>
    </row>
    <row r="585" spans="1:26">
      <c r="A585" s="13" t="s">
        <v>676</v>
      </c>
      <c r="B585" s="14">
        <v>45663</v>
      </c>
      <c r="C585" s="13" t="s">
        <v>27</v>
      </c>
      <c r="D585" s="13" t="s">
        <v>60</v>
      </c>
      <c r="E585" s="13" t="s">
        <v>150</v>
      </c>
      <c r="F585" s="13" t="s">
        <v>67</v>
      </c>
      <c r="G585" s="13" t="s">
        <v>68</v>
      </c>
      <c r="H585" s="13" t="s">
        <v>69</v>
      </c>
      <c r="I585" s="13" t="s">
        <v>52</v>
      </c>
      <c r="J585" s="13">
        <v>2</v>
      </c>
      <c r="K585" s="13">
        <v>626.06</v>
      </c>
      <c r="L585" s="13">
        <v>0.05</v>
      </c>
      <c r="M585" s="13">
        <v>1189.51</v>
      </c>
      <c r="N585" s="13">
        <v>799.34</v>
      </c>
      <c r="O585" s="13">
        <v>390.17</v>
      </c>
      <c r="P585" s="13">
        <v>2.6</v>
      </c>
      <c r="Q585" s="13" t="s">
        <v>64</v>
      </c>
      <c r="R585" s="13">
        <v>2025</v>
      </c>
      <c r="S585" s="15" t="str">
        <f t="shared" si="54"/>
        <v>Low Profit</v>
      </c>
      <c r="T585" s="15" t="str">
        <f t="shared" si="55"/>
        <v>High Sales</v>
      </c>
      <c r="U585" s="15" t="str">
        <f t="shared" si="56"/>
        <v>Needs Improvement</v>
      </c>
      <c r="V585" s="15" t="str">
        <f t="shared" si="57"/>
        <v>Normal Discount</v>
      </c>
      <c r="W585" s="15">
        <f>VLOOKUP(D585,Lookup_Table!$A:$C,2,FALSE)</f>
        <v>0.15</v>
      </c>
      <c r="X585" s="15">
        <f t="shared" si="58"/>
        <v>0.328009012114232</v>
      </c>
      <c r="Y585" s="15" t="str">
        <f>VLOOKUP(D585,Lookup_Table!A:C,3,0)</f>
        <v>Priya</v>
      </c>
      <c r="Z585" s="15" t="str">
        <f t="shared" si="59"/>
        <v>Achived</v>
      </c>
    </row>
    <row r="586" spans="1:26">
      <c r="A586" s="13" t="s">
        <v>677</v>
      </c>
      <c r="B586" s="14">
        <v>46018</v>
      </c>
      <c r="C586" s="13" t="s">
        <v>27</v>
      </c>
      <c r="D586" s="13" t="s">
        <v>80</v>
      </c>
      <c r="E586" s="13" t="s">
        <v>191</v>
      </c>
      <c r="F586" s="13" t="s">
        <v>111</v>
      </c>
      <c r="G586" s="13" t="s">
        <v>76</v>
      </c>
      <c r="H586" s="13" t="s">
        <v>77</v>
      </c>
      <c r="I586" s="13" t="s">
        <v>46</v>
      </c>
      <c r="J586" s="13">
        <v>4</v>
      </c>
      <c r="K586" s="13">
        <v>20.45</v>
      </c>
      <c r="L586" s="13">
        <v>0.1</v>
      </c>
      <c r="M586" s="13">
        <v>73.62</v>
      </c>
      <c r="N586" s="13">
        <v>49.43</v>
      </c>
      <c r="O586" s="13">
        <v>24.19</v>
      </c>
      <c r="P586" s="13">
        <v>3.7</v>
      </c>
      <c r="Q586" s="13" t="s">
        <v>34</v>
      </c>
      <c r="R586" s="13">
        <v>2025</v>
      </c>
      <c r="S586" s="15" t="str">
        <f t="shared" si="54"/>
        <v>Low Profit</v>
      </c>
      <c r="T586" s="15" t="str">
        <f t="shared" si="55"/>
        <v>Low Sales</v>
      </c>
      <c r="U586" s="15" t="str">
        <f t="shared" si="56"/>
        <v>Needs Improvement</v>
      </c>
      <c r="V586" s="15" t="str">
        <f t="shared" si="57"/>
        <v>Normal Discount</v>
      </c>
      <c r="W586" s="15">
        <f>VLOOKUP(D586,Lookup_Table!$A:$C,2,FALSE)</f>
        <v>0.12</v>
      </c>
      <c r="X586" s="15">
        <f t="shared" si="58"/>
        <v>0.328579190437381</v>
      </c>
      <c r="Y586" s="15" t="str">
        <f>VLOOKUP(D586,Lookup_Table!A:C,3,0)</f>
        <v>Rahul</v>
      </c>
      <c r="Z586" s="15" t="str">
        <f t="shared" si="59"/>
        <v>Achived</v>
      </c>
    </row>
    <row r="587" spans="1:26">
      <c r="A587" s="13" t="s">
        <v>678</v>
      </c>
      <c r="B587" s="14">
        <v>46000</v>
      </c>
      <c r="C587" s="13" t="s">
        <v>27</v>
      </c>
      <c r="D587" s="13" t="s">
        <v>28</v>
      </c>
      <c r="E587" s="13" t="s">
        <v>49</v>
      </c>
      <c r="F587" s="13" t="s">
        <v>98</v>
      </c>
      <c r="G587" s="13" t="s">
        <v>99</v>
      </c>
      <c r="H587" s="13" t="s">
        <v>77</v>
      </c>
      <c r="I587" s="13" t="s">
        <v>33</v>
      </c>
      <c r="J587" s="13">
        <v>7</v>
      </c>
      <c r="K587" s="13">
        <v>39.28</v>
      </c>
      <c r="L587" s="13">
        <v>0.05</v>
      </c>
      <c r="M587" s="13">
        <v>261.21</v>
      </c>
      <c r="N587" s="13">
        <v>175.38</v>
      </c>
      <c r="O587" s="13">
        <v>85.83</v>
      </c>
      <c r="P587" s="13">
        <v>3.5</v>
      </c>
      <c r="Q587" s="13" t="s">
        <v>34</v>
      </c>
      <c r="R587" s="13">
        <v>2025</v>
      </c>
      <c r="S587" s="15" t="str">
        <f t="shared" si="54"/>
        <v>Low Profit</v>
      </c>
      <c r="T587" s="15" t="str">
        <f t="shared" si="55"/>
        <v>Low Sales</v>
      </c>
      <c r="U587" s="15" t="str">
        <f t="shared" si="56"/>
        <v>Needs Improvement</v>
      </c>
      <c r="V587" s="15" t="str">
        <f t="shared" si="57"/>
        <v>Normal Discount</v>
      </c>
      <c r="W587" s="15">
        <f>VLOOKUP(D587,Lookup_Table!$A:$C,2,FALSE)</f>
        <v>0.2</v>
      </c>
      <c r="X587" s="15">
        <f t="shared" si="58"/>
        <v>0.328586195015505</v>
      </c>
      <c r="Y587" s="15" t="str">
        <f>VLOOKUP(D587,Lookup_Table!A:C,3,0)</f>
        <v>Sneha</v>
      </c>
      <c r="Z587" s="15" t="str">
        <f t="shared" si="59"/>
        <v>Achived</v>
      </c>
    </row>
    <row r="588" spans="1:26">
      <c r="A588" s="13" t="s">
        <v>679</v>
      </c>
      <c r="B588" s="14">
        <v>45775</v>
      </c>
      <c r="C588" s="13" t="s">
        <v>55</v>
      </c>
      <c r="D588" s="13" t="s">
        <v>28</v>
      </c>
      <c r="E588" s="13" t="s">
        <v>90</v>
      </c>
      <c r="F588" s="13" t="s">
        <v>116</v>
      </c>
      <c r="G588" s="13" t="s">
        <v>117</v>
      </c>
      <c r="H588" s="13" t="s">
        <v>32</v>
      </c>
      <c r="I588" s="13" t="s">
        <v>96</v>
      </c>
      <c r="J588" s="13">
        <v>3</v>
      </c>
      <c r="K588" s="13">
        <v>73.13</v>
      </c>
      <c r="L588" s="13">
        <v>0.15</v>
      </c>
      <c r="M588" s="13">
        <v>186.48</v>
      </c>
      <c r="N588" s="13">
        <v>125.19</v>
      </c>
      <c r="O588" s="13">
        <v>61.29</v>
      </c>
      <c r="P588" s="13">
        <v>3.8</v>
      </c>
      <c r="Q588" s="13" t="s">
        <v>84</v>
      </c>
      <c r="R588" s="13">
        <v>2025</v>
      </c>
      <c r="S588" s="15" t="str">
        <f t="shared" si="54"/>
        <v>Low Profit</v>
      </c>
      <c r="T588" s="15" t="str">
        <f t="shared" si="55"/>
        <v>Low Sales</v>
      </c>
      <c r="U588" s="15" t="str">
        <f t="shared" si="56"/>
        <v>Needs Improvement</v>
      </c>
      <c r="V588" s="15" t="str">
        <f t="shared" si="57"/>
        <v>High Discount</v>
      </c>
      <c r="W588" s="15">
        <f>VLOOKUP(D588,Lookup_Table!$A:$C,2,FALSE)</f>
        <v>0.2</v>
      </c>
      <c r="X588" s="15">
        <f t="shared" si="58"/>
        <v>0.328667953667954</v>
      </c>
      <c r="Y588" s="15" t="str">
        <f>VLOOKUP(D588,Lookup_Table!A:C,3,0)</f>
        <v>Sneha</v>
      </c>
      <c r="Z588" s="15" t="str">
        <f t="shared" si="59"/>
        <v>Achived</v>
      </c>
    </row>
    <row r="589" spans="1:26">
      <c r="A589" s="13" t="s">
        <v>680</v>
      </c>
      <c r="B589" s="14">
        <v>45787</v>
      </c>
      <c r="C589" s="13" t="s">
        <v>27</v>
      </c>
      <c r="D589" s="13" t="s">
        <v>37</v>
      </c>
      <c r="E589" s="13" t="s">
        <v>86</v>
      </c>
      <c r="F589" s="13" t="s">
        <v>67</v>
      </c>
      <c r="G589" s="13" t="s">
        <v>68</v>
      </c>
      <c r="H589" s="13" t="s">
        <v>69</v>
      </c>
      <c r="I589" s="13" t="s">
        <v>96</v>
      </c>
      <c r="J589" s="13">
        <v>2</v>
      </c>
      <c r="K589" s="13">
        <v>443.43</v>
      </c>
      <c r="L589" s="13">
        <v>0</v>
      </c>
      <c r="M589" s="13">
        <v>886.86</v>
      </c>
      <c r="N589" s="13">
        <v>595.17</v>
      </c>
      <c r="O589" s="13">
        <v>291.69</v>
      </c>
      <c r="P589" s="13">
        <v>4.3</v>
      </c>
      <c r="Q589" s="13" t="s">
        <v>42</v>
      </c>
      <c r="R589" s="13">
        <v>2025</v>
      </c>
      <c r="S589" s="15" t="str">
        <f t="shared" si="54"/>
        <v>Low Profit</v>
      </c>
      <c r="T589" s="15" t="str">
        <f t="shared" si="55"/>
        <v>Low Sales</v>
      </c>
      <c r="U589" s="15" t="str">
        <f t="shared" si="56"/>
        <v>Good</v>
      </c>
      <c r="V589" s="15" t="str">
        <f t="shared" si="57"/>
        <v>Normal Discount</v>
      </c>
      <c r="W589" s="15">
        <f>VLOOKUP(D589,Lookup_Table!$A:$C,2,FALSE)</f>
        <v>0.16</v>
      </c>
      <c r="X589" s="15">
        <f t="shared" si="58"/>
        <v>0.328901968743657</v>
      </c>
      <c r="Y589" s="15" t="str">
        <f>VLOOKUP(D589,Lookup_Table!A:C,3,0)</f>
        <v>Vikram</v>
      </c>
      <c r="Z589" s="15" t="str">
        <f t="shared" si="59"/>
        <v>Achived</v>
      </c>
    </row>
    <row r="590" spans="1:26">
      <c r="A590" s="13" t="s">
        <v>681</v>
      </c>
      <c r="B590" s="14">
        <v>45862</v>
      </c>
      <c r="C590" s="13" t="s">
        <v>27</v>
      </c>
      <c r="D590" s="13" t="s">
        <v>80</v>
      </c>
      <c r="E590" s="13" t="s">
        <v>81</v>
      </c>
      <c r="F590" s="13" t="s">
        <v>98</v>
      </c>
      <c r="G590" s="13" t="s">
        <v>99</v>
      </c>
      <c r="H590" s="13" t="s">
        <v>77</v>
      </c>
      <c r="I590" s="13" t="s">
        <v>33</v>
      </c>
      <c r="J590" s="13">
        <v>3</v>
      </c>
      <c r="K590" s="13">
        <v>54.99</v>
      </c>
      <c r="L590" s="13">
        <v>0.15</v>
      </c>
      <c r="M590" s="13">
        <v>140.22</v>
      </c>
      <c r="N590" s="13">
        <v>94.08</v>
      </c>
      <c r="O590" s="13">
        <v>46.14</v>
      </c>
      <c r="P590" s="13">
        <v>4.6</v>
      </c>
      <c r="Q590" s="13" t="s">
        <v>56</v>
      </c>
      <c r="R590" s="13">
        <v>2025</v>
      </c>
      <c r="S590" s="15" t="str">
        <f t="shared" si="54"/>
        <v>Low Profit</v>
      </c>
      <c r="T590" s="15" t="str">
        <f t="shared" si="55"/>
        <v>Low Sales</v>
      </c>
      <c r="U590" s="15" t="str">
        <f t="shared" si="56"/>
        <v>Good</v>
      </c>
      <c r="V590" s="15" t="str">
        <f t="shared" si="57"/>
        <v>High Discount</v>
      </c>
      <c r="W590" s="15">
        <f>VLOOKUP(D590,Lookup_Table!$A:$C,2,FALSE)</f>
        <v>0.12</v>
      </c>
      <c r="X590" s="15">
        <f t="shared" si="58"/>
        <v>0.329054343175011</v>
      </c>
      <c r="Y590" s="15" t="str">
        <f>VLOOKUP(D590,Lookup_Table!A:C,3,0)</f>
        <v>Rahul</v>
      </c>
      <c r="Z590" s="15" t="str">
        <f t="shared" si="59"/>
        <v>Achived</v>
      </c>
    </row>
    <row r="591" spans="1:26">
      <c r="A591" s="13" t="s">
        <v>682</v>
      </c>
      <c r="B591" s="14">
        <v>45733</v>
      </c>
      <c r="C591" s="13" t="s">
        <v>36</v>
      </c>
      <c r="D591" s="13" t="s">
        <v>80</v>
      </c>
      <c r="E591" s="13" t="s">
        <v>101</v>
      </c>
      <c r="F591" s="13" t="s">
        <v>82</v>
      </c>
      <c r="G591" s="13" t="s">
        <v>83</v>
      </c>
      <c r="H591" s="13" t="s">
        <v>77</v>
      </c>
      <c r="I591" s="13" t="s">
        <v>46</v>
      </c>
      <c r="J591" s="13">
        <v>2</v>
      </c>
      <c r="K591" s="13">
        <v>73.19</v>
      </c>
      <c r="L591" s="13">
        <v>0.15</v>
      </c>
      <c r="M591" s="13">
        <v>124.42</v>
      </c>
      <c r="N591" s="13">
        <v>83.47</v>
      </c>
      <c r="O591" s="13">
        <v>40.95</v>
      </c>
      <c r="P591" s="13">
        <v>3.1</v>
      </c>
      <c r="Q591" s="13" t="s">
        <v>94</v>
      </c>
      <c r="R591" s="13">
        <v>2025</v>
      </c>
      <c r="S591" s="15" t="str">
        <f t="shared" si="54"/>
        <v>Low Profit</v>
      </c>
      <c r="T591" s="15" t="str">
        <f t="shared" si="55"/>
        <v>Low Sales</v>
      </c>
      <c r="U591" s="15" t="str">
        <f t="shared" si="56"/>
        <v>Needs Improvement</v>
      </c>
      <c r="V591" s="15" t="str">
        <f t="shared" si="57"/>
        <v>High Discount</v>
      </c>
      <c r="W591" s="15">
        <f>VLOOKUP(D591,Lookup_Table!$A:$C,2,FALSE)</f>
        <v>0.12</v>
      </c>
      <c r="X591" s="15">
        <f t="shared" si="58"/>
        <v>0.329127149975888</v>
      </c>
      <c r="Y591" s="15" t="str">
        <f>VLOOKUP(D591,Lookup_Table!A:C,3,0)</f>
        <v>Rahul</v>
      </c>
      <c r="Z591" s="15" t="str">
        <f t="shared" si="59"/>
        <v>Achived</v>
      </c>
    </row>
    <row r="592" spans="1:26">
      <c r="A592" s="13" t="s">
        <v>683</v>
      </c>
      <c r="B592" s="14">
        <v>45686</v>
      </c>
      <c r="C592" s="13" t="s">
        <v>27</v>
      </c>
      <c r="D592" s="13" t="s">
        <v>44</v>
      </c>
      <c r="E592" s="13" t="s">
        <v>137</v>
      </c>
      <c r="F592" s="13" t="s">
        <v>30</v>
      </c>
      <c r="G592" s="13" t="s">
        <v>31</v>
      </c>
      <c r="H592" s="13" t="s">
        <v>32</v>
      </c>
      <c r="I592" s="13" t="s">
        <v>96</v>
      </c>
      <c r="J592" s="13">
        <v>2</v>
      </c>
      <c r="K592" s="13">
        <v>704.18</v>
      </c>
      <c r="L592" s="13">
        <v>0.1</v>
      </c>
      <c r="M592" s="13">
        <v>1267.52</v>
      </c>
      <c r="N592" s="13">
        <v>849.3</v>
      </c>
      <c r="O592" s="13">
        <v>418.22</v>
      </c>
      <c r="P592" s="13">
        <v>2.7</v>
      </c>
      <c r="Q592" s="13" t="s">
        <v>64</v>
      </c>
      <c r="R592" s="13">
        <v>2025</v>
      </c>
      <c r="S592" s="15" t="str">
        <f t="shared" si="54"/>
        <v>Low Profit</v>
      </c>
      <c r="T592" s="15" t="str">
        <f t="shared" si="55"/>
        <v>High Sales</v>
      </c>
      <c r="U592" s="15" t="str">
        <f t="shared" si="56"/>
        <v>Needs Improvement</v>
      </c>
      <c r="V592" s="15" t="str">
        <f t="shared" si="57"/>
        <v>Normal Discount</v>
      </c>
      <c r="W592" s="15">
        <f>VLOOKUP(D592,Lookup_Table!$A:$C,2,FALSE)</f>
        <v>0.18</v>
      </c>
      <c r="X592" s="15">
        <f t="shared" si="58"/>
        <v>0.329951401161323</v>
      </c>
      <c r="Y592" s="15" t="str">
        <f>VLOOKUP(D592,Lookup_Table!A:C,3,0)</f>
        <v>Amit</v>
      </c>
      <c r="Z592" s="15" t="str">
        <f t="shared" si="59"/>
        <v>Achived</v>
      </c>
    </row>
    <row r="593" spans="1:26">
      <c r="A593" s="13" t="s">
        <v>684</v>
      </c>
      <c r="B593" s="14">
        <v>45712</v>
      </c>
      <c r="C593" s="13" t="s">
        <v>55</v>
      </c>
      <c r="D593" s="13" t="s">
        <v>28</v>
      </c>
      <c r="E593" s="13" t="s">
        <v>49</v>
      </c>
      <c r="F593" s="13" t="s">
        <v>67</v>
      </c>
      <c r="G593" s="13" t="s">
        <v>68</v>
      </c>
      <c r="H593" s="13" t="s">
        <v>69</v>
      </c>
      <c r="I593" s="13" t="s">
        <v>33</v>
      </c>
      <c r="J593" s="13">
        <v>3</v>
      </c>
      <c r="K593" s="13">
        <v>35.34</v>
      </c>
      <c r="L593" s="13">
        <v>0.15</v>
      </c>
      <c r="M593" s="13">
        <v>90.12</v>
      </c>
      <c r="N593" s="13">
        <v>60.37</v>
      </c>
      <c r="O593" s="13">
        <v>29.75</v>
      </c>
      <c r="P593" s="13">
        <v>3.3</v>
      </c>
      <c r="Q593" s="13" t="s">
        <v>105</v>
      </c>
      <c r="R593" s="13">
        <v>2025</v>
      </c>
      <c r="S593" s="15" t="str">
        <f t="shared" si="54"/>
        <v>Low Profit</v>
      </c>
      <c r="T593" s="15" t="str">
        <f t="shared" si="55"/>
        <v>Low Sales</v>
      </c>
      <c r="U593" s="15" t="str">
        <f t="shared" si="56"/>
        <v>Needs Improvement</v>
      </c>
      <c r="V593" s="15" t="str">
        <f t="shared" si="57"/>
        <v>High Discount</v>
      </c>
      <c r="W593" s="15">
        <f>VLOOKUP(D593,Lookup_Table!$A:$C,2,FALSE)</f>
        <v>0.2</v>
      </c>
      <c r="X593" s="15">
        <f t="shared" si="58"/>
        <v>0.33011540168664</v>
      </c>
      <c r="Y593" s="15" t="str">
        <f>VLOOKUP(D593,Lookup_Table!A:C,3,0)</f>
        <v>Sneha</v>
      </c>
      <c r="Z593" s="15" t="str">
        <f t="shared" si="59"/>
        <v>Achived</v>
      </c>
    </row>
    <row r="594" spans="1:26">
      <c r="A594" s="13" t="s">
        <v>685</v>
      </c>
      <c r="B594" s="14">
        <v>45820</v>
      </c>
      <c r="C594" s="13" t="s">
        <v>55</v>
      </c>
      <c r="D594" s="13" t="s">
        <v>44</v>
      </c>
      <c r="E594" s="13" t="s">
        <v>45</v>
      </c>
      <c r="F594" s="13" t="s">
        <v>30</v>
      </c>
      <c r="G594" s="13" t="s">
        <v>31</v>
      </c>
      <c r="H594" s="13" t="s">
        <v>32</v>
      </c>
      <c r="I594" s="13" t="s">
        <v>46</v>
      </c>
      <c r="J594" s="13">
        <v>7</v>
      </c>
      <c r="K594" s="13">
        <v>357.55</v>
      </c>
      <c r="L594" s="13">
        <v>0.1</v>
      </c>
      <c r="M594" s="13">
        <v>2252.56</v>
      </c>
      <c r="N594" s="13">
        <v>1508.03</v>
      </c>
      <c r="O594" s="13">
        <v>744.53</v>
      </c>
      <c r="P594" s="13">
        <v>4.7</v>
      </c>
      <c r="Q594" s="13" t="s">
        <v>58</v>
      </c>
      <c r="R594" s="13">
        <v>2025</v>
      </c>
      <c r="S594" s="15" t="str">
        <f t="shared" si="54"/>
        <v>High Profit</v>
      </c>
      <c r="T594" s="15" t="str">
        <f t="shared" si="55"/>
        <v>High Sales</v>
      </c>
      <c r="U594" s="15" t="str">
        <f t="shared" si="56"/>
        <v>Good</v>
      </c>
      <c r="V594" s="15" t="str">
        <f t="shared" si="57"/>
        <v>Normal Discount</v>
      </c>
      <c r="W594" s="15">
        <f>VLOOKUP(D594,Lookup_Table!$A:$C,2,FALSE)</f>
        <v>0.18</v>
      </c>
      <c r="X594" s="15">
        <f t="shared" si="58"/>
        <v>0.33052615690592</v>
      </c>
      <c r="Y594" s="15" t="str">
        <f>VLOOKUP(D594,Lookup_Table!A:C,3,0)</f>
        <v>Amit</v>
      </c>
      <c r="Z594" s="15" t="str">
        <f t="shared" si="59"/>
        <v>Achived</v>
      </c>
    </row>
    <row r="595" spans="1:26">
      <c r="A595" s="13" t="s">
        <v>686</v>
      </c>
      <c r="B595" s="14">
        <v>45959</v>
      </c>
      <c r="C595" s="13" t="s">
        <v>27</v>
      </c>
      <c r="D595" s="13" t="s">
        <v>37</v>
      </c>
      <c r="E595" s="13" t="s">
        <v>86</v>
      </c>
      <c r="F595" s="13" t="s">
        <v>82</v>
      </c>
      <c r="G595" s="13" t="s">
        <v>83</v>
      </c>
      <c r="H595" s="13" t="s">
        <v>77</v>
      </c>
      <c r="I595" s="13" t="s">
        <v>46</v>
      </c>
      <c r="J595" s="13">
        <v>7</v>
      </c>
      <c r="K595" s="13">
        <v>226.29</v>
      </c>
      <c r="L595" s="13">
        <v>0.05</v>
      </c>
      <c r="M595" s="13">
        <v>1504.83</v>
      </c>
      <c r="N595" s="13">
        <v>1007.01</v>
      </c>
      <c r="O595" s="13">
        <v>497.82</v>
      </c>
      <c r="P595" s="13">
        <v>2.8</v>
      </c>
      <c r="Q595" s="13" t="s">
        <v>87</v>
      </c>
      <c r="R595" s="13">
        <v>2025</v>
      </c>
      <c r="S595" s="15" t="str">
        <f t="shared" si="54"/>
        <v>Low Profit</v>
      </c>
      <c r="T595" s="15" t="str">
        <f t="shared" si="55"/>
        <v>High Sales</v>
      </c>
      <c r="U595" s="15" t="str">
        <f t="shared" si="56"/>
        <v>Needs Improvement</v>
      </c>
      <c r="V595" s="15" t="str">
        <f t="shared" si="57"/>
        <v>Normal Discount</v>
      </c>
      <c r="W595" s="15">
        <f>VLOOKUP(D595,Lookup_Table!$A:$C,2,FALSE)</f>
        <v>0.16</v>
      </c>
      <c r="X595" s="15">
        <f t="shared" si="58"/>
        <v>0.330814776419928</v>
      </c>
      <c r="Y595" s="15" t="str">
        <f>VLOOKUP(D595,Lookup_Table!A:C,3,0)</f>
        <v>Vikram</v>
      </c>
      <c r="Z595" s="15" t="str">
        <f t="shared" si="59"/>
        <v>Achived</v>
      </c>
    </row>
    <row r="596" spans="1:26">
      <c r="A596" s="13" t="s">
        <v>687</v>
      </c>
      <c r="B596" s="14">
        <v>45761</v>
      </c>
      <c r="C596" s="13" t="s">
        <v>36</v>
      </c>
      <c r="D596" s="13" t="s">
        <v>80</v>
      </c>
      <c r="E596" s="13" t="s">
        <v>81</v>
      </c>
      <c r="F596" s="13" t="s">
        <v>62</v>
      </c>
      <c r="G596" s="13" t="s">
        <v>63</v>
      </c>
      <c r="H596" s="13" t="s">
        <v>32</v>
      </c>
      <c r="I596" s="13" t="s">
        <v>46</v>
      </c>
      <c r="J596" s="13">
        <v>6</v>
      </c>
      <c r="K596" s="13">
        <v>18.93</v>
      </c>
      <c r="L596" s="13">
        <v>0</v>
      </c>
      <c r="M596" s="13">
        <v>113.58</v>
      </c>
      <c r="N596" s="13">
        <v>76</v>
      </c>
      <c r="O596" s="13">
        <v>37.58</v>
      </c>
      <c r="P596" s="13">
        <v>2.8</v>
      </c>
      <c r="Q596" s="13" t="s">
        <v>84</v>
      </c>
      <c r="R596" s="13">
        <v>2025</v>
      </c>
      <c r="S596" s="15" t="str">
        <f t="shared" si="54"/>
        <v>Low Profit</v>
      </c>
      <c r="T596" s="15" t="str">
        <f t="shared" si="55"/>
        <v>Low Sales</v>
      </c>
      <c r="U596" s="15" t="str">
        <f t="shared" si="56"/>
        <v>Needs Improvement</v>
      </c>
      <c r="V596" s="15" t="str">
        <f t="shared" si="57"/>
        <v>Normal Discount</v>
      </c>
      <c r="W596" s="15">
        <f>VLOOKUP(D596,Lookup_Table!$A:$C,2,FALSE)</f>
        <v>0.12</v>
      </c>
      <c r="X596" s="15">
        <f t="shared" si="58"/>
        <v>0.330868110582849</v>
      </c>
      <c r="Y596" s="15" t="str">
        <f>VLOOKUP(D596,Lookup_Table!A:C,3,0)</f>
        <v>Rahul</v>
      </c>
      <c r="Z596" s="15" t="str">
        <f t="shared" si="59"/>
        <v>Achived</v>
      </c>
    </row>
    <row r="597" spans="1:26">
      <c r="A597" s="13" t="s">
        <v>688</v>
      </c>
      <c r="B597" s="14">
        <v>45863</v>
      </c>
      <c r="C597" s="13" t="s">
        <v>27</v>
      </c>
      <c r="D597" s="13" t="s">
        <v>60</v>
      </c>
      <c r="E597" s="13" t="s">
        <v>127</v>
      </c>
      <c r="F597" s="13" t="s">
        <v>50</v>
      </c>
      <c r="G597" s="13" t="s">
        <v>51</v>
      </c>
      <c r="H597" s="13" t="s">
        <v>32</v>
      </c>
      <c r="I597" s="13" t="s">
        <v>96</v>
      </c>
      <c r="J597" s="13">
        <v>2</v>
      </c>
      <c r="K597" s="13">
        <v>107.96</v>
      </c>
      <c r="L597" s="13">
        <v>0.1</v>
      </c>
      <c r="M597" s="13">
        <v>194.33</v>
      </c>
      <c r="N597" s="13">
        <v>129.98</v>
      </c>
      <c r="O597" s="13">
        <v>64.35</v>
      </c>
      <c r="P597" s="13">
        <v>3.9</v>
      </c>
      <c r="Q597" s="13" t="s">
        <v>56</v>
      </c>
      <c r="R597" s="13">
        <v>2025</v>
      </c>
      <c r="S597" s="15" t="str">
        <f t="shared" si="54"/>
        <v>Low Profit</v>
      </c>
      <c r="T597" s="15" t="str">
        <f t="shared" si="55"/>
        <v>Low Sales</v>
      </c>
      <c r="U597" s="15" t="str">
        <f t="shared" si="56"/>
        <v>Needs Improvement</v>
      </c>
      <c r="V597" s="15" t="str">
        <f t="shared" si="57"/>
        <v>Normal Discount</v>
      </c>
      <c r="W597" s="15">
        <f>VLOOKUP(D597,Lookup_Table!$A:$C,2,FALSE)</f>
        <v>0.15</v>
      </c>
      <c r="X597" s="15">
        <f t="shared" si="58"/>
        <v>0.331137755364586</v>
      </c>
      <c r="Y597" s="15" t="str">
        <f>VLOOKUP(D597,Lookup_Table!A:C,3,0)</f>
        <v>Priya</v>
      </c>
      <c r="Z597" s="15" t="str">
        <f t="shared" si="59"/>
        <v>Achived</v>
      </c>
    </row>
    <row r="598" spans="1:26">
      <c r="A598" s="13" t="s">
        <v>689</v>
      </c>
      <c r="B598" s="14">
        <v>45762</v>
      </c>
      <c r="C598" s="13" t="s">
        <v>55</v>
      </c>
      <c r="D598" s="13" t="s">
        <v>28</v>
      </c>
      <c r="E598" s="13" t="s">
        <v>90</v>
      </c>
      <c r="F598" s="13" t="s">
        <v>98</v>
      </c>
      <c r="G598" s="13" t="s">
        <v>99</v>
      </c>
      <c r="H598" s="13" t="s">
        <v>77</v>
      </c>
      <c r="I598" s="13" t="s">
        <v>96</v>
      </c>
      <c r="J598" s="13">
        <v>7</v>
      </c>
      <c r="K598" s="13">
        <v>41.64</v>
      </c>
      <c r="L598" s="13">
        <v>0</v>
      </c>
      <c r="M598" s="13">
        <v>291.48</v>
      </c>
      <c r="N598" s="13">
        <v>194.84</v>
      </c>
      <c r="O598" s="13">
        <v>96.64</v>
      </c>
      <c r="P598" s="13">
        <v>3.2</v>
      </c>
      <c r="Q598" s="13" t="s">
        <v>84</v>
      </c>
      <c r="R598" s="13">
        <v>2025</v>
      </c>
      <c r="S598" s="15" t="str">
        <f t="shared" si="54"/>
        <v>Low Profit</v>
      </c>
      <c r="T598" s="15" t="str">
        <f t="shared" si="55"/>
        <v>Low Sales</v>
      </c>
      <c r="U598" s="15" t="str">
        <f t="shared" si="56"/>
        <v>Needs Improvement</v>
      </c>
      <c r="V598" s="15" t="str">
        <f t="shared" si="57"/>
        <v>Normal Discount</v>
      </c>
      <c r="W598" s="15">
        <f>VLOOKUP(D598,Lookup_Table!$A:$C,2,FALSE)</f>
        <v>0.2</v>
      </c>
      <c r="X598" s="15">
        <f t="shared" si="58"/>
        <v>0.331549334431179</v>
      </c>
      <c r="Y598" s="15" t="str">
        <f>VLOOKUP(D598,Lookup_Table!A:C,3,0)</f>
        <v>Sneha</v>
      </c>
      <c r="Z598" s="15" t="str">
        <f t="shared" si="59"/>
        <v>Achived</v>
      </c>
    </row>
    <row r="599" spans="1:26">
      <c r="A599" s="13" t="s">
        <v>690</v>
      </c>
      <c r="B599" s="14">
        <v>45782</v>
      </c>
      <c r="C599" s="13" t="s">
        <v>55</v>
      </c>
      <c r="D599" s="13" t="s">
        <v>80</v>
      </c>
      <c r="E599" s="13" t="s">
        <v>101</v>
      </c>
      <c r="F599" s="13" t="s">
        <v>30</v>
      </c>
      <c r="G599" s="13" t="s">
        <v>31</v>
      </c>
      <c r="H599" s="13" t="s">
        <v>32</v>
      </c>
      <c r="I599" s="13" t="s">
        <v>52</v>
      </c>
      <c r="J599" s="13">
        <v>7</v>
      </c>
      <c r="K599" s="13">
        <v>55.02</v>
      </c>
      <c r="L599" s="13">
        <v>0.15</v>
      </c>
      <c r="M599" s="13">
        <v>327.37</v>
      </c>
      <c r="N599" s="13">
        <v>218.78</v>
      </c>
      <c r="O599" s="13">
        <v>108.59</v>
      </c>
      <c r="P599" s="13">
        <v>4.4</v>
      </c>
      <c r="Q599" s="13" t="s">
        <v>42</v>
      </c>
      <c r="R599" s="13">
        <v>2025</v>
      </c>
      <c r="S599" s="15" t="str">
        <f t="shared" si="54"/>
        <v>Low Profit</v>
      </c>
      <c r="T599" s="15" t="str">
        <f t="shared" si="55"/>
        <v>Low Sales</v>
      </c>
      <c r="U599" s="15" t="str">
        <f t="shared" si="56"/>
        <v>Good</v>
      </c>
      <c r="V599" s="15" t="str">
        <f t="shared" si="57"/>
        <v>High Discount</v>
      </c>
      <c r="W599" s="15">
        <f>VLOOKUP(D599,Lookup_Table!$A:$C,2,FALSE)</f>
        <v>0.12</v>
      </c>
      <c r="X599" s="15">
        <f t="shared" si="58"/>
        <v>0.331704187921923</v>
      </c>
      <c r="Y599" s="15" t="str">
        <f>VLOOKUP(D599,Lookup_Table!A:C,3,0)</f>
        <v>Rahul</v>
      </c>
      <c r="Z599" s="15" t="str">
        <f t="shared" si="59"/>
        <v>Achived</v>
      </c>
    </row>
    <row r="600" spans="1:26">
      <c r="A600" s="13" t="s">
        <v>691</v>
      </c>
      <c r="B600" s="14">
        <v>45989</v>
      </c>
      <c r="C600" s="13" t="s">
        <v>55</v>
      </c>
      <c r="D600" s="13" t="s">
        <v>60</v>
      </c>
      <c r="E600" s="13" t="s">
        <v>66</v>
      </c>
      <c r="F600" s="13" t="s">
        <v>62</v>
      </c>
      <c r="G600" s="13" t="s">
        <v>63</v>
      </c>
      <c r="H600" s="13" t="s">
        <v>32</v>
      </c>
      <c r="I600" s="13" t="s">
        <v>52</v>
      </c>
      <c r="J600" s="13">
        <v>6</v>
      </c>
      <c r="K600" s="13">
        <v>120.19</v>
      </c>
      <c r="L600" s="13">
        <v>0.05</v>
      </c>
      <c r="M600" s="13">
        <v>685.08</v>
      </c>
      <c r="N600" s="13">
        <v>457.79</v>
      </c>
      <c r="O600" s="13">
        <v>227.29</v>
      </c>
      <c r="P600" s="13">
        <v>4.2</v>
      </c>
      <c r="Q600" s="13" t="s">
        <v>71</v>
      </c>
      <c r="R600" s="13">
        <v>2025</v>
      </c>
      <c r="S600" s="15" t="str">
        <f t="shared" si="54"/>
        <v>Low Profit</v>
      </c>
      <c r="T600" s="15" t="str">
        <f t="shared" si="55"/>
        <v>Low Sales</v>
      </c>
      <c r="U600" s="15" t="str">
        <f t="shared" si="56"/>
        <v>Good</v>
      </c>
      <c r="V600" s="15" t="str">
        <f t="shared" si="57"/>
        <v>Normal Discount</v>
      </c>
      <c r="W600" s="15">
        <f>VLOOKUP(D600,Lookup_Table!$A:$C,2,FALSE)</f>
        <v>0.15</v>
      </c>
      <c r="X600" s="15">
        <f t="shared" si="58"/>
        <v>0.331771471944882</v>
      </c>
      <c r="Y600" s="15" t="str">
        <f>VLOOKUP(D600,Lookup_Table!A:C,3,0)</f>
        <v>Priya</v>
      </c>
      <c r="Z600" s="15" t="str">
        <f t="shared" si="59"/>
        <v>Achived</v>
      </c>
    </row>
    <row r="601" spans="1:26">
      <c r="A601" s="13" t="s">
        <v>692</v>
      </c>
      <c r="B601" s="14">
        <v>45699</v>
      </c>
      <c r="C601" s="13" t="s">
        <v>27</v>
      </c>
      <c r="D601" s="13" t="s">
        <v>37</v>
      </c>
      <c r="E601" s="13" t="s">
        <v>86</v>
      </c>
      <c r="F601" s="13" t="s">
        <v>111</v>
      </c>
      <c r="G601" s="13" t="s">
        <v>76</v>
      </c>
      <c r="H601" s="13" t="s">
        <v>77</v>
      </c>
      <c r="I601" s="13" t="s">
        <v>46</v>
      </c>
      <c r="J601" s="13">
        <v>3</v>
      </c>
      <c r="K601" s="13">
        <v>25.45</v>
      </c>
      <c r="L601" s="13">
        <v>0.1</v>
      </c>
      <c r="M601" s="13">
        <v>68.72</v>
      </c>
      <c r="N601" s="13">
        <v>45.91</v>
      </c>
      <c r="O601" s="13">
        <v>22.81</v>
      </c>
      <c r="P601" s="13">
        <v>4.7</v>
      </c>
      <c r="Q601" s="13" t="s">
        <v>105</v>
      </c>
      <c r="R601" s="13">
        <v>2025</v>
      </c>
      <c r="S601" s="15" t="str">
        <f t="shared" si="54"/>
        <v>Low Profit</v>
      </c>
      <c r="T601" s="15" t="str">
        <f t="shared" si="55"/>
        <v>Low Sales</v>
      </c>
      <c r="U601" s="15" t="str">
        <f t="shared" si="56"/>
        <v>Good</v>
      </c>
      <c r="V601" s="15" t="str">
        <f t="shared" si="57"/>
        <v>Normal Discount</v>
      </c>
      <c r="W601" s="15">
        <f>VLOOKUP(D601,Lookup_Table!$A:$C,2,FALSE)</f>
        <v>0.16</v>
      </c>
      <c r="X601" s="15">
        <f t="shared" si="58"/>
        <v>0.331926658905704</v>
      </c>
      <c r="Y601" s="15" t="str">
        <f>VLOOKUP(D601,Lookup_Table!A:C,3,0)</f>
        <v>Vikram</v>
      </c>
      <c r="Z601" s="15" t="str">
        <f t="shared" si="59"/>
        <v>Achived</v>
      </c>
    </row>
    <row r="602" spans="1:26">
      <c r="A602" s="13" t="s">
        <v>693</v>
      </c>
      <c r="B602" s="14">
        <v>45775</v>
      </c>
      <c r="C602" s="13" t="s">
        <v>27</v>
      </c>
      <c r="D602" s="13" t="s">
        <v>80</v>
      </c>
      <c r="E602" s="13" t="s">
        <v>101</v>
      </c>
      <c r="F602" s="13" t="s">
        <v>50</v>
      </c>
      <c r="G602" s="13" t="s">
        <v>51</v>
      </c>
      <c r="H602" s="13" t="s">
        <v>32</v>
      </c>
      <c r="I602" s="13" t="s">
        <v>33</v>
      </c>
      <c r="J602" s="13">
        <v>2</v>
      </c>
      <c r="K602" s="13">
        <v>78.72</v>
      </c>
      <c r="L602" s="13">
        <v>0</v>
      </c>
      <c r="M602" s="13">
        <v>157.44</v>
      </c>
      <c r="N602" s="13">
        <v>105.09</v>
      </c>
      <c r="O602" s="13">
        <v>52.35</v>
      </c>
      <c r="P602" s="13">
        <v>3.8</v>
      </c>
      <c r="Q602" s="13" t="s">
        <v>84</v>
      </c>
      <c r="R602" s="13">
        <v>2025</v>
      </c>
      <c r="S602" s="15" t="str">
        <f t="shared" si="54"/>
        <v>Low Profit</v>
      </c>
      <c r="T602" s="15" t="str">
        <f t="shared" si="55"/>
        <v>Low Sales</v>
      </c>
      <c r="U602" s="15" t="str">
        <f t="shared" si="56"/>
        <v>Needs Improvement</v>
      </c>
      <c r="V602" s="15" t="str">
        <f t="shared" si="57"/>
        <v>Normal Discount</v>
      </c>
      <c r="W602" s="15">
        <f>VLOOKUP(D602,Lookup_Table!$A:$C,2,FALSE)</f>
        <v>0.12</v>
      </c>
      <c r="X602" s="15">
        <f t="shared" si="58"/>
        <v>0.33250762195122</v>
      </c>
      <c r="Y602" s="15" t="str">
        <f>VLOOKUP(D602,Lookup_Table!A:C,3,0)</f>
        <v>Rahul</v>
      </c>
      <c r="Z602" s="15" t="str">
        <f t="shared" si="59"/>
        <v>Achived</v>
      </c>
    </row>
    <row r="603" spans="1:26">
      <c r="A603" s="13" t="s">
        <v>694</v>
      </c>
      <c r="B603" s="14">
        <v>45684</v>
      </c>
      <c r="C603" s="13" t="s">
        <v>55</v>
      </c>
      <c r="D603" s="13" t="s">
        <v>60</v>
      </c>
      <c r="E603" s="13" t="s">
        <v>127</v>
      </c>
      <c r="F603" s="13" t="s">
        <v>75</v>
      </c>
      <c r="G603" s="13" t="s">
        <v>76</v>
      </c>
      <c r="H603" s="13" t="s">
        <v>77</v>
      </c>
      <c r="I603" s="13" t="s">
        <v>46</v>
      </c>
      <c r="J603" s="13">
        <v>6</v>
      </c>
      <c r="K603" s="13">
        <v>737.03</v>
      </c>
      <c r="L603" s="13">
        <v>0</v>
      </c>
      <c r="M603" s="13">
        <v>4422.18</v>
      </c>
      <c r="N603" s="13">
        <v>2950.09</v>
      </c>
      <c r="O603" s="13">
        <v>1472.09</v>
      </c>
      <c r="P603" s="13">
        <v>3.1</v>
      </c>
      <c r="Q603" s="13" t="s">
        <v>64</v>
      </c>
      <c r="R603" s="13">
        <v>2025</v>
      </c>
      <c r="S603" s="15" t="str">
        <f t="shared" si="54"/>
        <v>High Profit</v>
      </c>
      <c r="T603" s="15" t="str">
        <f t="shared" si="55"/>
        <v>High Sales</v>
      </c>
      <c r="U603" s="15" t="str">
        <f t="shared" si="56"/>
        <v>Needs Improvement</v>
      </c>
      <c r="V603" s="15" t="str">
        <f t="shared" si="57"/>
        <v>Normal Discount</v>
      </c>
      <c r="W603" s="15">
        <f>VLOOKUP(D603,Lookup_Table!$A:$C,2,FALSE)</f>
        <v>0.15</v>
      </c>
      <c r="X603" s="15">
        <f t="shared" si="58"/>
        <v>0.332887851693056</v>
      </c>
      <c r="Y603" s="15" t="str">
        <f>VLOOKUP(D603,Lookup_Table!A:C,3,0)</f>
        <v>Priya</v>
      </c>
      <c r="Z603" s="15" t="str">
        <f t="shared" si="59"/>
        <v>Achived</v>
      </c>
    </row>
    <row r="604" spans="1:26">
      <c r="A604" s="13" t="s">
        <v>695</v>
      </c>
      <c r="B604" s="14">
        <v>46014</v>
      </c>
      <c r="C604" s="13" t="s">
        <v>55</v>
      </c>
      <c r="D604" s="13" t="s">
        <v>80</v>
      </c>
      <c r="E604" s="13" t="s">
        <v>81</v>
      </c>
      <c r="F604" s="13" t="s">
        <v>116</v>
      </c>
      <c r="G604" s="13" t="s">
        <v>117</v>
      </c>
      <c r="H604" s="13" t="s">
        <v>32</v>
      </c>
      <c r="I604" s="13" t="s">
        <v>46</v>
      </c>
      <c r="J604" s="13">
        <v>1</v>
      </c>
      <c r="K604" s="13">
        <v>25.9</v>
      </c>
      <c r="L604" s="13">
        <v>0</v>
      </c>
      <c r="M604" s="13">
        <v>25.9</v>
      </c>
      <c r="N604" s="13">
        <v>17.25</v>
      </c>
      <c r="O604" s="13">
        <v>8.65</v>
      </c>
      <c r="P604" s="13">
        <v>3.3</v>
      </c>
      <c r="Q604" s="13" t="s">
        <v>34</v>
      </c>
      <c r="R604" s="13">
        <v>2025</v>
      </c>
      <c r="S604" s="15" t="str">
        <f t="shared" si="54"/>
        <v>Low Profit</v>
      </c>
      <c r="T604" s="15" t="str">
        <f t="shared" si="55"/>
        <v>Low Sales</v>
      </c>
      <c r="U604" s="15" t="str">
        <f t="shared" si="56"/>
        <v>Needs Improvement</v>
      </c>
      <c r="V604" s="15" t="str">
        <f t="shared" si="57"/>
        <v>Normal Discount</v>
      </c>
      <c r="W604" s="15">
        <f>VLOOKUP(D604,Lookup_Table!$A:$C,2,FALSE)</f>
        <v>0.12</v>
      </c>
      <c r="X604" s="15">
        <f t="shared" si="58"/>
        <v>0.333976833976834</v>
      </c>
      <c r="Y604" s="15" t="str">
        <f>VLOOKUP(D604,Lookup_Table!A:C,3,0)</f>
        <v>Rahul</v>
      </c>
      <c r="Z604" s="15" t="str">
        <f t="shared" si="59"/>
        <v>Achived</v>
      </c>
    </row>
    <row r="605" spans="1:26">
      <c r="A605" s="13" t="s">
        <v>696</v>
      </c>
      <c r="B605" s="14">
        <v>45702</v>
      </c>
      <c r="C605" s="13" t="s">
        <v>36</v>
      </c>
      <c r="D605" s="13" t="s">
        <v>80</v>
      </c>
      <c r="E605" s="13" t="s">
        <v>191</v>
      </c>
      <c r="F605" s="13" t="s">
        <v>98</v>
      </c>
      <c r="G605" s="13" t="s">
        <v>99</v>
      </c>
      <c r="H605" s="13" t="s">
        <v>77</v>
      </c>
      <c r="I605" s="13" t="s">
        <v>33</v>
      </c>
      <c r="J605" s="13">
        <v>7</v>
      </c>
      <c r="K605" s="13">
        <v>63.88</v>
      </c>
      <c r="L605" s="13">
        <v>0</v>
      </c>
      <c r="M605" s="13">
        <v>447.16</v>
      </c>
      <c r="N605" s="13">
        <v>297.75</v>
      </c>
      <c r="O605" s="13">
        <v>149.41</v>
      </c>
      <c r="P605" s="13">
        <v>3.4</v>
      </c>
      <c r="Q605" s="13" t="s">
        <v>105</v>
      </c>
      <c r="R605" s="13">
        <v>2025</v>
      </c>
      <c r="S605" s="15" t="str">
        <f t="shared" si="54"/>
        <v>Low Profit</v>
      </c>
      <c r="T605" s="15" t="str">
        <f t="shared" si="55"/>
        <v>Low Sales</v>
      </c>
      <c r="U605" s="15" t="str">
        <f t="shared" si="56"/>
        <v>Needs Improvement</v>
      </c>
      <c r="V605" s="15" t="str">
        <f t="shared" si="57"/>
        <v>Normal Discount</v>
      </c>
      <c r="W605" s="15">
        <f>VLOOKUP(D605,Lookup_Table!$A:$C,2,FALSE)</f>
        <v>0.12</v>
      </c>
      <c r="X605" s="15">
        <f t="shared" si="58"/>
        <v>0.334130959835406</v>
      </c>
      <c r="Y605" s="15" t="str">
        <f>VLOOKUP(D605,Lookup_Table!A:C,3,0)</f>
        <v>Rahul</v>
      </c>
      <c r="Z605" s="15" t="str">
        <f t="shared" si="59"/>
        <v>Achived</v>
      </c>
    </row>
    <row r="606" spans="1:26">
      <c r="A606" s="13" t="s">
        <v>697</v>
      </c>
      <c r="B606" s="14">
        <v>45753</v>
      </c>
      <c r="C606" s="13" t="s">
        <v>55</v>
      </c>
      <c r="D606" s="13" t="s">
        <v>37</v>
      </c>
      <c r="E606" s="13" t="s">
        <v>93</v>
      </c>
      <c r="F606" s="13" t="s">
        <v>75</v>
      </c>
      <c r="G606" s="13" t="s">
        <v>76</v>
      </c>
      <c r="H606" s="13" t="s">
        <v>77</v>
      </c>
      <c r="I606" s="13" t="s">
        <v>46</v>
      </c>
      <c r="J606" s="13">
        <v>4</v>
      </c>
      <c r="K606" s="13">
        <v>233.93</v>
      </c>
      <c r="L606" s="13">
        <v>0</v>
      </c>
      <c r="M606" s="13">
        <v>935.72</v>
      </c>
      <c r="N606" s="13">
        <v>622.32</v>
      </c>
      <c r="O606" s="13">
        <v>313.4</v>
      </c>
      <c r="P606" s="13">
        <v>3.6</v>
      </c>
      <c r="Q606" s="13" t="s">
        <v>84</v>
      </c>
      <c r="R606" s="13">
        <v>2025</v>
      </c>
      <c r="S606" s="15" t="str">
        <f t="shared" si="54"/>
        <v>Low Profit</v>
      </c>
      <c r="T606" s="15" t="str">
        <f t="shared" si="55"/>
        <v>Low Sales</v>
      </c>
      <c r="U606" s="15" t="str">
        <f t="shared" si="56"/>
        <v>Needs Improvement</v>
      </c>
      <c r="V606" s="15" t="str">
        <f t="shared" si="57"/>
        <v>Normal Discount</v>
      </c>
      <c r="W606" s="15">
        <f>VLOOKUP(D606,Lookup_Table!$A:$C,2,FALSE)</f>
        <v>0.16</v>
      </c>
      <c r="X606" s="15">
        <f t="shared" si="58"/>
        <v>0.334929252340444</v>
      </c>
      <c r="Y606" s="15" t="str">
        <f>VLOOKUP(D606,Lookup_Table!A:C,3,0)</f>
        <v>Vikram</v>
      </c>
      <c r="Z606" s="15" t="str">
        <f t="shared" si="59"/>
        <v>Achived</v>
      </c>
    </row>
    <row r="607" spans="1:26">
      <c r="A607" s="13" t="s">
        <v>698</v>
      </c>
      <c r="B607" s="14">
        <v>45734</v>
      </c>
      <c r="C607" s="13" t="s">
        <v>27</v>
      </c>
      <c r="D607" s="13" t="s">
        <v>80</v>
      </c>
      <c r="E607" s="13" t="s">
        <v>101</v>
      </c>
      <c r="F607" s="13" t="s">
        <v>75</v>
      </c>
      <c r="G607" s="13" t="s">
        <v>76</v>
      </c>
      <c r="H607" s="13" t="s">
        <v>77</v>
      </c>
      <c r="I607" s="13" t="s">
        <v>46</v>
      </c>
      <c r="J607" s="13">
        <v>3</v>
      </c>
      <c r="K607" s="13">
        <v>74.45</v>
      </c>
      <c r="L607" s="13">
        <v>0</v>
      </c>
      <c r="M607" s="13">
        <v>223.35</v>
      </c>
      <c r="N607" s="13">
        <v>148.54</v>
      </c>
      <c r="O607" s="13">
        <v>74.81</v>
      </c>
      <c r="P607" s="13">
        <v>3.1</v>
      </c>
      <c r="Q607" s="13" t="s">
        <v>94</v>
      </c>
      <c r="R607" s="13">
        <v>2025</v>
      </c>
      <c r="S607" s="15" t="str">
        <f t="shared" si="54"/>
        <v>Low Profit</v>
      </c>
      <c r="T607" s="15" t="str">
        <f t="shared" si="55"/>
        <v>Low Sales</v>
      </c>
      <c r="U607" s="15" t="str">
        <f t="shared" si="56"/>
        <v>Needs Improvement</v>
      </c>
      <c r="V607" s="15" t="str">
        <f t="shared" si="57"/>
        <v>Normal Discount</v>
      </c>
      <c r="W607" s="15">
        <f>VLOOKUP(D607,Lookup_Table!$A:$C,2,FALSE)</f>
        <v>0.12</v>
      </c>
      <c r="X607" s="15">
        <f t="shared" si="58"/>
        <v>0.334945153346765</v>
      </c>
      <c r="Y607" s="15" t="str">
        <f>VLOOKUP(D607,Lookup_Table!A:C,3,0)</f>
        <v>Rahul</v>
      </c>
      <c r="Z607" s="15" t="str">
        <f t="shared" si="59"/>
        <v>Achived</v>
      </c>
    </row>
    <row r="608" spans="1:26">
      <c r="A608" s="13" t="s">
        <v>699</v>
      </c>
      <c r="B608" s="14">
        <v>45950</v>
      </c>
      <c r="C608" s="13" t="s">
        <v>27</v>
      </c>
      <c r="D608" s="13" t="s">
        <v>28</v>
      </c>
      <c r="E608" s="13" t="s">
        <v>90</v>
      </c>
      <c r="F608" s="13" t="s">
        <v>62</v>
      </c>
      <c r="G608" s="13" t="s">
        <v>63</v>
      </c>
      <c r="H608" s="13" t="s">
        <v>32</v>
      </c>
      <c r="I608" s="13" t="s">
        <v>52</v>
      </c>
      <c r="J608" s="13">
        <v>4</v>
      </c>
      <c r="K608" s="13">
        <v>41.19</v>
      </c>
      <c r="L608" s="13">
        <v>0.1</v>
      </c>
      <c r="M608" s="13">
        <v>148.28</v>
      </c>
      <c r="N608" s="13">
        <v>98.61</v>
      </c>
      <c r="O608" s="13">
        <v>49.67</v>
      </c>
      <c r="P608" s="13">
        <v>3.8</v>
      </c>
      <c r="Q608" s="13" t="s">
        <v>87</v>
      </c>
      <c r="R608" s="13">
        <v>2025</v>
      </c>
      <c r="S608" s="15" t="str">
        <f t="shared" si="54"/>
        <v>Low Profit</v>
      </c>
      <c r="T608" s="15" t="str">
        <f t="shared" si="55"/>
        <v>Low Sales</v>
      </c>
      <c r="U608" s="15" t="str">
        <f t="shared" si="56"/>
        <v>Needs Improvement</v>
      </c>
      <c r="V608" s="15" t="str">
        <f t="shared" si="57"/>
        <v>Normal Discount</v>
      </c>
      <c r="W608" s="15">
        <f>VLOOKUP(D608,Lookup_Table!$A:$C,2,FALSE)</f>
        <v>0.2</v>
      </c>
      <c r="X608" s="15">
        <f t="shared" si="58"/>
        <v>0.334974372808201</v>
      </c>
      <c r="Y608" s="15" t="str">
        <f>VLOOKUP(D608,Lookup_Table!A:C,3,0)</f>
        <v>Sneha</v>
      </c>
      <c r="Z608" s="15" t="str">
        <f t="shared" si="59"/>
        <v>Achived</v>
      </c>
    </row>
    <row r="609" spans="1:26">
      <c r="A609" s="13" t="s">
        <v>700</v>
      </c>
      <c r="B609" s="14">
        <v>45740</v>
      </c>
      <c r="C609" s="13" t="s">
        <v>27</v>
      </c>
      <c r="D609" s="13" t="s">
        <v>44</v>
      </c>
      <c r="E609" s="13" t="s">
        <v>143</v>
      </c>
      <c r="F609" s="13" t="s">
        <v>75</v>
      </c>
      <c r="G609" s="13" t="s">
        <v>76</v>
      </c>
      <c r="H609" s="13" t="s">
        <v>77</v>
      </c>
      <c r="I609" s="13" t="s">
        <v>33</v>
      </c>
      <c r="J609" s="13">
        <v>1</v>
      </c>
      <c r="K609" s="13">
        <v>378.35</v>
      </c>
      <c r="L609" s="13">
        <v>0.15</v>
      </c>
      <c r="M609" s="13">
        <v>321.6</v>
      </c>
      <c r="N609" s="13">
        <v>213.84</v>
      </c>
      <c r="O609" s="13">
        <v>107.76</v>
      </c>
      <c r="P609" s="13">
        <v>2.8</v>
      </c>
      <c r="Q609" s="13" t="s">
        <v>94</v>
      </c>
      <c r="R609" s="13">
        <v>2025</v>
      </c>
      <c r="S609" s="15" t="str">
        <f t="shared" si="54"/>
        <v>Low Profit</v>
      </c>
      <c r="T609" s="15" t="str">
        <f t="shared" si="55"/>
        <v>Low Sales</v>
      </c>
      <c r="U609" s="15" t="str">
        <f t="shared" si="56"/>
        <v>Needs Improvement</v>
      </c>
      <c r="V609" s="15" t="str">
        <f t="shared" si="57"/>
        <v>High Discount</v>
      </c>
      <c r="W609" s="15">
        <f>VLOOKUP(D609,Lookup_Table!$A:$C,2,FALSE)</f>
        <v>0.18</v>
      </c>
      <c r="X609" s="15">
        <f t="shared" si="58"/>
        <v>0.335074626865672</v>
      </c>
      <c r="Y609" s="15" t="str">
        <f>VLOOKUP(D609,Lookup_Table!A:C,3,0)</f>
        <v>Amit</v>
      </c>
      <c r="Z609" s="15" t="str">
        <f t="shared" si="59"/>
        <v>Achived</v>
      </c>
    </row>
    <row r="610" spans="1:26">
      <c r="A610" s="13" t="s">
        <v>701</v>
      </c>
      <c r="B610" s="14">
        <v>46012</v>
      </c>
      <c r="C610" s="13" t="s">
        <v>27</v>
      </c>
      <c r="D610" s="13" t="s">
        <v>60</v>
      </c>
      <c r="E610" s="13" t="s">
        <v>61</v>
      </c>
      <c r="F610" s="13" t="s">
        <v>82</v>
      </c>
      <c r="G610" s="13" t="s">
        <v>83</v>
      </c>
      <c r="H610" s="13" t="s">
        <v>77</v>
      </c>
      <c r="I610" s="13" t="s">
        <v>52</v>
      </c>
      <c r="J610" s="13">
        <v>2</v>
      </c>
      <c r="K610" s="13">
        <v>332.82</v>
      </c>
      <c r="L610" s="13">
        <v>0</v>
      </c>
      <c r="M610" s="13">
        <v>665.64</v>
      </c>
      <c r="N610" s="13">
        <v>442.6</v>
      </c>
      <c r="O610" s="13">
        <v>223.04</v>
      </c>
      <c r="P610" s="13">
        <v>4.8</v>
      </c>
      <c r="Q610" s="13" t="s">
        <v>34</v>
      </c>
      <c r="R610" s="13">
        <v>2025</v>
      </c>
      <c r="S610" s="15" t="str">
        <f t="shared" si="54"/>
        <v>Low Profit</v>
      </c>
      <c r="T610" s="15" t="str">
        <f t="shared" si="55"/>
        <v>Low Sales</v>
      </c>
      <c r="U610" s="15" t="str">
        <f t="shared" si="56"/>
        <v>Good</v>
      </c>
      <c r="V610" s="15" t="str">
        <f t="shared" si="57"/>
        <v>Normal Discount</v>
      </c>
      <c r="W610" s="15">
        <f>VLOOKUP(D610,Lookup_Table!$A:$C,2,FALSE)</f>
        <v>0.15</v>
      </c>
      <c r="X610" s="15">
        <f t="shared" si="58"/>
        <v>0.335076017066282</v>
      </c>
      <c r="Y610" s="15" t="str">
        <f>VLOOKUP(D610,Lookup_Table!A:C,3,0)</f>
        <v>Priya</v>
      </c>
      <c r="Z610" s="15" t="str">
        <f t="shared" si="59"/>
        <v>Achived</v>
      </c>
    </row>
    <row r="611" spans="1:26">
      <c r="A611" s="13" t="s">
        <v>702</v>
      </c>
      <c r="B611" s="14">
        <v>45854</v>
      </c>
      <c r="C611" s="13" t="s">
        <v>27</v>
      </c>
      <c r="D611" s="13" t="s">
        <v>80</v>
      </c>
      <c r="E611" s="13" t="s">
        <v>115</v>
      </c>
      <c r="F611" s="13" t="s">
        <v>98</v>
      </c>
      <c r="G611" s="13" t="s">
        <v>99</v>
      </c>
      <c r="H611" s="13" t="s">
        <v>77</v>
      </c>
      <c r="I611" s="13" t="s">
        <v>46</v>
      </c>
      <c r="J611" s="13">
        <v>2</v>
      </c>
      <c r="K611" s="13">
        <v>23.92</v>
      </c>
      <c r="L611" s="13">
        <v>0.05</v>
      </c>
      <c r="M611" s="13">
        <v>45.45</v>
      </c>
      <c r="N611" s="13">
        <v>30.22</v>
      </c>
      <c r="O611" s="13">
        <v>15.23</v>
      </c>
      <c r="P611" s="13">
        <v>3.3</v>
      </c>
      <c r="Q611" s="13" t="s">
        <v>56</v>
      </c>
      <c r="R611" s="13">
        <v>2025</v>
      </c>
      <c r="S611" s="15" t="str">
        <f t="shared" si="54"/>
        <v>Low Profit</v>
      </c>
      <c r="T611" s="15" t="str">
        <f t="shared" si="55"/>
        <v>Low Sales</v>
      </c>
      <c r="U611" s="15" t="str">
        <f t="shared" si="56"/>
        <v>Needs Improvement</v>
      </c>
      <c r="V611" s="15" t="str">
        <f t="shared" si="57"/>
        <v>Normal Discount</v>
      </c>
      <c r="W611" s="15">
        <f>VLOOKUP(D611,Lookup_Table!$A:$C,2,FALSE)</f>
        <v>0.12</v>
      </c>
      <c r="X611" s="15">
        <f t="shared" si="58"/>
        <v>0.335093509350935</v>
      </c>
      <c r="Y611" s="15" t="str">
        <f>VLOOKUP(D611,Lookup_Table!A:C,3,0)</f>
        <v>Rahul</v>
      </c>
      <c r="Z611" s="15" t="str">
        <f t="shared" si="59"/>
        <v>Achived</v>
      </c>
    </row>
    <row r="612" spans="1:26">
      <c r="A612" s="13" t="s">
        <v>703</v>
      </c>
      <c r="B612" s="14">
        <v>45658</v>
      </c>
      <c r="C612" s="13" t="s">
        <v>27</v>
      </c>
      <c r="D612" s="13" t="s">
        <v>37</v>
      </c>
      <c r="E612" s="13" t="s">
        <v>109</v>
      </c>
      <c r="F612" s="13" t="s">
        <v>50</v>
      </c>
      <c r="G612" s="13" t="s">
        <v>51</v>
      </c>
      <c r="H612" s="13" t="s">
        <v>32</v>
      </c>
      <c r="I612" s="13" t="s">
        <v>96</v>
      </c>
      <c r="J612" s="13">
        <v>7</v>
      </c>
      <c r="K612" s="13">
        <v>121.9</v>
      </c>
      <c r="L612" s="13">
        <v>0.1</v>
      </c>
      <c r="M612" s="13">
        <v>767.97</v>
      </c>
      <c r="N612" s="13">
        <v>510.2</v>
      </c>
      <c r="O612" s="13">
        <v>257.77</v>
      </c>
      <c r="P612" s="13">
        <v>5</v>
      </c>
      <c r="Q612" s="13" t="s">
        <v>64</v>
      </c>
      <c r="R612" s="13">
        <v>2025</v>
      </c>
      <c r="S612" s="15" t="str">
        <f t="shared" si="54"/>
        <v>Low Profit</v>
      </c>
      <c r="T612" s="15" t="str">
        <f t="shared" si="55"/>
        <v>Low Sales</v>
      </c>
      <c r="U612" s="15" t="str">
        <f t="shared" si="56"/>
        <v>Good</v>
      </c>
      <c r="V612" s="15" t="str">
        <f t="shared" si="57"/>
        <v>Normal Discount</v>
      </c>
      <c r="W612" s="15">
        <f>VLOOKUP(D612,Lookup_Table!$A:$C,2,FALSE)</f>
        <v>0.16</v>
      </c>
      <c r="X612" s="15">
        <f t="shared" si="58"/>
        <v>0.335651132205685</v>
      </c>
      <c r="Y612" s="15" t="str">
        <f>VLOOKUP(D612,Lookup_Table!A:C,3,0)</f>
        <v>Vikram</v>
      </c>
      <c r="Z612" s="15" t="str">
        <f t="shared" si="59"/>
        <v>Achived</v>
      </c>
    </row>
    <row r="613" spans="1:26">
      <c r="A613" s="13" t="s">
        <v>704</v>
      </c>
      <c r="B613" s="14">
        <v>45674</v>
      </c>
      <c r="C613" s="13" t="s">
        <v>36</v>
      </c>
      <c r="D613" s="13" t="s">
        <v>37</v>
      </c>
      <c r="E613" s="13" t="s">
        <v>93</v>
      </c>
      <c r="F613" s="13" t="s">
        <v>39</v>
      </c>
      <c r="G613" s="13" t="s">
        <v>40</v>
      </c>
      <c r="H613" s="13" t="s">
        <v>41</v>
      </c>
      <c r="I613" s="13" t="s">
        <v>33</v>
      </c>
      <c r="J613" s="13">
        <v>3</v>
      </c>
      <c r="K613" s="13">
        <v>182.52</v>
      </c>
      <c r="L613" s="13">
        <v>0.05</v>
      </c>
      <c r="M613" s="13">
        <v>520.18</v>
      </c>
      <c r="N613" s="13">
        <v>345.39</v>
      </c>
      <c r="O613" s="13">
        <v>174.79</v>
      </c>
      <c r="P613" s="13">
        <v>4.8</v>
      </c>
      <c r="Q613" s="13" t="s">
        <v>64</v>
      </c>
      <c r="R613" s="13">
        <v>2025</v>
      </c>
      <c r="S613" s="15" t="str">
        <f t="shared" si="54"/>
        <v>Low Profit</v>
      </c>
      <c r="T613" s="15" t="str">
        <f t="shared" si="55"/>
        <v>Low Sales</v>
      </c>
      <c r="U613" s="15" t="str">
        <f t="shared" si="56"/>
        <v>Good</v>
      </c>
      <c r="V613" s="15" t="str">
        <f t="shared" si="57"/>
        <v>Normal Discount</v>
      </c>
      <c r="W613" s="15">
        <f>VLOOKUP(D613,Lookup_Table!$A:$C,2,FALSE)</f>
        <v>0.16</v>
      </c>
      <c r="X613" s="15">
        <f t="shared" si="58"/>
        <v>0.336018301357222</v>
      </c>
      <c r="Y613" s="15" t="str">
        <f>VLOOKUP(D613,Lookup_Table!A:C,3,0)</f>
        <v>Vikram</v>
      </c>
      <c r="Z613" s="15" t="str">
        <f t="shared" si="59"/>
        <v>Achived</v>
      </c>
    </row>
    <row r="614" spans="1:26">
      <c r="A614" s="13" t="s">
        <v>705</v>
      </c>
      <c r="B614" s="14">
        <v>45944</v>
      </c>
      <c r="C614" s="13" t="s">
        <v>55</v>
      </c>
      <c r="D614" s="13" t="s">
        <v>44</v>
      </c>
      <c r="E614" s="13" t="s">
        <v>137</v>
      </c>
      <c r="F614" s="13" t="s">
        <v>75</v>
      </c>
      <c r="G614" s="13" t="s">
        <v>76</v>
      </c>
      <c r="H614" s="13" t="s">
        <v>77</v>
      </c>
      <c r="I614" s="13" t="s">
        <v>46</v>
      </c>
      <c r="J614" s="13">
        <v>3</v>
      </c>
      <c r="K614" s="13">
        <v>939.23</v>
      </c>
      <c r="L614" s="13">
        <v>0.2</v>
      </c>
      <c r="M614" s="13">
        <v>2254.15</v>
      </c>
      <c r="N614" s="13">
        <v>1496.33</v>
      </c>
      <c r="O614" s="13">
        <v>757.82</v>
      </c>
      <c r="P614" s="13">
        <v>4.2</v>
      </c>
      <c r="Q614" s="13" t="s">
        <v>87</v>
      </c>
      <c r="R614" s="13">
        <v>2025</v>
      </c>
      <c r="S614" s="15" t="str">
        <f t="shared" si="54"/>
        <v>High Profit</v>
      </c>
      <c r="T614" s="15" t="str">
        <f t="shared" si="55"/>
        <v>High Sales</v>
      </c>
      <c r="U614" s="15" t="str">
        <f t="shared" si="56"/>
        <v>Good</v>
      </c>
      <c r="V614" s="15" t="str">
        <f t="shared" si="57"/>
        <v>High Discount</v>
      </c>
      <c r="W614" s="15">
        <f>VLOOKUP(D614,Lookup_Table!$A:$C,2,FALSE)</f>
        <v>0.18</v>
      </c>
      <c r="X614" s="15">
        <f t="shared" si="58"/>
        <v>0.33618880731096</v>
      </c>
      <c r="Y614" s="15" t="str">
        <f>VLOOKUP(D614,Lookup_Table!A:C,3,0)</f>
        <v>Amit</v>
      </c>
      <c r="Z614" s="15" t="str">
        <f t="shared" si="59"/>
        <v>Achived</v>
      </c>
    </row>
    <row r="615" spans="1:26">
      <c r="A615" s="13" t="s">
        <v>706</v>
      </c>
      <c r="B615" s="14">
        <v>45768</v>
      </c>
      <c r="C615" s="13" t="s">
        <v>55</v>
      </c>
      <c r="D615" s="13" t="s">
        <v>60</v>
      </c>
      <c r="E615" s="13" t="s">
        <v>127</v>
      </c>
      <c r="F615" s="13" t="s">
        <v>67</v>
      </c>
      <c r="G615" s="13" t="s">
        <v>68</v>
      </c>
      <c r="H615" s="13" t="s">
        <v>69</v>
      </c>
      <c r="I615" s="13" t="s">
        <v>52</v>
      </c>
      <c r="J615" s="13">
        <v>1</v>
      </c>
      <c r="K615" s="13">
        <v>103.07</v>
      </c>
      <c r="L615" s="13">
        <v>0</v>
      </c>
      <c r="M615" s="13">
        <v>103.07</v>
      </c>
      <c r="N615" s="13">
        <v>68.39</v>
      </c>
      <c r="O615" s="13">
        <v>34.68</v>
      </c>
      <c r="P615" s="13">
        <v>3.7</v>
      </c>
      <c r="Q615" s="13" t="s">
        <v>84</v>
      </c>
      <c r="R615" s="13">
        <v>2025</v>
      </c>
      <c r="S615" s="15" t="str">
        <f t="shared" si="54"/>
        <v>Low Profit</v>
      </c>
      <c r="T615" s="15" t="str">
        <f t="shared" si="55"/>
        <v>Low Sales</v>
      </c>
      <c r="U615" s="15" t="str">
        <f t="shared" si="56"/>
        <v>Needs Improvement</v>
      </c>
      <c r="V615" s="15" t="str">
        <f t="shared" si="57"/>
        <v>Normal Discount</v>
      </c>
      <c r="W615" s="15">
        <f>VLOOKUP(D615,Lookup_Table!$A:$C,2,FALSE)</f>
        <v>0.15</v>
      </c>
      <c r="X615" s="15">
        <f t="shared" si="58"/>
        <v>0.336470359949549</v>
      </c>
      <c r="Y615" s="15" t="str">
        <f>VLOOKUP(D615,Lookup_Table!A:C,3,0)</f>
        <v>Priya</v>
      </c>
      <c r="Z615" s="15" t="str">
        <f t="shared" si="59"/>
        <v>Achived</v>
      </c>
    </row>
    <row r="616" spans="1:26">
      <c r="A616" s="13" t="s">
        <v>707</v>
      </c>
      <c r="B616" s="14">
        <v>45779</v>
      </c>
      <c r="C616" s="13" t="s">
        <v>55</v>
      </c>
      <c r="D616" s="13" t="s">
        <v>28</v>
      </c>
      <c r="E616" s="13" t="s">
        <v>73</v>
      </c>
      <c r="F616" s="13" t="s">
        <v>30</v>
      </c>
      <c r="G616" s="13" t="s">
        <v>31</v>
      </c>
      <c r="H616" s="13" t="s">
        <v>32</v>
      </c>
      <c r="I616" s="13" t="s">
        <v>46</v>
      </c>
      <c r="J616" s="13">
        <v>2</v>
      </c>
      <c r="K616" s="13">
        <v>147.3</v>
      </c>
      <c r="L616" s="13">
        <v>0</v>
      </c>
      <c r="M616" s="13">
        <v>294.6</v>
      </c>
      <c r="N616" s="13">
        <v>195.44</v>
      </c>
      <c r="O616" s="13">
        <v>99.16</v>
      </c>
      <c r="P616" s="13">
        <v>2.8</v>
      </c>
      <c r="Q616" s="13" t="s">
        <v>42</v>
      </c>
      <c r="R616" s="13">
        <v>2025</v>
      </c>
      <c r="S616" s="15" t="str">
        <f t="shared" si="54"/>
        <v>Low Profit</v>
      </c>
      <c r="T616" s="15" t="str">
        <f t="shared" si="55"/>
        <v>Low Sales</v>
      </c>
      <c r="U616" s="15" t="str">
        <f t="shared" si="56"/>
        <v>Needs Improvement</v>
      </c>
      <c r="V616" s="15" t="str">
        <f t="shared" si="57"/>
        <v>Normal Discount</v>
      </c>
      <c r="W616" s="15">
        <f>VLOOKUP(D616,Lookup_Table!$A:$C,2,FALSE)</f>
        <v>0.2</v>
      </c>
      <c r="X616" s="15">
        <f t="shared" si="58"/>
        <v>0.336591989137814</v>
      </c>
      <c r="Y616" s="15" t="str">
        <f>VLOOKUP(D616,Lookup_Table!A:C,3,0)</f>
        <v>Sneha</v>
      </c>
      <c r="Z616" s="15" t="str">
        <f t="shared" si="59"/>
        <v>Achived</v>
      </c>
    </row>
    <row r="617" spans="1:26">
      <c r="A617" s="13" t="s">
        <v>708</v>
      </c>
      <c r="B617" s="14">
        <v>45759</v>
      </c>
      <c r="C617" s="13" t="s">
        <v>36</v>
      </c>
      <c r="D617" s="13" t="s">
        <v>80</v>
      </c>
      <c r="E617" s="13" t="s">
        <v>191</v>
      </c>
      <c r="F617" s="13" t="s">
        <v>116</v>
      </c>
      <c r="G617" s="13" t="s">
        <v>117</v>
      </c>
      <c r="H617" s="13" t="s">
        <v>32</v>
      </c>
      <c r="I617" s="13" t="s">
        <v>33</v>
      </c>
      <c r="J617" s="13">
        <v>6</v>
      </c>
      <c r="K617" s="13">
        <v>35.73</v>
      </c>
      <c r="L617" s="13">
        <v>0.2</v>
      </c>
      <c r="M617" s="13">
        <v>171.5</v>
      </c>
      <c r="N617" s="13">
        <v>113.71</v>
      </c>
      <c r="O617" s="13">
        <v>57.79</v>
      </c>
      <c r="P617" s="13">
        <v>3.4</v>
      </c>
      <c r="Q617" s="13" t="s">
        <v>84</v>
      </c>
      <c r="R617" s="13">
        <v>2025</v>
      </c>
      <c r="S617" s="15" t="str">
        <f t="shared" si="54"/>
        <v>Low Profit</v>
      </c>
      <c r="T617" s="15" t="str">
        <f t="shared" si="55"/>
        <v>Low Sales</v>
      </c>
      <c r="U617" s="15" t="str">
        <f t="shared" si="56"/>
        <v>Needs Improvement</v>
      </c>
      <c r="V617" s="15" t="str">
        <f t="shared" si="57"/>
        <v>High Discount</v>
      </c>
      <c r="W617" s="15">
        <f>VLOOKUP(D617,Lookup_Table!$A:$C,2,FALSE)</f>
        <v>0.12</v>
      </c>
      <c r="X617" s="15">
        <f t="shared" si="58"/>
        <v>0.336967930029155</v>
      </c>
      <c r="Y617" s="15" t="str">
        <f>VLOOKUP(D617,Lookup_Table!A:C,3,0)</f>
        <v>Rahul</v>
      </c>
      <c r="Z617" s="15" t="str">
        <f t="shared" si="59"/>
        <v>Achived</v>
      </c>
    </row>
    <row r="618" spans="1:26">
      <c r="A618" s="13" t="s">
        <v>709</v>
      </c>
      <c r="B618" s="14">
        <v>45929</v>
      </c>
      <c r="C618" s="13" t="s">
        <v>55</v>
      </c>
      <c r="D618" s="13" t="s">
        <v>37</v>
      </c>
      <c r="E618" s="13" t="s">
        <v>93</v>
      </c>
      <c r="F618" s="13" t="s">
        <v>67</v>
      </c>
      <c r="G618" s="13" t="s">
        <v>68</v>
      </c>
      <c r="H618" s="13" t="s">
        <v>69</v>
      </c>
      <c r="I618" s="13" t="s">
        <v>96</v>
      </c>
      <c r="J618" s="13">
        <v>3</v>
      </c>
      <c r="K618" s="13">
        <v>415.09</v>
      </c>
      <c r="L618" s="13">
        <v>0.1</v>
      </c>
      <c r="M618" s="13">
        <v>1120.74</v>
      </c>
      <c r="N618" s="13">
        <v>741.89</v>
      </c>
      <c r="O618" s="13">
        <v>378.85</v>
      </c>
      <c r="P618" s="13">
        <v>4.4</v>
      </c>
      <c r="Q618" s="13" t="s">
        <v>53</v>
      </c>
      <c r="R618" s="13">
        <v>2025</v>
      </c>
      <c r="S618" s="15" t="str">
        <f t="shared" si="54"/>
        <v>Low Profit</v>
      </c>
      <c r="T618" s="15" t="str">
        <f t="shared" si="55"/>
        <v>High Sales</v>
      </c>
      <c r="U618" s="15" t="str">
        <f t="shared" si="56"/>
        <v>Good</v>
      </c>
      <c r="V618" s="15" t="str">
        <f t="shared" si="57"/>
        <v>Normal Discount</v>
      </c>
      <c r="W618" s="15">
        <f>VLOOKUP(D618,Lookup_Table!$A:$C,2,FALSE)</f>
        <v>0.16</v>
      </c>
      <c r="X618" s="15">
        <f t="shared" si="58"/>
        <v>0.338035583632243</v>
      </c>
      <c r="Y618" s="15" t="str">
        <f>VLOOKUP(D618,Lookup_Table!A:C,3,0)</f>
        <v>Vikram</v>
      </c>
      <c r="Z618" s="15" t="str">
        <f t="shared" si="59"/>
        <v>Achived</v>
      </c>
    </row>
    <row r="619" spans="1:26">
      <c r="A619" s="13" t="s">
        <v>710</v>
      </c>
      <c r="B619" s="14">
        <v>45947</v>
      </c>
      <c r="C619" s="13" t="s">
        <v>55</v>
      </c>
      <c r="D619" s="13" t="s">
        <v>80</v>
      </c>
      <c r="E619" s="13" t="s">
        <v>115</v>
      </c>
      <c r="F619" s="13" t="s">
        <v>82</v>
      </c>
      <c r="G619" s="13" t="s">
        <v>83</v>
      </c>
      <c r="H619" s="13" t="s">
        <v>77</v>
      </c>
      <c r="I619" s="13" t="s">
        <v>33</v>
      </c>
      <c r="J619" s="13">
        <v>1</v>
      </c>
      <c r="K619" s="13">
        <v>28.08</v>
      </c>
      <c r="L619" s="13">
        <v>0.15</v>
      </c>
      <c r="M619" s="13">
        <v>23.87</v>
      </c>
      <c r="N619" s="13">
        <v>15.8</v>
      </c>
      <c r="O619" s="13">
        <v>8.07</v>
      </c>
      <c r="P619" s="13">
        <v>5</v>
      </c>
      <c r="Q619" s="13" t="s">
        <v>87</v>
      </c>
      <c r="R619" s="13">
        <v>2025</v>
      </c>
      <c r="S619" s="15" t="str">
        <f t="shared" si="54"/>
        <v>Low Profit</v>
      </c>
      <c r="T619" s="15" t="str">
        <f t="shared" si="55"/>
        <v>Low Sales</v>
      </c>
      <c r="U619" s="15" t="str">
        <f t="shared" si="56"/>
        <v>Good</v>
      </c>
      <c r="V619" s="15" t="str">
        <f t="shared" si="57"/>
        <v>High Discount</v>
      </c>
      <c r="W619" s="15">
        <f>VLOOKUP(D619,Lookup_Table!$A:$C,2,FALSE)</f>
        <v>0.12</v>
      </c>
      <c r="X619" s="15">
        <f t="shared" si="58"/>
        <v>0.338081273565145</v>
      </c>
      <c r="Y619" s="15" t="str">
        <f>VLOOKUP(D619,Lookup_Table!A:C,3,0)</f>
        <v>Rahul</v>
      </c>
      <c r="Z619" s="15" t="str">
        <f t="shared" si="59"/>
        <v>Achived</v>
      </c>
    </row>
    <row r="620" spans="1:26">
      <c r="A620" s="13" t="s">
        <v>711</v>
      </c>
      <c r="B620" s="14">
        <v>45852</v>
      </c>
      <c r="C620" s="13" t="s">
        <v>27</v>
      </c>
      <c r="D620" s="13" t="s">
        <v>28</v>
      </c>
      <c r="E620" s="13" t="s">
        <v>29</v>
      </c>
      <c r="F620" s="13" t="s">
        <v>116</v>
      </c>
      <c r="G620" s="13" t="s">
        <v>117</v>
      </c>
      <c r="H620" s="13" t="s">
        <v>32</v>
      </c>
      <c r="I620" s="13" t="s">
        <v>96</v>
      </c>
      <c r="J620" s="13">
        <v>7</v>
      </c>
      <c r="K620" s="13">
        <v>138.65</v>
      </c>
      <c r="L620" s="13">
        <v>0</v>
      </c>
      <c r="M620" s="13">
        <v>970.55</v>
      </c>
      <c r="N620" s="13">
        <v>641.35</v>
      </c>
      <c r="O620" s="13">
        <v>329.2</v>
      </c>
      <c r="P620" s="13">
        <v>3.6</v>
      </c>
      <c r="Q620" s="13" t="s">
        <v>56</v>
      </c>
      <c r="R620" s="13">
        <v>2025</v>
      </c>
      <c r="S620" s="15" t="str">
        <f t="shared" si="54"/>
        <v>Low Profit</v>
      </c>
      <c r="T620" s="15" t="str">
        <f t="shared" si="55"/>
        <v>Low Sales</v>
      </c>
      <c r="U620" s="15" t="str">
        <f t="shared" si="56"/>
        <v>Needs Improvement</v>
      </c>
      <c r="V620" s="15" t="str">
        <f t="shared" si="57"/>
        <v>Normal Discount</v>
      </c>
      <c r="W620" s="15">
        <f>VLOOKUP(D620,Lookup_Table!$A:$C,2,FALSE)</f>
        <v>0.2</v>
      </c>
      <c r="X620" s="15">
        <f t="shared" si="58"/>
        <v>0.339189119571377</v>
      </c>
      <c r="Y620" s="15" t="str">
        <f>VLOOKUP(D620,Lookup_Table!A:C,3,0)</f>
        <v>Sneha</v>
      </c>
      <c r="Z620" s="15" t="str">
        <f t="shared" si="59"/>
        <v>Achived</v>
      </c>
    </row>
    <row r="621" spans="1:26">
      <c r="A621" s="13" t="s">
        <v>712</v>
      </c>
      <c r="B621" s="14">
        <v>45967</v>
      </c>
      <c r="C621" s="13" t="s">
        <v>55</v>
      </c>
      <c r="D621" s="13" t="s">
        <v>37</v>
      </c>
      <c r="E621" s="13" t="s">
        <v>93</v>
      </c>
      <c r="F621" s="13" t="s">
        <v>82</v>
      </c>
      <c r="G621" s="13" t="s">
        <v>83</v>
      </c>
      <c r="H621" s="13" t="s">
        <v>77</v>
      </c>
      <c r="I621" s="13" t="s">
        <v>46</v>
      </c>
      <c r="J621" s="13">
        <v>5</v>
      </c>
      <c r="K621" s="13">
        <v>410.67</v>
      </c>
      <c r="L621" s="13">
        <v>0.1</v>
      </c>
      <c r="M621" s="13">
        <v>1848.02</v>
      </c>
      <c r="N621" s="13">
        <v>1221</v>
      </c>
      <c r="O621" s="13">
        <v>627.02</v>
      </c>
      <c r="P621" s="13">
        <v>3</v>
      </c>
      <c r="Q621" s="13" t="s">
        <v>71</v>
      </c>
      <c r="R621" s="13">
        <v>2025</v>
      </c>
      <c r="S621" s="15" t="str">
        <f t="shared" si="54"/>
        <v>High Profit</v>
      </c>
      <c r="T621" s="15" t="str">
        <f t="shared" si="55"/>
        <v>High Sales</v>
      </c>
      <c r="U621" s="15" t="str">
        <f t="shared" si="56"/>
        <v>Needs Improvement</v>
      </c>
      <c r="V621" s="15" t="str">
        <f t="shared" si="57"/>
        <v>Normal Discount</v>
      </c>
      <c r="W621" s="15">
        <f>VLOOKUP(D621,Lookup_Table!$A:$C,2,FALSE)</f>
        <v>0.16</v>
      </c>
      <c r="X621" s="15">
        <f t="shared" si="58"/>
        <v>0.339292864795836</v>
      </c>
      <c r="Y621" s="15" t="str">
        <f>VLOOKUP(D621,Lookup_Table!A:C,3,0)</f>
        <v>Vikram</v>
      </c>
      <c r="Z621" s="15" t="str">
        <f t="shared" si="59"/>
        <v>Achived</v>
      </c>
    </row>
    <row r="622" spans="1:26">
      <c r="A622" s="13" t="s">
        <v>713</v>
      </c>
      <c r="B622" s="14">
        <v>45957</v>
      </c>
      <c r="C622" s="13" t="s">
        <v>55</v>
      </c>
      <c r="D622" s="13" t="s">
        <v>60</v>
      </c>
      <c r="E622" s="13" t="s">
        <v>61</v>
      </c>
      <c r="F622" s="13" t="s">
        <v>82</v>
      </c>
      <c r="G622" s="13" t="s">
        <v>83</v>
      </c>
      <c r="H622" s="13" t="s">
        <v>77</v>
      </c>
      <c r="I622" s="13" t="s">
        <v>33</v>
      </c>
      <c r="J622" s="13">
        <v>4</v>
      </c>
      <c r="K622" s="13">
        <v>154.76</v>
      </c>
      <c r="L622" s="13">
        <v>0.05</v>
      </c>
      <c r="M622" s="13">
        <v>588.09</v>
      </c>
      <c r="N622" s="13">
        <v>388.43</v>
      </c>
      <c r="O622" s="13">
        <v>199.66</v>
      </c>
      <c r="P622" s="13">
        <v>4.5</v>
      </c>
      <c r="Q622" s="13" t="s">
        <v>87</v>
      </c>
      <c r="R622" s="13">
        <v>2025</v>
      </c>
      <c r="S622" s="15" t="str">
        <f t="shared" si="54"/>
        <v>Low Profit</v>
      </c>
      <c r="T622" s="15" t="str">
        <f t="shared" si="55"/>
        <v>Low Sales</v>
      </c>
      <c r="U622" s="15" t="str">
        <f t="shared" si="56"/>
        <v>Good</v>
      </c>
      <c r="V622" s="15" t="str">
        <f t="shared" si="57"/>
        <v>Normal Discount</v>
      </c>
      <c r="W622" s="15">
        <f>VLOOKUP(D622,Lookup_Table!$A:$C,2,FALSE)</f>
        <v>0.15</v>
      </c>
      <c r="X622" s="15">
        <f t="shared" si="58"/>
        <v>0.339505857946913</v>
      </c>
      <c r="Y622" s="15" t="str">
        <f>VLOOKUP(D622,Lookup_Table!A:C,3,0)</f>
        <v>Priya</v>
      </c>
      <c r="Z622" s="15" t="str">
        <f t="shared" si="59"/>
        <v>Achived</v>
      </c>
    </row>
    <row r="623" spans="1:26">
      <c r="A623" s="13" t="s">
        <v>714</v>
      </c>
      <c r="B623" s="14">
        <v>45805</v>
      </c>
      <c r="C623" s="13" t="s">
        <v>55</v>
      </c>
      <c r="D623" s="13" t="s">
        <v>37</v>
      </c>
      <c r="E623" s="13" t="s">
        <v>109</v>
      </c>
      <c r="F623" s="13" t="s">
        <v>82</v>
      </c>
      <c r="G623" s="13" t="s">
        <v>83</v>
      </c>
      <c r="H623" s="13" t="s">
        <v>77</v>
      </c>
      <c r="I623" s="13" t="s">
        <v>96</v>
      </c>
      <c r="J623" s="13">
        <v>5</v>
      </c>
      <c r="K623" s="13">
        <v>174.01</v>
      </c>
      <c r="L623" s="13">
        <v>0</v>
      </c>
      <c r="M623" s="13">
        <v>870.05</v>
      </c>
      <c r="N623" s="13">
        <v>574.5</v>
      </c>
      <c r="O623" s="13">
        <v>295.55</v>
      </c>
      <c r="P623" s="13">
        <v>3.3</v>
      </c>
      <c r="Q623" s="13" t="s">
        <v>42</v>
      </c>
      <c r="R623" s="13">
        <v>2025</v>
      </c>
      <c r="S623" s="15" t="str">
        <f t="shared" si="54"/>
        <v>Low Profit</v>
      </c>
      <c r="T623" s="15" t="str">
        <f t="shared" si="55"/>
        <v>Low Sales</v>
      </c>
      <c r="U623" s="15" t="str">
        <f t="shared" si="56"/>
        <v>Needs Improvement</v>
      </c>
      <c r="V623" s="15" t="str">
        <f t="shared" si="57"/>
        <v>Normal Discount</v>
      </c>
      <c r="W623" s="15">
        <f>VLOOKUP(D623,Lookup_Table!$A:$C,2,FALSE)</f>
        <v>0.16</v>
      </c>
      <c r="X623" s="15">
        <f t="shared" si="58"/>
        <v>0.339693121084995</v>
      </c>
      <c r="Y623" s="15" t="str">
        <f>VLOOKUP(D623,Lookup_Table!A:C,3,0)</f>
        <v>Vikram</v>
      </c>
      <c r="Z623" s="15" t="str">
        <f t="shared" si="59"/>
        <v>Achived</v>
      </c>
    </row>
    <row r="624" spans="1:26">
      <c r="A624" s="13" t="s">
        <v>715</v>
      </c>
      <c r="B624" s="14">
        <v>45935</v>
      </c>
      <c r="C624" s="13" t="s">
        <v>36</v>
      </c>
      <c r="D624" s="13" t="s">
        <v>80</v>
      </c>
      <c r="E624" s="13" t="s">
        <v>81</v>
      </c>
      <c r="F624" s="13" t="s">
        <v>116</v>
      </c>
      <c r="G624" s="13" t="s">
        <v>117</v>
      </c>
      <c r="H624" s="13" t="s">
        <v>32</v>
      </c>
      <c r="I624" s="13" t="s">
        <v>33</v>
      </c>
      <c r="J624" s="13">
        <v>7</v>
      </c>
      <c r="K624" s="13">
        <v>5.45</v>
      </c>
      <c r="L624" s="13">
        <v>0.1</v>
      </c>
      <c r="M624" s="13">
        <v>34.34</v>
      </c>
      <c r="N624" s="13">
        <v>22.67</v>
      </c>
      <c r="O624" s="13">
        <v>11.67</v>
      </c>
      <c r="P624" s="13">
        <v>4.8</v>
      </c>
      <c r="Q624" s="13" t="s">
        <v>87</v>
      </c>
      <c r="R624" s="13">
        <v>2025</v>
      </c>
      <c r="S624" s="15" t="str">
        <f t="shared" si="54"/>
        <v>Low Profit</v>
      </c>
      <c r="T624" s="15" t="str">
        <f t="shared" si="55"/>
        <v>Low Sales</v>
      </c>
      <c r="U624" s="15" t="str">
        <f t="shared" si="56"/>
        <v>Good</v>
      </c>
      <c r="V624" s="15" t="str">
        <f t="shared" si="57"/>
        <v>Normal Discount</v>
      </c>
      <c r="W624" s="15">
        <f>VLOOKUP(D624,Lookup_Table!$A:$C,2,FALSE)</f>
        <v>0.12</v>
      </c>
      <c r="X624" s="15">
        <f t="shared" si="58"/>
        <v>0.339836924868957</v>
      </c>
      <c r="Y624" s="15" t="str">
        <f>VLOOKUP(D624,Lookup_Table!A:C,3,0)</f>
        <v>Rahul</v>
      </c>
      <c r="Z624" s="15" t="str">
        <f t="shared" si="59"/>
        <v>Achived</v>
      </c>
    </row>
    <row r="625" spans="1:26">
      <c r="A625" s="13" t="s">
        <v>716</v>
      </c>
      <c r="B625" s="14">
        <v>45821</v>
      </c>
      <c r="C625" s="13" t="s">
        <v>55</v>
      </c>
      <c r="D625" s="13" t="s">
        <v>37</v>
      </c>
      <c r="E625" s="13" t="s">
        <v>86</v>
      </c>
      <c r="F625" s="13" t="s">
        <v>111</v>
      </c>
      <c r="G625" s="13" t="s">
        <v>76</v>
      </c>
      <c r="H625" s="13" t="s">
        <v>77</v>
      </c>
      <c r="I625" s="13" t="s">
        <v>52</v>
      </c>
      <c r="J625" s="13">
        <v>5</v>
      </c>
      <c r="K625" s="13">
        <v>229.41</v>
      </c>
      <c r="L625" s="13">
        <v>0.1</v>
      </c>
      <c r="M625" s="13">
        <v>1032.34</v>
      </c>
      <c r="N625" s="13">
        <v>681.5</v>
      </c>
      <c r="O625" s="13">
        <v>350.84</v>
      </c>
      <c r="P625" s="13">
        <v>3.5</v>
      </c>
      <c r="Q625" s="13" t="s">
        <v>58</v>
      </c>
      <c r="R625" s="13">
        <v>2025</v>
      </c>
      <c r="S625" s="15" t="str">
        <f t="shared" si="54"/>
        <v>Low Profit</v>
      </c>
      <c r="T625" s="15" t="str">
        <f t="shared" si="55"/>
        <v>High Sales</v>
      </c>
      <c r="U625" s="15" t="str">
        <f t="shared" si="56"/>
        <v>Needs Improvement</v>
      </c>
      <c r="V625" s="15" t="str">
        <f t="shared" si="57"/>
        <v>Normal Discount</v>
      </c>
      <c r="W625" s="15">
        <f>VLOOKUP(D625,Lookup_Table!$A:$C,2,FALSE)</f>
        <v>0.16</v>
      </c>
      <c r="X625" s="15">
        <f t="shared" si="58"/>
        <v>0.339849274463839</v>
      </c>
      <c r="Y625" s="15" t="str">
        <f>VLOOKUP(D625,Lookup_Table!A:C,3,0)</f>
        <v>Vikram</v>
      </c>
      <c r="Z625" s="15" t="str">
        <f t="shared" si="59"/>
        <v>Achived</v>
      </c>
    </row>
    <row r="626" spans="1:26">
      <c r="A626" s="13" t="s">
        <v>717</v>
      </c>
      <c r="B626" s="14">
        <v>45999</v>
      </c>
      <c r="C626" s="13" t="s">
        <v>55</v>
      </c>
      <c r="D626" s="13" t="s">
        <v>28</v>
      </c>
      <c r="E626" s="13" t="s">
        <v>49</v>
      </c>
      <c r="F626" s="13" t="s">
        <v>62</v>
      </c>
      <c r="G626" s="13" t="s">
        <v>63</v>
      </c>
      <c r="H626" s="13" t="s">
        <v>32</v>
      </c>
      <c r="I626" s="13" t="s">
        <v>52</v>
      </c>
      <c r="J626" s="13">
        <v>6</v>
      </c>
      <c r="K626" s="13">
        <v>66.1</v>
      </c>
      <c r="L626" s="13">
        <v>0</v>
      </c>
      <c r="M626" s="13">
        <v>396.6</v>
      </c>
      <c r="N626" s="13">
        <v>261.77</v>
      </c>
      <c r="O626" s="13">
        <v>134.83</v>
      </c>
      <c r="P626" s="13">
        <v>3.2</v>
      </c>
      <c r="Q626" s="13" t="s">
        <v>34</v>
      </c>
      <c r="R626" s="13">
        <v>2025</v>
      </c>
      <c r="S626" s="15" t="str">
        <f t="shared" si="54"/>
        <v>Low Profit</v>
      </c>
      <c r="T626" s="15" t="str">
        <f t="shared" si="55"/>
        <v>Low Sales</v>
      </c>
      <c r="U626" s="15" t="str">
        <f t="shared" si="56"/>
        <v>Needs Improvement</v>
      </c>
      <c r="V626" s="15" t="str">
        <f t="shared" si="57"/>
        <v>Normal Discount</v>
      </c>
      <c r="W626" s="15">
        <f>VLOOKUP(D626,Lookup_Table!$A:$C,2,FALSE)</f>
        <v>0.2</v>
      </c>
      <c r="X626" s="15">
        <f t="shared" si="58"/>
        <v>0.339964699949571</v>
      </c>
      <c r="Y626" s="15" t="str">
        <f>VLOOKUP(D626,Lookup_Table!A:C,3,0)</f>
        <v>Sneha</v>
      </c>
      <c r="Z626" s="15" t="str">
        <f t="shared" si="59"/>
        <v>Achived</v>
      </c>
    </row>
    <row r="627" spans="1:26">
      <c r="A627" s="13" t="s">
        <v>718</v>
      </c>
      <c r="B627" s="14">
        <v>45939</v>
      </c>
      <c r="C627" s="13" t="s">
        <v>55</v>
      </c>
      <c r="D627" s="13" t="s">
        <v>37</v>
      </c>
      <c r="E627" s="13" t="s">
        <v>38</v>
      </c>
      <c r="F627" s="13" t="s">
        <v>75</v>
      </c>
      <c r="G627" s="13" t="s">
        <v>76</v>
      </c>
      <c r="H627" s="13" t="s">
        <v>77</v>
      </c>
      <c r="I627" s="13" t="s">
        <v>46</v>
      </c>
      <c r="J627" s="13">
        <v>1</v>
      </c>
      <c r="K627" s="13">
        <v>472.2</v>
      </c>
      <c r="L627" s="13">
        <v>0.15</v>
      </c>
      <c r="M627" s="13">
        <v>401.37</v>
      </c>
      <c r="N627" s="13">
        <v>264.71</v>
      </c>
      <c r="O627" s="13">
        <v>136.66</v>
      </c>
      <c r="P627" s="13">
        <v>3.6</v>
      </c>
      <c r="Q627" s="13" t="s">
        <v>87</v>
      </c>
      <c r="R627" s="13">
        <v>2025</v>
      </c>
      <c r="S627" s="15" t="str">
        <f t="shared" si="54"/>
        <v>Low Profit</v>
      </c>
      <c r="T627" s="15" t="str">
        <f t="shared" si="55"/>
        <v>Low Sales</v>
      </c>
      <c r="U627" s="15" t="str">
        <f t="shared" si="56"/>
        <v>Needs Improvement</v>
      </c>
      <c r="V627" s="15" t="str">
        <f t="shared" si="57"/>
        <v>High Discount</v>
      </c>
      <c r="W627" s="15">
        <f>VLOOKUP(D627,Lookup_Table!$A:$C,2,FALSE)</f>
        <v>0.16</v>
      </c>
      <c r="X627" s="15">
        <f t="shared" si="58"/>
        <v>0.340483842838279</v>
      </c>
      <c r="Y627" s="15" t="str">
        <f>VLOOKUP(D627,Lookup_Table!A:C,3,0)</f>
        <v>Vikram</v>
      </c>
      <c r="Z627" s="15" t="str">
        <f t="shared" si="59"/>
        <v>Achived</v>
      </c>
    </row>
    <row r="628" spans="1:26">
      <c r="A628" s="13" t="s">
        <v>719</v>
      </c>
      <c r="B628" s="14">
        <v>45663</v>
      </c>
      <c r="C628" s="13" t="s">
        <v>55</v>
      </c>
      <c r="D628" s="13" t="s">
        <v>44</v>
      </c>
      <c r="E628" s="13" t="s">
        <v>137</v>
      </c>
      <c r="F628" s="13" t="s">
        <v>111</v>
      </c>
      <c r="G628" s="13" t="s">
        <v>76</v>
      </c>
      <c r="H628" s="13" t="s">
        <v>77</v>
      </c>
      <c r="I628" s="13" t="s">
        <v>96</v>
      </c>
      <c r="J628" s="13">
        <v>5</v>
      </c>
      <c r="K628" s="13">
        <v>575.34</v>
      </c>
      <c r="L628" s="13">
        <v>0.1</v>
      </c>
      <c r="M628" s="13">
        <v>2589.03</v>
      </c>
      <c r="N628" s="13">
        <v>1706.78</v>
      </c>
      <c r="O628" s="13">
        <v>882.25</v>
      </c>
      <c r="P628" s="13">
        <v>2.6</v>
      </c>
      <c r="Q628" s="13" t="s">
        <v>64</v>
      </c>
      <c r="R628" s="13">
        <v>2025</v>
      </c>
      <c r="S628" s="15" t="str">
        <f t="shared" si="54"/>
        <v>High Profit</v>
      </c>
      <c r="T628" s="15" t="str">
        <f t="shared" si="55"/>
        <v>High Sales</v>
      </c>
      <c r="U628" s="15" t="str">
        <f t="shared" si="56"/>
        <v>Needs Improvement</v>
      </c>
      <c r="V628" s="15" t="str">
        <f t="shared" si="57"/>
        <v>Normal Discount</v>
      </c>
      <c r="W628" s="15">
        <f>VLOOKUP(D628,Lookup_Table!$A:$C,2,FALSE)</f>
        <v>0.18</v>
      </c>
      <c r="X628" s="15">
        <f t="shared" si="58"/>
        <v>0.340764687933319</v>
      </c>
      <c r="Y628" s="15" t="str">
        <f>VLOOKUP(D628,Lookup_Table!A:C,3,0)</f>
        <v>Amit</v>
      </c>
      <c r="Z628" s="15" t="str">
        <f t="shared" si="59"/>
        <v>Achived</v>
      </c>
    </row>
    <row r="629" spans="1:26">
      <c r="A629" s="13" t="s">
        <v>720</v>
      </c>
      <c r="B629" s="14">
        <v>46006</v>
      </c>
      <c r="C629" s="13" t="s">
        <v>55</v>
      </c>
      <c r="D629" s="13" t="s">
        <v>44</v>
      </c>
      <c r="E629" s="13" t="s">
        <v>104</v>
      </c>
      <c r="F629" s="13" t="s">
        <v>62</v>
      </c>
      <c r="G629" s="13" t="s">
        <v>63</v>
      </c>
      <c r="H629" s="13" t="s">
        <v>32</v>
      </c>
      <c r="I629" s="13" t="s">
        <v>46</v>
      </c>
      <c r="J629" s="13">
        <v>1</v>
      </c>
      <c r="K629" s="13">
        <v>141.2</v>
      </c>
      <c r="L629" s="13">
        <v>0</v>
      </c>
      <c r="M629" s="13">
        <v>141.2</v>
      </c>
      <c r="N629" s="13">
        <v>93.06</v>
      </c>
      <c r="O629" s="13">
        <v>48.14</v>
      </c>
      <c r="P629" s="13">
        <v>3.6</v>
      </c>
      <c r="Q629" s="13" t="s">
        <v>34</v>
      </c>
      <c r="R629" s="13">
        <v>2025</v>
      </c>
      <c r="S629" s="15" t="str">
        <f t="shared" si="54"/>
        <v>Low Profit</v>
      </c>
      <c r="T629" s="15" t="str">
        <f t="shared" si="55"/>
        <v>Low Sales</v>
      </c>
      <c r="U629" s="15" t="str">
        <f t="shared" si="56"/>
        <v>Needs Improvement</v>
      </c>
      <c r="V629" s="15" t="str">
        <f t="shared" si="57"/>
        <v>Normal Discount</v>
      </c>
      <c r="W629" s="15">
        <f>VLOOKUP(D629,Lookup_Table!$A:$C,2,FALSE)</f>
        <v>0.18</v>
      </c>
      <c r="X629" s="15">
        <f t="shared" si="58"/>
        <v>0.340934844192635</v>
      </c>
      <c r="Y629" s="15" t="str">
        <f>VLOOKUP(D629,Lookup_Table!A:C,3,0)</f>
        <v>Amit</v>
      </c>
      <c r="Z629" s="15" t="str">
        <f t="shared" si="59"/>
        <v>Achived</v>
      </c>
    </row>
    <row r="630" spans="1:26">
      <c r="A630" s="13" t="s">
        <v>721</v>
      </c>
      <c r="B630" s="14">
        <v>45924</v>
      </c>
      <c r="C630" s="13" t="s">
        <v>27</v>
      </c>
      <c r="D630" s="13" t="s">
        <v>28</v>
      </c>
      <c r="E630" s="13" t="s">
        <v>29</v>
      </c>
      <c r="F630" s="13" t="s">
        <v>82</v>
      </c>
      <c r="G630" s="13" t="s">
        <v>83</v>
      </c>
      <c r="H630" s="13" t="s">
        <v>77</v>
      </c>
      <c r="I630" s="13" t="s">
        <v>52</v>
      </c>
      <c r="J630" s="13">
        <v>1</v>
      </c>
      <c r="K630" s="13">
        <v>126.47</v>
      </c>
      <c r="L630" s="13">
        <v>0.05</v>
      </c>
      <c r="M630" s="13">
        <v>120.15</v>
      </c>
      <c r="N630" s="13">
        <v>79.15</v>
      </c>
      <c r="O630" s="13">
        <v>41</v>
      </c>
      <c r="P630" s="13">
        <v>4</v>
      </c>
      <c r="Q630" s="13" t="s">
        <v>53</v>
      </c>
      <c r="R630" s="13">
        <v>2025</v>
      </c>
      <c r="S630" s="15" t="str">
        <f t="shared" si="54"/>
        <v>Low Profit</v>
      </c>
      <c r="T630" s="15" t="str">
        <f t="shared" si="55"/>
        <v>Low Sales</v>
      </c>
      <c r="U630" s="15" t="str">
        <f t="shared" si="56"/>
        <v>Good</v>
      </c>
      <c r="V630" s="15" t="str">
        <f t="shared" si="57"/>
        <v>Normal Discount</v>
      </c>
      <c r="W630" s="15">
        <f>VLOOKUP(D630,Lookup_Table!$A:$C,2,FALSE)</f>
        <v>0.2</v>
      </c>
      <c r="X630" s="15">
        <f t="shared" si="58"/>
        <v>0.341240116521015</v>
      </c>
      <c r="Y630" s="15" t="str">
        <f>VLOOKUP(D630,Lookup_Table!A:C,3,0)</f>
        <v>Sneha</v>
      </c>
      <c r="Z630" s="15" t="str">
        <f t="shared" si="59"/>
        <v>Achived</v>
      </c>
    </row>
    <row r="631" spans="1:26">
      <c r="A631" s="13" t="s">
        <v>722</v>
      </c>
      <c r="B631" s="14">
        <v>45859</v>
      </c>
      <c r="C631" s="13" t="s">
        <v>55</v>
      </c>
      <c r="D631" s="13" t="s">
        <v>60</v>
      </c>
      <c r="E631" s="13" t="s">
        <v>150</v>
      </c>
      <c r="F631" s="13" t="s">
        <v>98</v>
      </c>
      <c r="G631" s="13" t="s">
        <v>99</v>
      </c>
      <c r="H631" s="13" t="s">
        <v>77</v>
      </c>
      <c r="I631" s="13" t="s">
        <v>96</v>
      </c>
      <c r="J631" s="13">
        <v>1</v>
      </c>
      <c r="K631" s="13">
        <v>856.63</v>
      </c>
      <c r="L631" s="13">
        <v>0</v>
      </c>
      <c r="M631" s="13">
        <v>856.63</v>
      </c>
      <c r="N631" s="13">
        <v>564.22</v>
      </c>
      <c r="O631" s="13">
        <v>292.41</v>
      </c>
      <c r="P631" s="13">
        <v>2.6</v>
      </c>
      <c r="Q631" s="13" t="s">
        <v>56</v>
      </c>
      <c r="R631" s="13">
        <v>2025</v>
      </c>
      <c r="S631" s="15" t="str">
        <f t="shared" si="54"/>
        <v>Low Profit</v>
      </c>
      <c r="T631" s="15" t="str">
        <f t="shared" si="55"/>
        <v>Low Sales</v>
      </c>
      <c r="U631" s="15" t="str">
        <f t="shared" si="56"/>
        <v>Needs Improvement</v>
      </c>
      <c r="V631" s="15" t="str">
        <f t="shared" si="57"/>
        <v>Normal Discount</v>
      </c>
      <c r="W631" s="15">
        <f>VLOOKUP(D631,Lookup_Table!$A:$C,2,FALSE)</f>
        <v>0.15</v>
      </c>
      <c r="X631" s="15">
        <f t="shared" si="58"/>
        <v>0.341349240628976</v>
      </c>
      <c r="Y631" s="15" t="str">
        <f>VLOOKUP(D631,Lookup_Table!A:C,3,0)</f>
        <v>Priya</v>
      </c>
      <c r="Z631" s="15" t="str">
        <f t="shared" si="59"/>
        <v>Achived</v>
      </c>
    </row>
    <row r="632" spans="1:26">
      <c r="A632" s="13" t="s">
        <v>723</v>
      </c>
      <c r="B632" s="14">
        <v>45995</v>
      </c>
      <c r="C632" s="13" t="s">
        <v>27</v>
      </c>
      <c r="D632" s="13" t="s">
        <v>60</v>
      </c>
      <c r="E632" s="13" t="s">
        <v>127</v>
      </c>
      <c r="F632" s="13" t="s">
        <v>98</v>
      </c>
      <c r="G632" s="13" t="s">
        <v>99</v>
      </c>
      <c r="H632" s="13" t="s">
        <v>77</v>
      </c>
      <c r="I632" s="13" t="s">
        <v>52</v>
      </c>
      <c r="J632" s="13">
        <v>3</v>
      </c>
      <c r="K632" s="13">
        <v>854.08</v>
      </c>
      <c r="L632" s="13">
        <v>0.1</v>
      </c>
      <c r="M632" s="13">
        <v>2306.02</v>
      </c>
      <c r="N632" s="13">
        <v>1517.24</v>
      </c>
      <c r="O632" s="13">
        <v>788.78</v>
      </c>
      <c r="P632" s="13">
        <v>3.8</v>
      </c>
      <c r="Q632" s="13" t="s">
        <v>34</v>
      </c>
      <c r="R632" s="13">
        <v>2025</v>
      </c>
      <c r="S632" s="15" t="str">
        <f t="shared" si="54"/>
        <v>High Profit</v>
      </c>
      <c r="T632" s="15" t="str">
        <f t="shared" si="55"/>
        <v>High Sales</v>
      </c>
      <c r="U632" s="15" t="str">
        <f t="shared" si="56"/>
        <v>Needs Improvement</v>
      </c>
      <c r="V632" s="15" t="str">
        <f t="shared" si="57"/>
        <v>Normal Discount</v>
      </c>
      <c r="W632" s="15">
        <f>VLOOKUP(D632,Lookup_Table!$A:$C,2,FALSE)</f>
        <v>0.15</v>
      </c>
      <c r="X632" s="15">
        <f t="shared" si="58"/>
        <v>0.34205254074119</v>
      </c>
      <c r="Y632" s="15" t="str">
        <f>VLOOKUP(D632,Lookup_Table!A:C,3,0)</f>
        <v>Priya</v>
      </c>
      <c r="Z632" s="15" t="str">
        <f t="shared" si="59"/>
        <v>Achived</v>
      </c>
    </row>
    <row r="633" spans="1:26">
      <c r="A633" s="13" t="s">
        <v>724</v>
      </c>
      <c r="B633" s="14">
        <v>45727</v>
      </c>
      <c r="C633" s="13" t="s">
        <v>27</v>
      </c>
      <c r="D633" s="13" t="s">
        <v>37</v>
      </c>
      <c r="E633" s="13" t="s">
        <v>93</v>
      </c>
      <c r="F633" s="13" t="s">
        <v>82</v>
      </c>
      <c r="G633" s="13" t="s">
        <v>83</v>
      </c>
      <c r="H633" s="13" t="s">
        <v>77</v>
      </c>
      <c r="I633" s="13" t="s">
        <v>33</v>
      </c>
      <c r="J633" s="13">
        <v>1</v>
      </c>
      <c r="K633" s="13">
        <v>209.87</v>
      </c>
      <c r="L633" s="13">
        <v>0.1</v>
      </c>
      <c r="M633" s="13">
        <v>188.88</v>
      </c>
      <c r="N633" s="13">
        <v>124.16</v>
      </c>
      <c r="O633" s="13">
        <v>64.72</v>
      </c>
      <c r="P633" s="13">
        <v>4.1</v>
      </c>
      <c r="Q633" s="13" t="s">
        <v>94</v>
      </c>
      <c r="R633" s="13">
        <v>2025</v>
      </c>
      <c r="S633" s="15" t="str">
        <f t="shared" si="54"/>
        <v>Low Profit</v>
      </c>
      <c r="T633" s="15" t="str">
        <f t="shared" si="55"/>
        <v>Low Sales</v>
      </c>
      <c r="U633" s="15" t="str">
        <f t="shared" si="56"/>
        <v>Good</v>
      </c>
      <c r="V633" s="15" t="str">
        <f t="shared" si="57"/>
        <v>Normal Discount</v>
      </c>
      <c r="W633" s="15">
        <f>VLOOKUP(D633,Lookup_Table!$A:$C,2,FALSE)</f>
        <v>0.16</v>
      </c>
      <c r="X633" s="15">
        <f t="shared" si="58"/>
        <v>0.342651418890301</v>
      </c>
      <c r="Y633" s="15" t="str">
        <f>VLOOKUP(D633,Lookup_Table!A:C,3,0)</f>
        <v>Vikram</v>
      </c>
      <c r="Z633" s="15" t="str">
        <f t="shared" si="59"/>
        <v>Achived</v>
      </c>
    </row>
    <row r="634" spans="1:26">
      <c r="A634" s="13" t="s">
        <v>725</v>
      </c>
      <c r="B634" s="14">
        <v>45869</v>
      </c>
      <c r="C634" s="13" t="s">
        <v>55</v>
      </c>
      <c r="D634" s="13" t="s">
        <v>28</v>
      </c>
      <c r="E634" s="13" t="s">
        <v>29</v>
      </c>
      <c r="F634" s="13" t="s">
        <v>75</v>
      </c>
      <c r="G634" s="13" t="s">
        <v>76</v>
      </c>
      <c r="H634" s="13" t="s">
        <v>77</v>
      </c>
      <c r="I634" s="13" t="s">
        <v>96</v>
      </c>
      <c r="J634" s="13">
        <v>1</v>
      </c>
      <c r="K634" s="13">
        <v>69.85</v>
      </c>
      <c r="L634" s="13">
        <v>0.15</v>
      </c>
      <c r="M634" s="13">
        <v>59.37</v>
      </c>
      <c r="N634" s="13">
        <v>39.02</v>
      </c>
      <c r="O634" s="13">
        <v>20.35</v>
      </c>
      <c r="P634" s="13">
        <v>3.9</v>
      </c>
      <c r="Q634" s="13" t="s">
        <v>56</v>
      </c>
      <c r="R634" s="13">
        <v>2025</v>
      </c>
      <c r="S634" s="15" t="str">
        <f t="shared" si="54"/>
        <v>Low Profit</v>
      </c>
      <c r="T634" s="15" t="str">
        <f t="shared" si="55"/>
        <v>Low Sales</v>
      </c>
      <c r="U634" s="15" t="str">
        <f t="shared" si="56"/>
        <v>Needs Improvement</v>
      </c>
      <c r="V634" s="15" t="str">
        <f t="shared" si="57"/>
        <v>High Discount</v>
      </c>
      <c r="W634" s="15">
        <f>VLOOKUP(D634,Lookup_Table!$A:$C,2,FALSE)</f>
        <v>0.2</v>
      </c>
      <c r="X634" s="15">
        <f t="shared" si="58"/>
        <v>0.342765706585818</v>
      </c>
      <c r="Y634" s="15" t="str">
        <f>VLOOKUP(D634,Lookup_Table!A:C,3,0)</f>
        <v>Sneha</v>
      </c>
      <c r="Z634" s="15" t="str">
        <f t="shared" si="59"/>
        <v>Achived</v>
      </c>
    </row>
    <row r="635" spans="1:26">
      <c r="A635" s="13" t="s">
        <v>726</v>
      </c>
      <c r="B635" s="14">
        <v>45840</v>
      </c>
      <c r="C635" s="13" t="s">
        <v>55</v>
      </c>
      <c r="D635" s="13" t="s">
        <v>44</v>
      </c>
      <c r="E635" s="13" t="s">
        <v>104</v>
      </c>
      <c r="F635" s="13" t="s">
        <v>111</v>
      </c>
      <c r="G635" s="13" t="s">
        <v>76</v>
      </c>
      <c r="H635" s="13" t="s">
        <v>77</v>
      </c>
      <c r="I635" s="13" t="s">
        <v>52</v>
      </c>
      <c r="J635" s="13">
        <v>3</v>
      </c>
      <c r="K635" s="13">
        <v>515.11</v>
      </c>
      <c r="L635" s="13">
        <v>0</v>
      </c>
      <c r="M635" s="13">
        <v>1545.33</v>
      </c>
      <c r="N635" s="13">
        <v>1015.31</v>
      </c>
      <c r="O635" s="13">
        <v>530.02</v>
      </c>
      <c r="P635" s="13">
        <v>3.8</v>
      </c>
      <c r="Q635" s="13" t="s">
        <v>56</v>
      </c>
      <c r="R635" s="13">
        <v>2025</v>
      </c>
      <c r="S635" s="15" t="str">
        <f t="shared" si="54"/>
        <v>High Profit</v>
      </c>
      <c r="T635" s="15" t="str">
        <f t="shared" si="55"/>
        <v>High Sales</v>
      </c>
      <c r="U635" s="15" t="str">
        <f t="shared" si="56"/>
        <v>Needs Improvement</v>
      </c>
      <c r="V635" s="15" t="str">
        <f t="shared" si="57"/>
        <v>Normal Discount</v>
      </c>
      <c r="W635" s="15">
        <f>VLOOKUP(D635,Lookup_Table!$A:$C,2,FALSE)</f>
        <v>0.18</v>
      </c>
      <c r="X635" s="15">
        <f t="shared" si="58"/>
        <v>0.342981757941669</v>
      </c>
      <c r="Y635" s="15" t="str">
        <f>VLOOKUP(D635,Lookup_Table!A:C,3,0)</f>
        <v>Amit</v>
      </c>
      <c r="Z635" s="15" t="str">
        <f t="shared" si="59"/>
        <v>Achived</v>
      </c>
    </row>
    <row r="636" spans="1:26">
      <c r="A636" s="13" t="s">
        <v>727</v>
      </c>
      <c r="B636" s="14">
        <v>45996</v>
      </c>
      <c r="C636" s="13" t="s">
        <v>55</v>
      </c>
      <c r="D636" s="13" t="s">
        <v>37</v>
      </c>
      <c r="E636" s="13" t="s">
        <v>109</v>
      </c>
      <c r="F636" s="13" t="s">
        <v>67</v>
      </c>
      <c r="G636" s="13" t="s">
        <v>68</v>
      </c>
      <c r="H636" s="13" t="s">
        <v>69</v>
      </c>
      <c r="I636" s="13" t="s">
        <v>46</v>
      </c>
      <c r="J636" s="13">
        <v>7</v>
      </c>
      <c r="K636" s="13">
        <v>91.49</v>
      </c>
      <c r="L636" s="13">
        <v>0.1</v>
      </c>
      <c r="M636" s="13">
        <v>576.39</v>
      </c>
      <c r="N636" s="13">
        <v>378.64</v>
      </c>
      <c r="O636" s="13">
        <v>197.75</v>
      </c>
      <c r="P636" s="13">
        <v>3.6</v>
      </c>
      <c r="Q636" s="13" t="s">
        <v>34</v>
      </c>
      <c r="R636" s="13">
        <v>2025</v>
      </c>
      <c r="S636" s="15" t="str">
        <f t="shared" si="54"/>
        <v>Low Profit</v>
      </c>
      <c r="T636" s="15" t="str">
        <f t="shared" si="55"/>
        <v>Low Sales</v>
      </c>
      <c r="U636" s="15" t="str">
        <f t="shared" si="56"/>
        <v>Needs Improvement</v>
      </c>
      <c r="V636" s="15" t="str">
        <f t="shared" si="57"/>
        <v>Normal Discount</v>
      </c>
      <c r="W636" s="15">
        <f>VLOOKUP(D636,Lookup_Table!$A:$C,2,FALSE)</f>
        <v>0.16</v>
      </c>
      <c r="X636" s="15">
        <f t="shared" si="58"/>
        <v>0.343083675983275</v>
      </c>
      <c r="Y636" s="15" t="str">
        <f>VLOOKUP(D636,Lookup_Table!A:C,3,0)</f>
        <v>Vikram</v>
      </c>
      <c r="Z636" s="15" t="str">
        <f t="shared" si="59"/>
        <v>Achived</v>
      </c>
    </row>
    <row r="637" spans="1:26">
      <c r="A637" s="13" t="s">
        <v>728</v>
      </c>
      <c r="B637" s="14">
        <v>45830</v>
      </c>
      <c r="C637" s="13" t="s">
        <v>36</v>
      </c>
      <c r="D637" s="13" t="s">
        <v>60</v>
      </c>
      <c r="E637" s="13" t="s">
        <v>150</v>
      </c>
      <c r="F637" s="13" t="s">
        <v>75</v>
      </c>
      <c r="G637" s="13" t="s">
        <v>76</v>
      </c>
      <c r="H637" s="13" t="s">
        <v>77</v>
      </c>
      <c r="I637" s="13" t="s">
        <v>46</v>
      </c>
      <c r="J637" s="13">
        <v>4</v>
      </c>
      <c r="K637" s="13">
        <v>544.46</v>
      </c>
      <c r="L637" s="13">
        <v>0.05</v>
      </c>
      <c r="M637" s="13">
        <v>2068.95</v>
      </c>
      <c r="N637" s="13">
        <v>1358.45</v>
      </c>
      <c r="O637" s="13">
        <v>710.5</v>
      </c>
      <c r="P637" s="13">
        <v>3.1</v>
      </c>
      <c r="Q637" s="13" t="s">
        <v>58</v>
      </c>
      <c r="R637" s="13">
        <v>2025</v>
      </c>
      <c r="S637" s="15" t="str">
        <f t="shared" si="54"/>
        <v>High Profit</v>
      </c>
      <c r="T637" s="15" t="str">
        <f t="shared" si="55"/>
        <v>High Sales</v>
      </c>
      <c r="U637" s="15" t="str">
        <f t="shared" si="56"/>
        <v>Needs Improvement</v>
      </c>
      <c r="V637" s="15" t="str">
        <f t="shared" si="57"/>
        <v>Normal Discount</v>
      </c>
      <c r="W637" s="15">
        <f>VLOOKUP(D637,Lookup_Table!$A:$C,2,FALSE)</f>
        <v>0.15</v>
      </c>
      <c r="X637" s="15">
        <f t="shared" si="58"/>
        <v>0.34341090891515</v>
      </c>
      <c r="Y637" s="15" t="str">
        <f>VLOOKUP(D637,Lookup_Table!A:C,3,0)</f>
        <v>Priya</v>
      </c>
      <c r="Z637" s="15" t="str">
        <f t="shared" si="59"/>
        <v>Achived</v>
      </c>
    </row>
    <row r="638" spans="1:26">
      <c r="A638" s="13" t="s">
        <v>729</v>
      </c>
      <c r="B638" s="14">
        <v>45728</v>
      </c>
      <c r="C638" s="13" t="s">
        <v>36</v>
      </c>
      <c r="D638" s="13" t="s">
        <v>60</v>
      </c>
      <c r="E638" s="13" t="s">
        <v>150</v>
      </c>
      <c r="F638" s="13" t="s">
        <v>75</v>
      </c>
      <c r="G638" s="13" t="s">
        <v>76</v>
      </c>
      <c r="H638" s="13" t="s">
        <v>77</v>
      </c>
      <c r="I638" s="13" t="s">
        <v>96</v>
      </c>
      <c r="J638" s="13">
        <v>5</v>
      </c>
      <c r="K638" s="13">
        <v>747.22</v>
      </c>
      <c r="L638" s="13">
        <v>0.1</v>
      </c>
      <c r="M638" s="13">
        <v>3362.49</v>
      </c>
      <c r="N638" s="13">
        <v>2207.47</v>
      </c>
      <c r="O638" s="13">
        <v>1155.02</v>
      </c>
      <c r="P638" s="13">
        <v>4.2</v>
      </c>
      <c r="Q638" s="13" t="s">
        <v>94</v>
      </c>
      <c r="R638" s="13">
        <v>2025</v>
      </c>
      <c r="S638" s="15" t="str">
        <f t="shared" si="54"/>
        <v>High Profit</v>
      </c>
      <c r="T638" s="15" t="str">
        <f t="shared" si="55"/>
        <v>High Sales</v>
      </c>
      <c r="U638" s="15" t="str">
        <f t="shared" si="56"/>
        <v>Good</v>
      </c>
      <c r="V638" s="15" t="str">
        <f t="shared" si="57"/>
        <v>Normal Discount</v>
      </c>
      <c r="W638" s="15">
        <f>VLOOKUP(D638,Lookup_Table!$A:$C,2,FALSE)</f>
        <v>0.15</v>
      </c>
      <c r="X638" s="15">
        <f t="shared" si="58"/>
        <v>0.343501393312694</v>
      </c>
      <c r="Y638" s="15" t="str">
        <f>VLOOKUP(D638,Lookup_Table!A:C,3,0)</f>
        <v>Priya</v>
      </c>
      <c r="Z638" s="15" t="str">
        <f t="shared" si="59"/>
        <v>Achived</v>
      </c>
    </row>
    <row r="639" spans="1:26">
      <c r="A639" s="13" t="s">
        <v>730</v>
      </c>
      <c r="B639" s="14">
        <v>45801</v>
      </c>
      <c r="C639" s="13" t="s">
        <v>27</v>
      </c>
      <c r="D639" s="13" t="s">
        <v>28</v>
      </c>
      <c r="E639" s="13" t="s">
        <v>29</v>
      </c>
      <c r="F639" s="13" t="s">
        <v>67</v>
      </c>
      <c r="G639" s="13" t="s">
        <v>68</v>
      </c>
      <c r="H639" s="13" t="s">
        <v>69</v>
      </c>
      <c r="I639" s="13" t="s">
        <v>52</v>
      </c>
      <c r="J639" s="13">
        <v>4</v>
      </c>
      <c r="K639" s="13">
        <v>138.52</v>
      </c>
      <c r="L639" s="13">
        <v>0</v>
      </c>
      <c r="M639" s="13">
        <v>554.08</v>
      </c>
      <c r="N639" s="13">
        <v>363.73</v>
      </c>
      <c r="O639" s="13">
        <v>190.35</v>
      </c>
      <c r="P639" s="13">
        <v>3.8</v>
      </c>
      <c r="Q639" s="13" t="s">
        <v>42</v>
      </c>
      <c r="R639" s="13">
        <v>2025</v>
      </c>
      <c r="S639" s="15" t="str">
        <f t="shared" si="54"/>
        <v>Low Profit</v>
      </c>
      <c r="T639" s="15" t="str">
        <f t="shared" si="55"/>
        <v>Low Sales</v>
      </c>
      <c r="U639" s="15" t="str">
        <f t="shared" si="56"/>
        <v>Needs Improvement</v>
      </c>
      <c r="V639" s="15" t="str">
        <f t="shared" si="57"/>
        <v>Normal Discount</v>
      </c>
      <c r="W639" s="15">
        <f>VLOOKUP(D639,Lookup_Table!$A:$C,2,FALSE)</f>
        <v>0.2</v>
      </c>
      <c r="X639" s="15">
        <f t="shared" si="58"/>
        <v>0.343542448743864</v>
      </c>
      <c r="Y639" s="15" t="str">
        <f>VLOOKUP(D639,Lookup_Table!A:C,3,0)</f>
        <v>Sneha</v>
      </c>
      <c r="Z639" s="15" t="str">
        <f t="shared" si="59"/>
        <v>Achived</v>
      </c>
    </row>
    <row r="640" spans="1:26">
      <c r="A640" s="13" t="s">
        <v>731</v>
      </c>
      <c r="B640" s="14">
        <v>45917</v>
      </c>
      <c r="C640" s="13" t="s">
        <v>55</v>
      </c>
      <c r="D640" s="13" t="s">
        <v>44</v>
      </c>
      <c r="E640" s="13" t="s">
        <v>45</v>
      </c>
      <c r="F640" s="13" t="s">
        <v>50</v>
      </c>
      <c r="G640" s="13" t="s">
        <v>51</v>
      </c>
      <c r="H640" s="13" t="s">
        <v>32</v>
      </c>
      <c r="I640" s="13" t="s">
        <v>52</v>
      </c>
      <c r="J640" s="13">
        <v>1</v>
      </c>
      <c r="K640" s="13">
        <v>1326.4</v>
      </c>
      <c r="L640" s="13">
        <v>0.1</v>
      </c>
      <c r="M640" s="13">
        <v>1193.76</v>
      </c>
      <c r="N640" s="13">
        <v>783.5</v>
      </c>
      <c r="O640" s="13">
        <v>410.26</v>
      </c>
      <c r="P640" s="13">
        <v>2.7</v>
      </c>
      <c r="Q640" s="13" t="s">
        <v>53</v>
      </c>
      <c r="R640" s="13">
        <v>2025</v>
      </c>
      <c r="S640" s="15" t="str">
        <f t="shared" si="54"/>
        <v>Low Profit</v>
      </c>
      <c r="T640" s="15" t="str">
        <f t="shared" si="55"/>
        <v>High Sales</v>
      </c>
      <c r="U640" s="15" t="str">
        <f t="shared" si="56"/>
        <v>Needs Improvement</v>
      </c>
      <c r="V640" s="15" t="str">
        <f t="shared" si="57"/>
        <v>Normal Discount</v>
      </c>
      <c r="W640" s="15">
        <f>VLOOKUP(D640,Lookup_Table!$A:$C,2,FALSE)</f>
        <v>0.18</v>
      </c>
      <c r="X640" s="15">
        <f t="shared" si="58"/>
        <v>0.34367041951481</v>
      </c>
      <c r="Y640" s="15" t="str">
        <f>VLOOKUP(D640,Lookup_Table!A:C,3,0)</f>
        <v>Amit</v>
      </c>
      <c r="Z640" s="15" t="str">
        <f t="shared" si="59"/>
        <v>Achived</v>
      </c>
    </row>
    <row r="641" spans="1:26">
      <c r="A641" s="13" t="s">
        <v>732</v>
      </c>
      <c r="B641" s="14">
        <v>45872</v>
      </c>
      <c r="C641" s="13" t="s">
        <v>55</v>
      </c>
      <c r="D641" s="13" t="s">
        <v>80</v>
      </c>
      <c r="E641" s="13" t="s">
        <v>81</v>
      </c>
      <c r="F641" s="13" t="s">
        <v>50</v>
      </c>
      <c r="G641" s="13" t="s">
        <v>51</v>
      </c>
      <c r="H641" s="13" t="s">
        <v>32</v>
      </c>
      <c r="I641" s="13" t="s">
        <v>46</v>
      </c>
      <c r="J641" s="13">
        <v>1</v>
      </c>
      <c r="K641" s="13">
        <v>66.42</v>
      </c>
      <c r="L641" s="13">
        <v>0</v>
      </c>
      <c r="M641" s="13">
        <v>66.42</v>
      </c>
      <c r="N641" s="13">
        <v>43.55</v>
      </c>
      <c r="O641" s="13">
        <v>22.87</v>
      </c>
      <c r="P641" s="13">
        <v>4.5</v>
      </c>
      <c r="Q641" s="13" t="s">
        <v>47</v>
      </c>
      <c r="R641" s="13">
        <v>2025</v>
      </c>
      <c r="S641" s="15" t="str">
        <f t="shared" si="54"/>
        <v>Low Profit</v>
      </c>
      <c r="T641" s="15" t="str">
        <f t="shared" si="55"/>
        <v>Low Sales</v>
      </c>
      <c r="U641" s="15" t="str">
        <f t="shared" si="56"/>
        <v>Good</v>
      </c>
      <c r="V641" s="15" t="str">
        <f t="shared" si="57"/>
        <v>Normal Discount</v>
      </c>
      <c r="W641" s="15">
        <f>VLOOKUP(D641,Lookup_Table!$A:$C,2,FALSE)</f>
        <v>0.12</v>
      </c>
      <c r="X641" s="15">
        <f t="shared" si="58"/>
        <v>0.344323998795544</v>
      </c>
      <c r="Y641" s="15" t="str">
        <f>VLOOKUP(D641,Lookup_Table!A:C,3,0)</f>
        <v>Rahul</v>
      </c>
      <c r="Z641" s="15" t="str">
        <f t="shared" si="59"/>
        <v>Achived</v>
      </c>
    </row>
    <row r="642" spans="1:26">
      <c r="A642" s="13" t="s">
        <v>733</v>
      </c>
      <c r="B642" s="14">
        <v>45990</v>
      </c>
      <c r="C642" s="13" t="s">
        <v>55</v>
      </c>
      <c r="D642" s="13" t="s">
        <v>60</v>
      </c>
      <c r="E642" s="13" t="s">
        <v>127</v>
      </c>
      <c r="F642" s="13" t="s">
        <v>50</v>
      </c>
      <c r="G642" s="13" t="s">
        <v>51</v>
      </c>
      <c r="H642" s="13" t="s">
        <v>32</v>
      </c>
      <c r="I642" s="13" t="s">
        <v>96</v>
      </c>
      <c r="J642" s="13">
        <v>3</v>
      </c>
      <c r="K642" s="13">
        <v>154.93</v>
      </c>
      <c r="L642" s="13">
        <v>0.15</v>
      </c>
      <c r="M642" s="13">
        <v>395.07</v>
      </c>
      <c r="N642" s="13">
        <v>258.89</v>
      </c>
      <c r="O642" s="13">
        <v>136.18</v>
      </c>
      <c r="P642" s="13">
        <v>4.7</v>
      </c>
      <c r="Q642" s="13" t="s">
        <v>71</v>
      </c>
      <c r="R642" s="13">
        <v>2025</v>
      </c>
      <c r="S642" s="15" t="str">
        <f t="shared" ref="S642:S705" si="60">IF(O642&gt;500,"High Profit","Low Profit")</f>
        <v>Low Profit</v>
      </c>
      <c r="T642" s="15" t="str">
        <f t="shared" ref="T642:T705" si="61">IF(M642&gt;1000,"High Sales","Low Sales")</f>
        <v>Low Sales</v>
      </c>
      <c r="U642" s="15" t="str">
        <f t="shared" ref="U642:U705" si="62">IF(P642&gt;=4,"Good","Needs Improvement")</f>
        <v>Good</v>
      </c>
      <c r="V642" s="15" t="str">
        <f t="shared" ref="V642:V705" si="63">IF(L642&gt;=15%,"High Discount","Normal Discount")</f>
        <v>High Discount</v>
      </c>
      <c r="W642" s="15">
        <f>VLOOKUP(D642,Lookup_Table!$A:$C,2,FALSE)</f>
        <v>0.15</v>
      </c>
      <c r="X642" s="15">
        <f t="shared" ref="X642:X705" si="64">O642/M642</f>
        <v>0.344698407877085</v>
      </c>
      <c r="Y642" s="15" t="str">
        <f>VLOOKUP(D642,Lookup_Table!A:C,3,0)</f>
        <v>Priya</v>
      </c>
      <c r="Z642" s="15" t="str">
        <f t="shared" ref="Z642:Z705" si="65">IF(X642&gt;=W642,"Achived","Not Achieved")</f>
        <v>Achived</v>
      </c>
    </row>
    <row r="643" spans="1:26">
      <c r="A643" s="13" t="s">
        <v>734</v>
      </c>
      <c r="B643" s="14">
        <v>45999</v>
      </c>
      <c r="C643" s="13" t="s">
        <v>27</v>
      </c>
      <c r="D643" s="13" t="s">
        <v>37</v>
      </c>
      <c r="E643" s="13" t="s">
        <v>38</v>
      </c>
      <c r="F643" s="13" t="s">
        <v>50</v>
      </c>
      <c r="G643" s="13" t="s">
        <v>51</v>
      </c>
      <c r="H643" s="13" t="s">
        <v>32</v>
      </c>
      <c r="I643" s="13" t="s">
        <v>52</v>
      </c>
      <c r="J643" s="13">
        <v>7</v>
      </c>
      <c r="K643" s="13">
        <v>214.68</v>
      </c>
      <c r="L643" s="13">
        <v>0</v>
      </c>
      <c r="M643" s="13">
        <v>1502.76</v>
      </c>
      <c r="N643" s="13">
        <v>984.6</v>
      </c>
      <c r="O643" s="13">
        <v>518.16</v>
      </c>
      <c r="P643" s="13">
        <v>3.9</v>
      </c>
      <c r="Q643" s="13" t="s">
        <v>34</v>
      </c>
      <c r="R643" s="13">
        <v>2025</v>
      </c>
      <c r="S643" s="15" t="str">
        <f t="shared" si="60"/>
        <v>High Profit</v>
      </c>
      <c r="T643" s="15" t="str">
        <f t="shared" si="61"/>
        <v>High Sales</v>
      </c>
      <c r="U643" s="15" t="str">
        <f t="shared" si="62"/>
        <v>Needs Improvement</v>
      </c>
      <c r="V643" s="15" t="str">
        <f t="shared" si="63"/>
        <v>Normal Discount</v>
      </c>
      <c r="W643" s="15">
        <f>VLOOKUP(D643,Lookup_Table!$A:$C,2,FALSE)</f>
        <v>0.16</v>
      </c>
      <c r="X643" s="15">
        <f t="shared" si="64"/>
        <v>0.344805557773696</v>
      </c>
      <c r="Y643" s="15" t="str">
        <f>VLOOKUP(D643,Lookup_Table!A:C,3,0)</f>
        <v>Vikram</v>
      </c>
      <c r="Z643" s="15" t="str">
        <f t="shared" si="65"/>
        <v>Achived</v>
      </c>
    </row>
    <row r="644" spans="1:26">
      <c r="A644" s="13" t="s">
        <v>735</v>
      </c>
      <c r="B644" s="14">
        <v>45894</v>
      </c>
      <c r="C644" s="13" t="s">
        <v>55</v>
      </c>
      <c r="D644" s="13" t="s">
        <v>28</v>
      </c>
      <c r="E644" s="13" t="s">
        <v>90</v>
      </c>
      <c r="F644" s="13" t="s">
        <v>82</v>
      </c>
      <c r="G644" s="13" t="s">
        <v>83</v>
      </c>
      <c r="H644" s="13" t="s">
        <v>77</v>
      </c>
      <c r="I644" s="13" t="s">
        <v>96</v>
      </c>
      <c r="J644" s="13">
        <v>7</v>
      </c>
      <c r="K644" s="13">
        <v>93.7</v>
      </c>
      <c r="L644" s="13">
        <v>0</v>
      </c>
      <c r="M644" s="13">
        <v>655.9</v>
      </c>
      <c r="N644" s="13">
        <v>428.79</v>
      </c>
      <c r="O644" s="13">
        <v>227.11</v>
      </c>
      <c r="P644" s="13">
        <v>3.9</v>
      </c>
      <c r="Q644" s="13" t="s">
        <v>47</v>
      </c>
      <c r="R644" s="13">
        <v>2025</v>
      </c>
      <c r="S644" s="15" t="str">
        <f t="shared" si="60"/>
        <v>Low Profit</v>
      </c>
      <c r="T644" s="15" t="str">
        <f t="shared" si="61"/>
        <v>Low Sales</v>
      </c>
      <c r="U644" s="15" t="str">
        <f t="shared" si="62"/>
        <v>Needs Improvement</v>
      </c>
      <c r="V644" s="15" t="str">
        <f t="shared" si="63"/>
        <v>Normal Discount</v>
      </c>
      <c r="W644" s="15">
        <f>VLOOKUP(D644,Lookup_Table!$A:$C,2,FALSE)</f>
        <v>0.2</v>
      </c>
      <c r="X644" s="15">
        <f t="shared" si="64"/>
        <v>0.346257051379784</v>
      </c>
      <c r="Y644" s="15" t="str">
        <f>VLOOKUP(D644,Lookup_Table!A:C,3,0)</f>
        <v>Sneha</v>
      </c>
      <c r="Z644" s="15" t="str">
        <f t="shared" si="65"/>
        <v>Achived</v>
      </c>
    </row>
    <row r="645" spans="1:26">
      <c r="A645" s="13" t="s">
        <v>736</v>
      </c>
      <c r="B645" s="14">
        <v>46008</v>
      </c>
      <c r="C645" s="13" t="s">
        <v>55</v>
      </c>
      <c r="D645" s="13" t="s">
        <v>80</v>
      </c>
      <c r="E645" s="13" t="s">
        <v>81</v>
      </c>
      <c r="F645" s="13" t="s">
        <v>111</v>
      </c>
      <c r="G645" s="13" t="s">
        <v>76</v>
      </c>
      <c r="H645" s="13" t="s">
        <v>77</v>
      </c>
      <c r="I645" s="13" t="s">
        <v>96</v>
      </c>
      <c r="J645" s="13">
        <v>7</v>
      </c>
      <c r="K645" s="13">
        <v>63.68</v>
      </c>
      <c r="L645" s="13">
        <v>0.1</v>
      </c>
      <c r="M645" s="13">
        <v>401.18</v>
      </c>
      <c r="N645" s="13">
        <v>262.25</v>
      </c>
      <c r="O645" s="13">
        <v>138.93</v>
      </c>
      <c r="P645" s="13">
        <v>4.8</v>
      </c>
      <c r="Q645" s="13" t="s">
        <v>34</v>
      </c>
      <c r="R645" s="13">
        <v>2025</v>
      </c>
      <c r="S645" s="15" t="str">
        <f t="shared" si="60"/>
        <v>Low Profit</v>
      </c>
      <c r="T645" s="15" t="str">
        <f t="shared" si="61"/>
        <v>Low Sales</v>
      </c>
      <c r="U645" s="15" t="str">
        <f t="shared" si="62"/>
        <v>Good</v>
      </c>
      <c r="V645" s="15" t="str">
        <f t="shared" si="63"/>
        <v>Normal Discount</v>
      </c>
      <c r="W645" s="15">
        <f>VLOOKUP(D645,Lookup_Table!$A:$C,2,FALSE)</f>
        <v>0.12</v>
      </c>
      <c r="X645" s="15">
        <f t="shared" si="64"/>
        <v>0.346303404955382</v>
      </c>
      <c r="Y645" s="15" t="str">
        <f>VLOOKUP(D645,Lookup_Table!A:C,3,0)</f>
        <v>Rahul</v>
      </c>
      <c r="Z645" s="15" t="str">
        <f t="shared" si="65"/>
        <v>Achived</v>
      </c>
    </row>
    <row r="646" spans="1:26">
      <c r="A646" s="13" t="s">
        <v>737</v>
      </c>
      <c r="B646" s="14">
        <v>45824</v>
      </c>
      <c r="C646" s="13" t="s">
        <v>55</v>
      </c>
      <c r="D646" s="13" t="s">
        <v>80</v>
      </c>
      <c r="E646" s="13" t="s">
        <v>101</v>
      </c>
      <c r="F646" s="13" t="s">
        <v>111</v>
      </c>
      <c r="G646" s="13" t="s">
        <v>76</v>
      </c>
      <c r="H646" s="13" t="s">
        <v>77</v>
      </c>
      <c r="I646" s="13" t="s">
        <v>33</v>
      </c>
      <c r="J646" s="13">
        <v>5</v>
      </c>
      <c r="K646" s="13">
        <v>10.98</v>
      </c>
      <c r="L646" s="13">
        <v>0.15</v>
      </c>
      <c r="M646" s="13">
        <v>46.67</v>
      </c>
      <c r="N646" s="13">
        <v>30.48</v>
      </c>
      <c r="O646" s="13">
        <v>16.19</v>
      </c>
      <c r="P646" s="13">
        <v>3.7</v>
      </c>
      <c r="Q646" s="13" t="s">
        <v>58</v>
      </c>
      <c r="R646" s="13">
        <v>2025</v>
      </c>
      <c r="S646" s="15" t="str">
        <f t="shared" si="60"/>
        <v>Low Profit</v>
      </c>
      <c r="T646" s="15" t="str">
        <f t="shared" si="61"/>
        <v>Low Sales</v>
      </c>
      <c r="U646" s="15" t="str">
        <f t="shared" si="62"/>
        <v>Needs Improvement</v>
      </c>
      <c r="V646" s="15" t="str">
        <f t="shared" si="63"/>
        <v>High Discount</v>
      </c>
      <c r="W646" s="15">
        <f>VLOOKUP(D646,Lookup_Table!$A:$C,2,FALSE)</f>
        <v>0.12</v>
      </c>
      <c r="X646" s="15">
        <f t="shared" si="64"/>
        <v>0.346903792586244</v>
      </c>
      <c r="Y646" s="15" t="str">
        <f>VLOOKUP(D646,Lookup_Table!A:C,3,0)</f>
        <v>Rahul</v>
      </c>
      <c r="Z646" s="15" t="str">
        <f t="shared" si="65"/>
        <v>Achived</v>
      </c>
    </row>
    <row r="647" spans="1:26">
      <c r="A647" s="13" t="s">
        <v>738</v>
      </c>
      <c r="B647" s="14">
        <v>45945</v>
      </c>
      <c r="C647" s="13" t="s">
        <v>55</v>
      </c>
      <c r="D647" s="13" t="s">
        <v>28</v>
      </c>
      <c r="E647" s="13" t="s">
        <v>29</v>
      </c>
      <c r="F647" s="13" t="s">
        <v>67</v>
      </c>
      <c r="G647" s="13" t="s">
        <v>68</v>
      </c>
      <c r="H647" s="13" t="s">
        <v>69</v>
      </c>
      <c r="I647" s="13" t="s">
        <v>46</v>
      </c>
      <c r="J647" s="13">
        <v>5</v>
      </c>
      <c r="K647" s="13">
        <v>70.91</v>
      </c>
      <c r="L647" s="13">
        <v>0.1</v>
      </c>
      <c r="M647" s="13">
        <v>319.09</v>
      </c>
      <c r="N647" s="13">
        <v>208.33</v>
      </c>
      <c r="O647" s="13">
        <v>110.76</v>
      </c>
      <c r="P647" s="13">
        <v>2.5</v>
      </c>
      <c r="Q647" s="13" t="s">
        <v>87</v>
      </c>
      <c r="R647" s="13">
        <v>2025</v>
      </c>
      <c r="S647" s="15" t="str">
        <f t="shared" si="60"/>
        <v>Low Profit</v>
      </c>
      <c r="T647" s="15" t="str">
        <f t="shared" si="61"/>
        <v>Low Sales</v>
      </c>
      <c r="U647" s="15" t="str">
        <f t="shared" si="62"/>
        <v>Needs Improvement</v>
      </c>
      <c r="V647" s="15" t="str">
        <f t="shared" si="63"/>
        <v>Normal Discount</v>
      </c>
      <c r="W647" s="15">
        <f>VLOOKUP(D647,Lookup_Table!$A:$C,2,FALSE)</f>
        <v>0.2</v>
      </c>
      <c r="X647" s="15">
        <f t="shared" si="64"/>
        <v>0.347112100034473</v>
      </c>
      <c r="Y647" s="15" t="str">
        <f>VLOOKUP(D647,Lookup_Table!A:C,3,0)</f>
        <v>Sneha</v>
      </c>
      <c r="Z647" s="15" t="str">
        <f t="shared" si="65"/>
        <v>Achived</v>
      </c>
    </row>
    <row r="648" spans="1:26">
      <c r="A648" s="13" t="s">
        <v>739</v>
      </c>
      <c r="B648" s="14">
        <v>46001</v>
      </c>
      <c r="C648" s="13" t="s">
        <v>36</v>
      </c>
      <c r="D648" s="13" t="s">
        <v>37</v>
      </c>
      <c r="E648" s="13" t="s">
        <v>109</v>
      </c>
      <c r="F648" s="13" t="s">
        <v>50</v>
      </c>
      <c r="G648" s="13" t="s">
        <v>51</v>
      </c>
      <c r="H648" s="13" t="s">
        <v>32</v>
      </c>
      <c r="I648" s="13" t="s">
        <v>96</v>
      </c>
      <c r="J648" s="13">
        <v>1</v>
      </c>
      <c r="K648" s="13">
        <v>389.13</v>
      </c>
      <c r="L648" s="13">
        <v>0</v>
      </c>
      <c r="M648" s="13">
        <v>389.13</v>
      </c>
      <c r="N648" s="13">
        <v>253.99</v>
      </c>
      <c r="O648" s="13">
        <v>135.14</v>
      </c>
      <c r="P648" s="13">
        <v>4.5</v>
      </c>
      <c r="Q648" s="13" t="s">
        <v>34</v>
      </c>
      <c r="R648" s="13">
        <v>2025</v>
      </c>
      <c r="S648" s="15" t="str">
        <f t="shared" si="60"/>
        <v>Low Profit</v>
      </c>
      <c r="T648" s="15" t="str">
        <f t="shared" si="61"/>
        <v>Low Sales</v>
      </c>
      <c r="U648" s="15" t="str">
        <f t="shared" si="62"/>
        <v>Good</v>
      </c>
      <c r="V648" s="15" t="str">
        <f t="shared" si="63"/>
        <v>Normal Discount</v>
      </c>
      <c r="W648" s="15">
        <f>VLOOKUP(D648,Lookup_Table!$A:$C,2,FALSE)</f>
        <v>0.16</v>
      </c>
      <c r="X648" s="15">
        <f t="shared" si="64"/>
        <v>0.347287538868758</v>
      </c>
      <c r="Y648" s="15" t="str">
        <f>VLOOKUP(D648,Lookup_Table!A:C,3,0)</f>
        <v>Vikram</v>
      </c>
      <c r="Z648" s="15" t="str">
        <f t="shared" si="65"/>
        <v>Achived</v>
      </c>
    </row>
    <row r="649" spans="1:26">
      <c r="A649" s="13" t="s">
        <v>740</v>
      </c>
      <c r="B649" s="14">
        <v>45865</v>
      </c>
      <c r="C649" s="13" t="s">
        <v>55</v>
      </c>
      <c r="D649" s="13" t="s">
        <v>44</v>
      </c>
      <c r="E649" s="13" t="s">
        <v>143</v>
      </c>
      <c r="F649" s="13" t="s">
        <v>67</v>
      </c>
      <c r="G649" s="13" t="s">
        <v>68</v>
      </c>
      <c r="H649" s="13" t="s">
        <v>69</v>
      </c>
      <c r="I649" s="13" t="s">
        <v>96</v>
      </c>
      <c r="J649" s="13">
        <v>1</v>
      </c>
      <c r="K649" s="13">
        <v>161.5</v>
      </c>
      <c r="L649" s="13">
        <v>0.15</v>
      </c>
      <c r="M649" s="13">
        <v>137.28</v>
      </c>
      <c r="N649" s="13">
        <v>89.59</v>
      </c>
      <c r="O649" s="13">
        <v>47.69</v>
      </c>
      <c r="P649" s="13">
        <v>3.7</v>
      </c>
      <c r="Q649" s="13" t="s">
        <v>56</v>
      </c>
      <c r="R649" s="13">
        <v>2025</v>
      </c>
      <c r="S649" s="15" t="str">
        <f t="shared" si="60"/>
        <v>Low Profit</v>
      </c>
      <c r="T649" s="15" t="str">
        <f t="shared" si="61"/>
        <v>Low Sales</v>
      </c>
      <c r="U649" s="15" t="str">
        <f t="shared" si="62"/>
        <v>Needs Improvement</v>
      </c>
      <c r="V649" s="15" t="str">
        <f t="shared" si="63"/>
        <v>High Discount</v>
      </c>
      <c r="W649" s="15">
        <f>VLOOKUP(D649,Lookup_Table!$A:$C,2,FALSE)</f>
        <v>0.18</v>
      </c>
      <c r="X649" s="15">
        <f t="shared" si="64"/>
        <v>0.347392191142191</v>
      </c>
      <c r="Y649" s="15" t="str">
        <f>VLOOKUP(D649,Lookup_Table!A:C,3,0)</f>
        <v>Amit</v>
      </c>
      <c r="Z649" s="15" t="str">
        <f t="shared" si="65"/>
        <v>Achived</v>
      </c>
    </row>
    <row r="650" spans="1:26">
      <c r="A650" s="13" t="s">
        <v>741</v>
      </c>
      <c r="B650" s="14">
        <v>45711</v>
      </c>
      <c r="C650" s="13" t="s">
        <v>55</v>
      </c>
      <c r="D650" s="13" t="s">
        <v>44</v>
      </c>
      <c r="E650" s="13" t="s">
        <v>104</v>
      </c>
      <c r="F650" s="13" t="s">
        <v>62</v>
      </c>
      <c r="G650" s="13" t="s">
        <v>63</v>
      </c>
      <c r="H650" s="13" t="s">
        <v>32</v>
      </c>
      <c r="I650" s="13" t="s">
        <v>33</v>
      </c>
      <c r="J650" s="13">
        <v>6</v>
      </c>
      <c r="K650" s="13">
        <v>943.66</v>
      </c>
      <c r="L650" s="13">
        <v>0.1</v>
      </c>
      <c r="M650" s="13">
        <v>5095.76</v>
      </c>
      <c r="N650" s="13">
        <v>3324.04</v>
      </c>
      <c r="O650" s="13">
        <v>1771.72</v>
      </c>
      <c r="P650" s="13">
        <v>4.9</v>
      </c>
      <c r="Q650" s="13" t="s">
        <v>105</v>
      </c>
      <c r="R650" s="13">
        <v>2025</v>
      </c>
      <c r="S650" s="15" t="str">
        <f t="shared" si="60"/>
        <v>High Profit</v>
      </c>
      <c r="T650" s="15" t="str">
        <f t="shared" si="61"/>
        <v>High Sales</v>
      </c>
      <c r="U650" s="15" t="str">
        <f t="shared" si="62"/>
        <v>Good</v>
      </c>
      <c r="V650" s="15" t="str">
        <f t="shared" si="63"/>
        <v>Normal Discount</v>
      </c>
      <c r="W650" s="15">
        <f>VLOOKUP(D650,Lookup_Table!$A:$C,2,FALSE)</f>
        <v>0.18</v>
      </c>
      <c r="X650" s="15">
        <f t="shared" si="64"/>
        <v>0.347685134307738</v>
      </c>
      <c r="Y650" s="15" t="str">
        <f>VLOOKUP(D650,Lookup_Table!A:C,3,0)</f>
        <v>Amit</v>
      </c>
      <c r="Z650" s="15" t="str">
        <f t="shared" si="65"/>
        <v>Achived</v>
      </c>
    </row>
    <row r="651" spans="1:26">
      <c r="A651" s="13" t="s">
        <v>742</v>
      </c>
      <c r="B651" s="14">
        <v>45986</v>
      </c>
      <c r="C651" s="13" t="s">
        <v>36</v>
      </c>
      <c r="D651" s="13" t="s">
        <v>60</v>
      </c>
      <c r="E651" s="13" t="s">
        <v>150</v>
      </c>
      <c r="F651" s="13" t="s">
        <v>50</v>
      </c>
      <c r="G651" s="13" t="s">
        <v>51</v>
      </c>
      <c r="H651" s="13" t="s">
        <v>32</v>
      </c>
      <c r="I651" s="13" t="s">
        <v>52</v>
      </c>
      <c r="J651" s="13">
        <v>1</v>
      </c>
      <c r="K651" s="13">
        <v>203.13</v>
      </c>
      <c r="L651" s="13">
        <v>0.1</v>
      </c>
      <c r="M651" s="13">
        <v>182.82</v>
      </c>
      <c r="N651" s="13">
        <v>119.18</v>
      </c>
      <c r="O651" s="13">
        <v>63.64</v>
      </c>
      <c r="P651" s="13">
        <v>2.9</v>
      </c>
      <c r="Q651" s="13" t="s">
        <v>71</v>
      </c>
      <c r="R651" s="13">
        <v>2025</v>
      </c>
      <c r="S651" s="15" t="str">
        <f t="shared" si="60"/>
        <v>Low Profit</v>
      </c>
      <c r="T651" s="15" t="str">
        <f t="shared" si="61"/>
        <v>Low Sales</v>
      </c>
      <c r="U651" s="15" t="str">
        <f t="shared" si="62"/>
        <v>Needs Improvement</v>
      </c>
      <c r="V651" s="15" t="str">
        <f t="shared" si="63"/>
        <v>Normal Discount</v>
      </c>
      <c r="W651" s="15">
        <f>VLOOKUP(D651,Lookup_Table!$A:$C,2,FALSE)</f>
        <v>0.15</v>
      </c>
      <c r="X651" s="15">
        <f t="shared" si="64"/>
        <v>0.348101958210261</v>
      </c>
      <c r="Y651" s="15" t="str">
        <f>VLOOKUP(D651,Lookup_Table!A:C,3,0)</f>
        <v>Priya</v>
      </c>
      <c r="Z651" s="15" t="str">
        <f t="shared" si="65"/>
        <v>Achived</v>
      </c>
    </row>
    <row r="652" spans="1:26">
      <c r="A652" s="13" t="s">
        <v>743</v>
      </c>
      <c r="B652" s="14">
        <v>45974</v>
      </c>
      <c r="C652" s="13" t="s">
        <v>36</v>
      </c>
      <c r="D652" s="13" t="s">
        <v>80</v>
      </c>
      <c r="E652" s="13" t="s">
        <v>101</v>
      </c>
      <c r="F652" s="13" t="s">
        <v>50</v>
      </c>
      <c r="G652" s="13" t="s">
        <v>51</v>
      </c>
      <c r="H652" s="13" t="s">
        <v>32</v>
      </c>
      <c r="I652" s="13" t="s">
        <v>46</v>
      </c>
      <c r="J652" s="13">
        <v>1</v>
      </c>
      <c r="K652" s="13">
        <v>13.44</v>
      </c>
      <c r="L652" s="13">
        <v>0.05</v>
      </c>
      <c r="M652" s="13">
        <v>12.77</v>
      </c>
      <c r="N652" s="13">
        <v>8.32</v>
      </c>
      <c r="O652" s="13">
        <v>4.45</v>
      </c>
      <c r="P652" s="13">
        <v>2.7</v>
      </c>
      <c r="Q652" s="13" t="s">
        <v>71</v>
      </c>
      <c r="R652" s="13">
        <v>2025</v>
      </c>
      <c r="S652" s="15" t="str">
        <f t="shared" si="60"/>
        <v>Low Profit</v>
      </c>
      <c r="T652" s="15" t="str">
        <f t="shared" si="61"/>
        <v>Low Sales</v>
      </c>
      <c r="U652" s="15" t="str">
        <f t="shared" si="62"/>
        <v>Needs Improvement</v>
      </c>
      <c r="V652" s="15" t="str">
        <f t="shared" si="63"/>
        <v>Normal Discount</v>
      </c>
      <c r="W652" s="15">
        <f>VLOOKUP(D652,Lookup_Table!$A:$C,2,FALSE)</f>
        <v>0.12</v>
      </c>
      <c r="X652" s="15">
        <f t="shared" si="64"/>
        <v>0.348472983555208</v>
      </c>
      <c r="Y652" s="15" t="str">
        <f>VLOOKUP(D652,Lookup_Table!A:C,3,0)</f>
        <v>Rahul</v>
      </c>
      <c r="Z652" s="15" t="str">
        <f t="shared" si="65"/>
        <v>Achived</v>
      </c>
    </row>
    <row r="653" spans="1:26">
      <c r="A653" s="13" t="s">
        <v>744</v>
      </c>
      <c r="B653" s="14">
        <v>45902</v>
      </c>
      <c r="C653" s="13" t="s">
        <v>27</v>
      </c>
      <c r="D653" s="13" t="s">
        <v>80</v>
      </c>
      <c r="E653" s="13" t="s">
        <v>115</v>
      </c>
      <c r="F653" s="13" t="s">
        <v>62</v>
      </c>
      <c r="G653" s="13" t="s">
        <v>63</v>
      </c>
      <c r="H653" s="13" t="s">
        <v>32</v>
      </c>
      <c r="I653" s="13" t="s">
        <v>96</v>
      </c>
      <c r="J653" s="13">
        <v>2</v>
      </c>
      <c r="K653" s="13">
        <v>30.66</v>
      </c>
      <c r="L653" s="13">
        <v>0.05</v>
      </c>
      <c r="M653" s="13">
        <v>58.25</v>
      </c>
      <c r="N653" s="13">
        <v>37.92</v>
      </c>
      <c r="O653" s="13">
        <v>20.33</v>
      </c>
      <c r="P653" s="13">
        <v>3.7</v>
      </c>
      <c r="Q653" s="13" t="s">
        <v>53</v>
      </c>
      <c r="R653" s="13">
        <v>2025</v>
      </c>
      <c r="S653" s="15" t="str">
        <f t="shared" si="60"/>
        <v>Low Profit</v>
      </c>
      <c r="T653" s="15" t="str">
        <f t="shared" si="61"/>
        <v>Low Sales</v>
      </c>
      <c r="U653" s="15" t="str">
        <f t="shared" si="62"/>
        <v>Needs Improvement</v>
      </c>
      <c r="V653" s="15" t="str">
        <f t="shared" si="63"/>
        <v>Normal Discount</v>
      </c>
      <c r="W653" s="15">
        <f>VLOOKUP(D653,Lookup_Table!$A:$C,2,FALSE)</f>
        <v>0.12</v>
      </c>
      <c r="X653" s="15">
        <f t="shared" si="64"/>
        <v>0.349012875536481</v>
      </c>
      <c r="Y653" s="15" t="str">
        <f>VLOOKUP(D653,Lookup_Table!A:C,3,0)</f>
        <v>Rahul</v>
      </c>
      <c r="Z653" s="15" t="str">
        <f t="shared" si="65"/>
        <v>Achived</v>
      </c>
    </row>
    <row r="654" spans="1:26">
      <c r="A654" s="13" t="s">
        <v>745</v>
      </c>
      <c r="B654" s="14">
        <v>45808</v>
      </c>
      <c r="C654" s="13" t="s">
        <v>36</v>
      </c>
      <c r="D654" s="13" t="s">
        <v>60</v>
      </c>
      <c r="E654" s="13" t="s">
        <v>127</v>
      </c>
      <c r="F654" s="13" t="s">
        <v>116</v>
      </c>
      <c r="G654" s="13" t="s">
        <v>117</v>
      </c>
      <c r="H654" s="13" t="s">
        <v>32</v>
      </c>
      <c r="I654" s="13" t="s">
        <v>52</v>
      </c>
      <c r="J654" s="13">
        <v>4</v>
      </c>
      <c r="K654" s="13">
        <v>499.36</v>
      </c>
      <c r="L654" s="13">
        <v>0.15</v>
      </c>
      <c r="M654" s="13">
        <v>1697.82</v>
      </c>
      <c r="N654" s="13">
        <v>1105.17</v>
      </c>
      <c r="O654" s="13">
        <v>592.65</v>
      </c>
      <c r="P654" s="13">
        <v>4.1</v>
      </c>
      <c r="Q654" s="13" t="s">
        <v>42</v>
      </c>
      <c r="R654" s="13">
        <v>2025</v>
      </c>
      <c r="S654" s="15" t="str">
        <f t="shared" si="60"/>
        <v>High Profit</v>
      </c>
      <c r="T654" s="15" t="str">
        <f t="shared" si="61"/>
        <v>High Sales</v>
      </c>
      <c r="U654" s="15" t="str">
        <f t="shared" si="62"/>
        <v>Good</v>
      </c>
      <c r="V654" s="15" t="str">
        <f t="shared" si="63"/>
        <v>High Discount</v>
      </c>
      <c r="W654" s="15">
        <f>VLOOKUP(D654,Lookup_Table!$A:$C,2,FALSE)</f>
        <v>0.15</v>
      </c>
      <c r="X654" s="15">
        <f t="shared" si="64"/>
        <v>0.349065271936954</v>
      </c>
      <c r="Y654" s="15" t="str">
        <f>VLOOKUP(D654,Lookup_Table!A:C,3,0)</f>
        <v>Priya</v>
      </c>
      <c r="Z654" s="15" t="str">
        <f t="shared" si="65"/>
        <v>Achived</v>
      </c>
    </row>
    <row r="655" spans="1:26">
      <c r="A655" s="13" t="s">
        <v>746</v>
      </c>
      <c r="B655" s="14">
        <v>45910</v>
      </c>
      <c r="C655" s="13" t="s">
        <v>55</v>
      </c>
      <c r="D655" s="13" t="s">
        <v>44</v>
      </c>
      <c r="E655" s="13" t="s">
        <v>45</v>
      </c>
      <c r="F655" s="13" t="s">
        <v>75</v>
      </c>
      <c r="G655" s="13" t="s">
        <v>76</v>
      </c>
      <c r="H655" s="13" t="s">
        <v>77</v>
      </c>
      <c r="I655" s="13" t="s">
        <v>46</v>
      </c>
      <c r="J655" s="13">
        <v>5</v>
      </c>
      <c r="K655" s="13">
        <v>493.05</v>
      </c>
      <c r="L655" s="13">
        <v>0</v>
      </c>
      <c r="M655" s="13">
        <v>2465.25</v>
      </c>
      <c r="N655" s="13">
        <v>1604.34</v>
      </c>
      <c r="O655" s="13">
        <v>860.91</v>
      </c>
      <c r="P655" s="13">
        <v>3.3</v>
      </c>
      <c r="Q655" s="13" t="s">
        <v>53</v>
      </c>
      <c r="R655" s="13">
        <v>2025</v>
      </c>
      <c r="S655" s="15" t="str">
        <f t="shared" si="60"/>
        <v>High Profit</v>
      </c>
      <c r="T655" s="15" t="str">
        <f t="shared" si="61"/>
        <v>High Sales</v>
      </c>
      <c r="U655" s="15" t="str">
        <f t="shared" si="62"/>
        <v>Needs Improvement</v>
      </c>
      <c r="V655" s="15" t="str">
        <f t="shared" si="63"/>
        <v>Normal Discount</v>
      </c>
      <c r="W655" s="15">
        <f>VLOOKUP(D655,Lookup_Table!$A:$C,2,FALSE)</f>
        <v>0.18</v>
      </c>
      <c r="X655" s="15">
        <f t="shared" si="64"/>
        <v>0.349218132035291</v>
      </c>
      <c r="Y655" s="15" t="str">
        <f>VLOOKUP(D655,Lookup_Table!A:C,3,0)</f>
        <v>Amit</v>
      </c>
      <c r="Z655" s="15" t="str">
        <f t="shared" si="65"/>
        <v>Achived</v>
      </c>
    </row>
    <row r="656" spans="1:26">
      <c r="A656" s="13" t="s">
        <v>747</v>
      </c>
      <c r="B656" s="14">
        <v>45928</v>
      </c>
      <c r="C656" s="13" t="s">
        <v>55</v>
      </c>
      <c r="D656" s="13" t="s">
        <v>44</v>
      </c>
      <c r="E656" s="13" t="s">
        <v>143</v>
      </c>
      <c r="F656" s="13" t="s">
        <v>98</v>
      </c>
      <c r="G656" s="13" t="s">
        <v>99</v>
      </c>
      <c r="H656" s="13" t="s">
        <v>77</v>
      </c>
      <c r="I656" s="13" t="s">
        <v>33</v>
      </c>
      <c r="J656" s="13">
        <v>2</v>
      </c>
      <c r="K656" s="13">
        <v>112.04</v>
      </c>
      <c r="L656" s="13">
        <v>0.05</v>
      </c>
      <c r="M656" s="13">
        <v>212.88</v>
      </c>
      <c r="N656" s="13">
        <v>138.52</v>
      </c>
      <c r="O656" s="13">
        <v>74.36</v>
      </c>
      <c r="P656" s="13">
        <v>3.3</v>
      </c>
      <c r="Q656" s="13" t="s">
        <v>53</v>
      </c>
      <c r="R656" s="13">
        <v>2025</v>
      </c>
      <c r="S656" s="15" t="str">
        <f t="shared" si="60"/>
        <v>Low Profit</v>
      </c>
      <c r="T656" s="15" t="str">
        <f t="shared" si="61"/>
        <v>Low Sales</v>
      </c>
      <c r="U656" s="15" t="str">
        <f t="shared" si="62"/>
        <v>Needs Improvement</v>
      </c>
      <c r="V656" s="15" t="str">
        <f t="shared" si="63"/>
        <v>Normal Discount</v>
      </c>
      <c r="W656" s="15">
        <f>VLOOKUP(D656,Lookup_Table!$A:$C,2,FALSE)</f>
        <v>0.18</v>
      </c>
      <c r="X656" s="15">
        <f t="shared" si="64"/>
        <v>0.349304772641864</v>
      </c>
      <c r="Y656" s="15" t="str">
        <f>VLOOKUP(D656,Lookup_Table!A:C,3,0)</f>
        <v>Amit</v>
      </c>
      <c r="Z656" s="15" t="str">
        <f t="shared" si="65"/>
        <v>Achived</v>
      </c>
    </row>
    <row r="657" spans="1:26">
      <c r="A657" s="13" t="s">
        <v>748</v>
      </c>
      <c r="B657" s="14">
        <v>45970</v>
      </c>
      <c r="C657" s="13" t="s">
        <v>27</v>
      </c>
      <c r="D657" s="13" t="s">
        <v>80</v>
      </c>
      <c r="E657" s="13" t="s">
        <v>191</v>
      </c>
      <c r="F657" s="13" t="s">
        <v>116</v>
      </c>
      <c r="G657" s="13" t="s">
        <v>117</v>
      </c>
      <c r="H657" s="13" t="s">
        <v>32</v>
      </c>
      <c r="I657" s="13" t="s">
        <v>96</v>
      </c>
      <c r="J657" s="13">
        <v>2</v>
      </c>
      <c r="K657" s="13">
        <v>61.71</v>
      </c>
      <c r="L657" s="13">
        <v>0.05</v>
      </c>
      <c r="M657" s="13">
        <v>117.25</v>
      </c>
      <c r="N657" s="13">
        <v>76.24</v>
      </c>
      <c r="O657" s="13">
        <v>41.01</v>
      </c>
      <c r="P657" s="13">
        <v>4.9</v>
      </c>
      <c r="Q657" s="13" t="s">
        <v>71</v>
      </c>
      <c r="R657" s="13">
        <v>2025</v>
      </c>
      <c r="S657" s="15" t="str">
        <f t="shared" si="60"/>
        <v>Low Profit</v>
      </c>
      <c r="T657" s="15" t="str">
        <f t="shared" si="61"/>
        <v>Low Sales</v>
      </c>
      <c r="U657" s="15" t="str">
        <f t="shared" si="62"/>
        <v>Good</v>
      </c>
      <c r="V657" s="15" t="str">
        <f t="shared" si="63"/>
        <v>Normal Discount</v>
      </c>
      <c r="W657" s="15">
        <f>VLOOKUP(D657,Lookup_Table!$A:$C,2,FALSE)</f>
        <v>0.12</v>
      </c>
      <c r="X657" s="15">
        <f t="shared" si="64"/>
        <v>0.349765458422175</v>
      </c>
      <c r="Y657" s="15" t="str">
        <f>VLOOKUP(D657,Lookup_Table!A:C,3,0)</f>
        <v>Rahul</v>
      </c>
      <c r="Z657" s="15" t="str">
        <f t="shared" si="65"/>
        <v>Achived</v>
      </c>
    </row>
    <row r="658" spans="1:26">
      <c r="A658" s="13" t="s">
        <v>749</v>
      </c>
      <c r="B658" s="14">
        <v>45752</v>
      </c>
      <c r="C658" s="13" t="s">
        <v>36</v>
      </c>
      <c r="D658" s="13" t="s">
        <v>28</v>
      </c>
      <c r="E658" s="13" t="s">
        <v>29</v>
      </c>
      <c r="F658" s="13" t="s">
        <v>50</v>
      </c>
      <c r="G658" s="13" t="s">
        <v>51</v>
      </c>
      <c r="H658" s="13" t="s">
        <v>32</v>
      </c>
      <c r="I658" s="13" t="s">
        <v>46</v>
      </c>
      <c r="J658" s="13">
        <v>1</v>
      </c>
      <c r="K658" s="13">
        <v>137.36</v>
      </c>
      <c r="L658" s="13">
        <v>0.15</v>
      </c>
      <c r="M658" s="13">
        <v>116.76</v>
      </c>
      <c r="N658" s="13">
        <v>75.92</v>
      </c>
      <c r="O658" s="13">
        <v>40.84</v>
      </c>
      <c r="P658" s="13">
        <v>2.5</v>
      </c>
      <c r="Q658" s="13" t="s">
        <v>84</v>
      </c>
      <c r="R658" s="13">
        <v>2025</v>
      </c>
      <c r="S658" s="15" t="str">
        <f t="shared" si="60"/>
        <v>Low Profit</v>
      </c>
      <c r="T658" s="15" t="str">
        <f t="shared" si="61"/>
        <v>Low Sales</v>
      </c>
      <c r="U658" s="15" t="str">
        <f t="shared" si="62"/>
        <v>Needs Improvement</v>
      </c>
      <c r="V658" s="15" t="str">
        <f t="shared" si="63"/>
        <v>High Discount</v>
      </c>
      <c r="W658" s="15">
        <f>VLOOKUP(D658,Lookup_Table!$A:$C,2,FALSE)</f>
        <v>0.2</v>
      </c>
      <c r="X658" s="15">
        <f t="shared" si="64"/>
        <v>0.349777321000343</v>
      </c>
      <c r="Y658" s="15" t="str">
        <f>VLOOKUP(D658,Lookup_Table!A:C,3,0)</f>
        <v>Sneha</v>
      </c>
      <c r="Z658" s="15" t="str">
        <f t="shared" si="65"/>
        <v>Achived</v>
      </c>
    </row>
    <row r="659" spans="1:26">
      <c r="A659" s="13" t="s">
        <v>750</v>
      </c>
      <c r="B659" s="14">
        <v>45902</v>
      </c>
      <c r="C659" s="13" t="s">
        <v>27</v>
      </c>
      <c r="D659" s="13" t="s">
        <v>80</v>
      </c>
      <c r="E659" s="13" t="s">
        <v>101</v>
      </c>
      <c r="F659" s="13" t="s">
        <v>75</v>
      </c>
      <c r="G659" s="13" t="s">
        <v>76</v>
      </c>
      <c r="H659" s="13" t="s">
        <v>77</v>
      </c>
      <c r="I659" s="13" t="s">
        <v>46</v>
      </c>
      <c r="J659" s="13">
        <v>3</v>
      </c>
      <c r="K659" s="13">
        <v>10.62</v>
      </c>
      <c r="L659" s="13">
        <v>0.15</v>
      </c>
      <c r="M659" s="13">
        <v>27.08</v>
      </c>
      <c r="N659" s="13">
        <v>17.6</v>
      </c>
      <c r="O659" s="13">
        <v>9.48</v>
      </c>
      <c r="P659" s="13">
        <v>3.6</v>
      </c>
      <c r="Q659" s="13" t="s">
        <v>53</v>
      </c>
      <c r="R659" s="13">
        <v>2025</v>
      </c>
      <c r="S659" s="15" t="str">
        <f t="shared" si="60"/>
        <v>Low Profit</v>
      </c>
      <c r="T659" s="15" t="str">
        <f t="shared" si="61"/>
        <v>Low Sales</v>
      </c>
      <c r="U659" s="15" t="str">
        <f t="shared" si="62"/>
        <v>Needs Improvement</v>
      </c>
      <c r="V659" s="15" t="str">
        <f t="shared" si="63"/>
        <v>High Discount</v>
      </c>
      <c r="W659" s="15">
        <f>VLOOKUP(D659,Lookup_Table!$A:$C,2,FALSE)</f>
        <v>0.12</v>
      </c>
      <c r="X659" s="15">
        <f t="shared" si="64"/>
        <v>0.350073855243722</v>
      </c>
      <c r="Y659" s="15" t="str">
        <f>VLOOKUP(D659,Lookup_Table!A:C,3,0)</f>
        <v>Rahul</v>
      </c>
      <c r="Z659" s="15" t="str">
        <f t="shared" si="65"/>
        <v>Achived</v>
      </c>
    </row>
    <row r="660" spans="1:26">
      <c r="A660" s="13" t="s">
        <v>751</v>
      </c>
      <c r="B660" s="14">
        <v>45883</v>
      </c>
      <c r="C660" s="13" t="s">
        <v>36</v>
      </c>
      <c r="D660" s="13" t="s">
        <v>60</v>
      </c>
      <c r="E660" s="13" t="s">
        <v>66</v>
      </c>
      <c r="F660" s="13" t="s">
        <v>39</v>
      </c>
      <c r="G660" s="13" t="s">
        <v>40</v>
      </c>
      <c r="H660" s="13" t="s">
        <v>41</v>
      </c>
      <c r="I660" s="13" t="s">
        <v>46</v>
      </c>
      <c r="J660" s="13">
        <v>2</v>
      </c>
      <c r="K660" s="13">
        <v>330.63</v>
      </c>
      <c r="L660" s="13">
        <v>0</v>
      </c>
      <c r="M660" s="13">
        <v>661.26</v>
      </c>
      <c r="N660" s="13">
        <v>429.02</v>
      </c>
      <c r="O660" s="13">
        <v>232.24</v>
      </c>
      <c r="P660" s="13">
        <v>4.6</v>
      </c>
      <c r="Q660" s="13" t="s">
        <v>47</v>
      </c>
      <c r="R660" s="13">
        <v>2025</v>
      </c>
      <c r="S660" s="15" t="str">
        <f t="shared" si="60"/>
        <v>Low Profit</v>
      </c>
      <c r="T660" s="15" t="str">
        <f t="shared" si="61"/>
        <v>Low Sales</v>
      </c>
      <c r="U660" s="15" t="str">
        <f t="shared" si="62"/>
        <v>Good</v>
      </c>
      <c r="V660" s="15" t="str">
        <f t="shared" si="63"/>
        <v>Normal Discount</v>
      </c>
      <c r="W660" s="15">
        <f>VLOOKUP(D660,Lookup_Table!$A:$C,2,FALSE)</f>
        <v>0.15</v>
      </c>
      <c r="X660" s="15">
        <f t="shared" si="64"/>
        <v>0.351208299307383</v>
      </c>
      <c r="Y660" s="15" t="str">
        <f>VLOOKUP(D660,Lookup_Table!A:C,3,0)</f>
        <v>Priya</v>
      </c>
      <c r="Z660" s="15" t="str">
        <f t="shared" si="65"/>
        <v>Achived</v>
      </c>
    </row>
    <row r="661" spans="1:26">
      <c r="A661" s="13" t="s">
        <v>752</v>
      </c>
      <c r="B661" s="14">
        <v>45763</v>
      </c>
      <c r="C661" s="13" t="s">
        <v>36</v>
      </c>
      <c r="D661" s="13" t="s">
        <v>80</v>
      </c>
      <c r="E661" s="13" t="s">
        <v>191</v>
      </c>
      <c r="F661" s="13" t="s">
        <v>98</v>
      </c>
      <c r="G661" s="13" t="s">
        <v>99</v>
      </c>
      <c r="H661" s="13" t="s">
        <v>77</v>
      </c>
      <c r="I661" s="13" t="s">
        <v>52</v>
      </c>
      <c r="J661" s="13">
        <v>6</v>
      </c>
      <c r="K661" s="13">
        <v>51.74</v>
      </c>
      <c r="L661" s="13">
        <v>0.15</v>
      </c>
      <c r="M661" s="13">
        <v>263.87</v>
      </c>
      <c r="N661" s="13">
        <v>171.01</v>
      </c>
      <c r="O661" s="13">
        <v>92.86</v>
      </c>
      <c r="P661" s="13">
        <v>4</v>
      </c>
      <c r="Q661" s="13" t="s">
        <v>84</v>
      </c>
      <c r="R661" s="13">
        <v>2025</v>
      </c>
      <c r="S661" s="15" t="str">
        <f t="shared" si="60"/>
        <v>Low Profit</v>
      </c>
      <c r="T661" s="15" t="str">
        <f t="shared" si="61"/>
        <v>Low Sales</v>
      </c>
      <c r="U661" s="15" t="str">
        <f t="shared" si="62"/>
        <v>Good</v>
      </c>
      <c r="V661" s="15" t="str">
        <f t="shared" si="63"/>
        <v>High Discount</v>
      </c>
      <c r="W661" s="15">
        <f>VLOOKUP(D661,Lookup_Table!$A:$C,2,FALSE)</f>
        <v>0.12</v>
      </c>
      <c r="X661" s="15">
        <f t="shared" si="64"/>
        <v>0.351915716072308</v>
      </c>
      <c r="Y661" s="15" t="str">
        <f>VLOOKUP(D661,Lookup_Table!A:C,3,0)</f>
        <v>Rahul</v>
      </c>
      <c r="Z661" s="15" t="str">
        <f t="shared" si="65"/>
        <v>Achived</v>
      </c>
    </row>
    <row r="662" spans="1:26">
      <c r="A662" s="13" t="s">
        <v>753</v>
      </c>
      <c r="B662" s="14">
        <v>45913</v>
      </c>
      <c r="C662" s="13" t="s">
        <v>36</v>
      </c>
      <c r="D662" s="13" t="s">
        <v>80</v>
      </c>
      <c r="E662" s="13" t="s">
        <v>101</v>
      </c>
      <c r="F662" s="13" t="s">
        <v>62</v>
      </c>
      <c r="G662" s="13" t="s">
        <v>63</v>
      </c>
      <c r="H662" s="13" t="s">
        <v>32</v>
      </c>
      <c r="I662" s="13" t="s">
        <v>96</v>
      </c>
      <c r="J662" s="13">
        <v>3</v>
      </c>
      <c r="K662" s="13">
        <v>43.85</v>
      </c>
      <c r="L662" s="13">
        <v>0.15</v>
      </c>
      <c r="M662" s="13">
        <v>111.82</v>
      </c>
      <c r="N662" s="13">
        <v>72.46</v>
      </c>
      <c r="O662" s="13">
        <v>39.36</v>
      </c>
      <c r="P662" s="13">
        <v>4.5</v>
      </c>
      <c r="Q662" s="13" t="s">
        <v>53</v>
      </c>
      <c r="R662" s="13">
        <v>2025</v>
      </c>
      <c r="S662" s="15" t="str">
        <f t="shared" si="60"/>
        <v>Low Profit</v>
      </c>
      <c r="T662" s="15" t="str">
        <f t="shared" si="61"/>
        <v>Low Sales</v>
      </c>
      <c r="U662" s="15" t="str">
        <f t="shared" si="62"/>
        <v>Good</v>
      </c>
      <c r="V662" s="15" t="str">
        <f t="shared" si="63"/>
        <v>High Discount</v>
      </c>
      <c r="W662" s="15">
        <f>VLOOKUP(D662,Lookup_Table!$A:$C,2,FALSE)</f>
        <v>0.12</v>
      </c>
      <c r="X662" s="15">
        <f t="shared" si="64"/>
        <v>0.351994276515829</v>
      </c>
      <c r="Y662" s="15" t="str">
        <f>VLOOKUP(D662,Lookup_Table!A:C,3,0)</f>
        <v>Rahul</v>
      </c>
      <c r="Z662" s="15" t="str">
        <f t="shared" si="65"/>
        <v>Achived</v>
      </c>
    </row>
    <row r="663" spans="1:26">
      <c r="A663" s="13" t="s">
        <v>754</v>
      </c>
      <c r="B663" s="14">
        <v>45766</v>
      </c>
      <c r="C663" s="13" t="s">
        <v>55</v>
      </c>
      <c r="D663" s="13" t="s">
        <v>60</v>
      </c>
      <c r="E663" s="13" t="s">
        <v>66</v>
      </c>
      <c r="F663" s="13" t="s">
        <v>39</v>
      </c>
      <c r="G663" s="13" t="s">
        <v>40</v>
      </c>
      <c r="H663" s="13" t="s">
        <v>41</v>
      </c>
      <c r="I663" s="13" t="s">
        <v>46</v>
      </c>
      <c r="J663" s="13">
        <v>2</v>
      </c>
      <c r="K663" s="13">
        <v>679.56</v>
      </c>
      <c r="L663" s="13">
        <v>0.1</v>
      </c>
      <c r="M663" s="13">
        <v>1223.21</v>
      </c>
      <c r="N663" s="13">
        <v>792.24</v>
      </c>
      <c r="O663" s="13">
        <v>430.97</v>
      </c>
      <c r="P663" s="13">
        <v>2.6</v>
      </c>
      <c r="Q663" s="13" t="s">
        <v>84</v>
      </c>
      <c r="R663" s="13">
        <v>2025</v>
      </c>
      <c r="S663" s="15" t="str">
        <f t="shared" si="60"/>
        <v>Low Profit</v>
      </c>
      <c r="T663" s="15" t="str">
        <f t="shared" si="61"/>
        <v>High Sales</v>
      </c>
      <c r="U663" s="15" t="str">
        <f t="shared" si="62"/>
        <v>Needs Improvement</v>
      </c>
      <c r="V663" s="15" t="str">
        <f t="shared" si="63"/>
        <v>Normal Discount</v>
      </c>
      <c r="W663" s="15">
        <f>VLOOKUP(D663,Lookup_Table!$A:$C,2,FALSE)</f>
        <v>0.15</v>
      </c>
      <c r="X663" s="15">
        <f t="shared" si="64"/>
        <v>0.352327073846682</v>
      </c>
      <c r="Y663" s="15" t="str">
        <f>VLOOKUP(D663,Lookup_Table!A:C,3,0)</f>
        <v>Priya</v>
      </c>
      <c r="Z663" s="15" t="str">
        <f t="shared" si="65"/>
        <v>Achived</v>
      </c>
    </row>
    <row r="664" spans="1:26">
      <c r="A664" s="13" t="s">
        <v>755</v>
      </c>
      <c r="B664" s="14">
        <v>45729</v>
      </c>
      <c r="C664" s="13" t="s">
        <v>27</v>
      </c>
      <c r="D664" s="13" t="s">
        <v>44</v>
      </c>
      <c r="E664" s="13" t="s">
        <v>45</v>
      </c>
      <c r="F664" s="13" t="s">
        <v>62</v>
      </c>
      <c r="G664" s="13" t="s">
        <v>63</v>
      </c>
      <c r="H664" s="13" t="s">
        <v>32</v>
      </c>
      <c r="I664" s="13" t="s">
        <v>33</v>
      </c>
      <c r="J664" s="13">
        <v>4</v>
      </c>
      <c r="K664" s="13">
        <v>853.27</v>
      </c>
      <c r="L664" s="13">
        <v>0.1</v>
      </c>
      <c r="M664" s="13">
        <v>3071.77</v>
      </c>
      <c r="N664" s="13">
        <v>1989.36</v>
      </c>
      <c r="O664" s="13">
        <v>1082.41</v>
      </c>
      <c r="P664" s="13">
        <v>3.7</v>
      </c>
      <c r="Q664" s="13" t="s">
        <v>94</v>
      </c>
      <c r="R664" s="13">
        <v>2025</v>
      </c>
      <c r="S664" s="15" t="str">
        <f t="shared" si="60"/>
        <v>High Profit</v>
      </c>
      <c r="T664" s="15" t="str">
        <f t="shared" si="61"/>
        <v>High Sales</v>
      </c>
      <c r="U664" s="15" t="str">
        <f t="shared" si="62"/>
        <v>Needs Improvement</v>
      </c>
      <c r="V664" s="15" t="str">
        <f t="shared" si="63"/>
        <v>Normal Discount</v>
      </c>
      <c r="W664" s="15">
        <f>VLOOKUP(D664,Lookup_Table!$A:$C,2,FALSE)</f>
        <v>0.18</v>
      </c>
      <c r="X664" s="15">
        <f t="shared" si="64"/>
        <v>0.352373387330432</v>
      </c>
      <c r="Y664" s="15" t="str">
        <f>VLOOKUP(D664,Lookup_Table!A:C,3,0)</f>
        <v>Amit</v>
      </c>
      <c r="Z664" s="15" t="str">
        <f t="shared" si="65"/>
        <v>Achived</v>
      </c>
    </row>
    <row r="665" spans="1:26">
      <c r="A665" s="13" t="s">
        <v>756</v>
      </c>
      <c r="B665" s="14">
        <v>46002</v>
      </c>
      <c r="C665" s="13" t="s">
        <v>27</v>
      </c>
      <c r="D665" s="13" t="s">
        <v>44</v>
      </c>
      <c r="E665" s="13" t="s">
        <v>143</v>
      </c>
      <c r="F665" s="13" t="s">
        <v>30</v>
      </c>
      <c r="G665" s="13" t="s">
        <v>31</v>
      </c>
      <c r="H665" s="13" t="s">
        <v>32</v>
      </c>
      <c r="I665" s="13" t="s">
        <v>33</v>
      </c>
      <c r="J665" s="13">
        <v>1</v>
      </c>
      <c r="K665" s="13">
        <v>393.32</v>
      </c>
      <c r="L665" s="13">
        <v>0</v>
      </c>
      <c r="M665" s="13">
        <v>393.32</v>
      </c>
      <c r="N665" s="13">
        <v>254.62</v>
      </c>
      <c r="O665" s="13">
        <v>138.7</v>
      </c>
      <c r="P665" s="13">
        <v>4.7</v>
      </c>
      <c r="Q665" s="13" t="s">
        <v>34</v>
      </c>
      <c r="R665" s="13">
        <v>2025</v>
      </c>
      <c r="S665" s="15" t="str">
        <f t="shared" si="60"/>
        <v>Low Profit</v>
      </c>
      <c r="T665" s="15" t="str">
        <f t="shared" si="61"/>
        <v>Low Sales</v>
      </c>
      <c r="U665" s="15" t="str">
        <f t="shared" si="62"/>
        <v>Good</v>
      </c>
      <c r="V665" s="15" t="str">
        <f t="shared" si="63"/>
        <v>Normal Discount</v>
      </c>
      <c r="W665" s="15">
        <f>VLOOKUP(D665,Lookup_Table!$A:$C,2,FALSE)</f>
        <v>0.18</v>
      </c>
      <c r="X665" s="15">
        <f t="shared" si="64"/>
        <v>0.352639072510933</v>
      </c>
      <c r="Y665" s="15" t="str">
        <f>VLOOKUP(D665,Lookup_Table!A:C,3,0)</f>
        <v>Amit</v>
      </c>
      <c r="Z665" s="15" t="str">
        <f t="shared" si="65"/>
        <v>Achived</v>
      </c>
    </row>
    <row r="666" spans="1:26">
      <c r="A666" s="13" t="s">
        <v>757</v>
      </c>
      <c r="B666" s="14">
        <v>45892</v>
      </c>
      <c r="C666" s="13" t="s">
        <v>27</v>
      </c>
      <c r="D666" s="13" t="s">
        <v>37</v>
      </c>
      <c r="E666" s="13" t="s">
        <v>93</v>
      </c>
      <c r="F666" s="13" t="s">
        <v>82</v>
      </c>
      <c r="G666" s="13" t="s">
        <v>83</v>
      </c>
      <c r="H666" s="13" t="s">
        <v>77</v>
      </c>
      <c r="I666" s="13" t="s">
        <v>46</v>
      </c>
      <c r="J666" s="13">
        <v>1</v>
      </c>
      <c r="K666" s="13">
        <v>179.95</v>
      </c>
      <c r="L666" s="13">
        <v>0</v>
      </c>
      <c r="M666" s="13">
        <v>179.95</v>
      </c>
      <c r="N666" s="13">
        <v>116.49</v>
      </c>
      <c r="O666" s="13">
        <v>63.46</v>
      </c>
      <c r="P666" s="13">
        <v>3.5</v>
      </c>
      <c r="Q666" s="13" t="s">
        <v>47</v>
      </c>
      <c r="R666" s="13">
        <v>2025</v>
      </c>
      <c r="S666" s="15" t="str">
        <f t="shared" si="60"/>
        <v>Low Profit</v>
      </c>
      <c r="T666" s="15" t="str">
        <f t="shared" si="61"/>
        <v>Low Sales</v>
      </c>
      <c r="U666" s="15" t="str">
        <f t="shared" si="62"/>
        <v>Needs Improvement</v>
      </c>
      <c r="V666" s="15" t="str">
        <f t="shared" si="63"/>
        <v>Normal Discount</v>
      </c>
      <c r="W666" s="15">
        <f>VLOOKUP(D666,Lookup_Table!$A:$C,2,FALSE)</f>
        <v>0.16</v>
      </c>
      <c r="X666" s="15">
        <f t="shared" si="64"/>
        <v>0.35265351486524</v>
      </c>
      <c r="Y666" s="15" t="str">
        <f>VLOOKUP(D666,Lookup_Table!A:C,3,0)</f>
        <v>Vikram</v>
      </c>
      <c r="Z666" s="15" t="str">
        <f t="shared" si="65"/>
        <v>Achived</v>
      </c>
    </row>
    <row r="667" spans="1:26">
      <c r="A667" s="13" t="s">
        <v>758</v>
      </c>
      <c r="B667" s="14">
        <v>46021</v>
      </c>
      <c r="C667" s="13" t="s">
        <v>27</v>
      </c>
      <c r="D667" s="13" t="s">
        <v>60</v>
      </c>
      <c r="E667" s="13" t="s">
        <v>150</v>
      </c>
      <c r="F667" s="13" t="s">
        <v>30</v>
      </c>
      <c r="G667" s="13" t="s">
        <v>31</v>
      </c>
      <c r="H667" s="13" t="s">
        <v>32</v>
      </c>
      <c r="I667" s="13" t="s">
        <v>46</v>
      </c>
      <c r="J667" s="13">
        <v>7</v>
      </c>
      <c r="K667" s="13">
        <v>601.44</v>
      </c>
      <c r="L667" s="13">
        <v>0.05</v>
      </c>
      <c r="M667" s="13">
        <v>3999.58</v>
      </c>
      <c r="N667" s="13">
        <v>2584.58</v>
      </c>
      <c r="O667" s="13">
        <v>1415</v>
      </c>
      <c r="P667" s="13">
        <v>3.4</v>
      </c>
      <c r="Q667" s="13" t="s">
        <v>34</v>
      </c>
      <c r="R667" s="13">
        <v>2025</v>
      </c>
      <c r="S667" s="15" t="str">
        <f t="shared" si="60"/>
        <v>High Profit</v>
      </c>
      <c r="T667" s="15" t="str">
        <f t="shared" si="61"/>
        <v>High Sales</v>
      </c>
      <c r="U667" s="15" t="str">
        <f t="shared" si="62"/>
        <v>Needs Improvement</v>
      </c>
      <c r="V667" s="15" t="str">
        <f t="shared" si="63"/>
        <v>Normal Discount</v>
      </c>
      <c r="W667" s="15">
        <f>VLOOKUP(D667,Lookup_Table!$A:$C,2,FALSE)</f>
        <v>0.15</v>
      </c>
      <c r="X667" s="15">
        <f t="shared" si="64"/>
        <v>0.353787147650503</v>
      </c>
      <c r="Y667" s="15" t="str">
        <f>VLOOKUP(D667,Lookup_Table!A:C,3,0)</f>
        <v>Priya</v>
      </c>
      <c r="Z667" s="15" t="str">
        <f t="shared" si="65"/>
        <v>Achived</v>
      </c>
    </row>
    <row r="668" spans="1:26">
      <c r="A668" s="13" t="s">
        <v>759</v>
      </c>
      <c r="B668" s="14">
        <v>45941</v>
      </c>
      <c r="C668" s="13" t="s">
        <v>55</v>
      </c>
      <c r="D668" s="13" t="s">
        <v>28</v>
      </c>
      <c r="E668" s="13" t="s">
        <v>49</v>
      </c>
      <c r="F668" s="13" t="s">
        <v>75</v>
      </c>
      <c r="G668" s="13" t="s">
        <v>76</v>
      </c>
      <c r="H668" s="13" t="s">
        <v>77</v>
      </c>
      <c r="I668" s="13" t="s">
        <v>33</v>
      </c>
      <c r="J668" s="13">
        <v>7</v>
      </c>
      <c r="K668" s="13">
        <v>100.89</v>
      </c>
      <c r="L668" s="13">
        <v>0.05</v>
      </c>
      <c r="M668" s="13">
        <v>670.92</v>
      </c>
      <c r="N668" s="13">
        <v>433.55</v>
      </c>
      <c r="O668" s="13">
        <v>237.37</v>
      </c>
      <c r="P668" s="13">
        <v>3.5</v>
      </c>
      <c r="Q668" s="13" t="s">
        <v>87</v>
      </c>
      <c r="R668" s="13">
        <v>2025</v>
      </c>
      <c r="S668" s="15" t="str">
        <f t="shared" si="60"/>
        <v>Low Profit</v>
      </c>
      <c r="T668" s="15" t="str">
        <f t="shared" si="61"/>
        <v>Low Sales</v>
      </c>
      <c r="U668" s="15" t="str">
        <f t="shared" si="62"/>
        <v>Needs Improvement</v>
      </c>
      <c r="V668" s="15" t="str">
        <f t="shared" si="63"/>
        <v>Normal Discount</v>
      </c>
      <c r="W668" s="15">
        <f>VLOOKUP(D668,Lookup_Table!$A:$C,2,FALSE)</f>
        <v>0.2</v>
      </c>
      <c r="X668" s="15">
        <f t="shared" si="64"/>
        <v>0.353797770225958</v>
      </c>
      <c r="Y668" s="15" t="str">
        <f>VLOOKUP(D668,Lookup_Table!A:C,3,0)</f>
        <v>Sneha</v>
      </c>
      <c r="Z668" s="15" t="str">
        <f t="shared" si="65"/>
        <v>Achived</v>
      </c>
    </row>
    <row r="669" spans="1:26">
      <c r="A669" s="13" t="s">
        <v>760</v>
      </c>
      <c r="B669" s="14">
        <v>45985</v>
      </c>
      <c r="C669" s="13" t="s">
        <v>36</v>
      </c>
      <c r="D669" s="13" t="s">
        <v>44</v>
      </c>
      <c r="E669" s="13" t="s">
        <v>137</v>
      </c>
      <c r="F669" s="13" t="s">
        <v>50</v>
      </c>
      <c r="G669" s="13" t="s">
        <v>51</v>
      </c>
      <c r="H669" s="13" t="s">
        <v>32</v>
      </c>
      <c r="I669" s="13" t="s">
        <v>52</v>
      </c>
      <c r="J669" s="13">
        <v>2</v>
      </c>
      <c r="K669" s="13">
        <v>341.93</v>
      </c>
      <c r="L669" s="13">
        <v>0</v>
      </c>
      <c r="M669" s="13">
        <v>683.86</v>
      </c>
      <c r="N669" s="13">
        <v>441.89</v>
      </c>
      <c r="O669" s="13">
        <v>241.97</v>
      </c>
      <c r="P669" s="13">
        <v>4.6</v>
      </c>
      <c r="Q669" s="13" t="s">
        <v>71</v>
      </c>
      <c r="R669" s="13">
        <v>2025</v>
      </c>
      <c r="S669" s="15" t="str">
        <f t="shared" si="60"/>
        <v>Low Profit</v>
      </c>
      <c r="T669" s="15" t="str">
        <f t="shared" si="61"/>
        <v>Low Sales</v>
      </c>
      <c r="U669" s="15" t="str">
        <f t="shared" si="62"/>
        <v>Good</v>
      </c>
      <c r="V669" s="15" t="str">
        <f t="shared" si="63"/>
        <v>Normal Discount</v>
      </c>
      <c r="W669" s="15">
        <f>VLOOKUP(D669,Lookup_Table!$A:$C,2,FALSE)</f>
        <v>0.18</v>
      </c>
      <c r="X669" s="15">
        <f t="shared" si="64"/>
        <v>0.353829731231539</v>
      </c>
      <c r="Y669" s="15" t="str">
        <f>VLOOKUP(D669,Lookup_Table!A:C,3,0)</f>
        <v>Amit</v>
      </c>
      <c r="Z669" s="15" t="str">
        <f t="shared" si="65"/>
        <v>Achived</v>
      </c>
    </row>
    <row r="670" spans="1:26">
      <c r="A670" s="13" t="s">
        <v>761</v>
      </c>
      <c r="B670" s="14">
        <v>45863</v>
      </c>
      <c r="C670" s="13" t="s">
        <v>36</v>
      </c>
      <c r="D670" s="13" t="s">
        <v>44</v>
      </c>
      <c r="E670" s="13" t="s">
        <v>143</v>
      </c>
      <c r="F670" s="13" t="s">
        <v>82</v>
      </c>
      <c r="G670" s="13" t="s">
        <v>83</v>
      </c>
      <c r="H670" s="13" t="s">
        <v>77</v>
      </c>
      <c r="I670" s="13" t="s">
        <v>46</v>
      </c>
      <c r="J670" s="13">
        <v>1</v>
      </c>
      <c r="K670" s="13">
        <v>1014.8</v>
      </c>
      <c r="L670" s="13">
        <v>0</v>
      </c>
      <c r="M670" s="13">
        <v>1014.8</v>
      </c>
      <c r="N670" s="13">
        <v>655.72</v>
      </c>
      <c r="O670" s="13">
        <v>359.08</v>
      </c>
      <c r="P670" s="13">
        <v>4.9</v>
      </c>
      <c r="Q670" s="13" t="s">
        <v>56</v>
      </c>
      <c r="R670" s="13">
        <v>2025</v>
      </c>
      <c r="S670" s="15" t="str">
        <f t="shared" si="60"/>
        <v>Low Profit</v>
      </c>
      <c r="T670" s="15" t="str">
        <f t="shared" si="61"/>
        <v>High Sales</v>
      </c>
      <c r="U670" s="15" t="str">
        <f t="shared" si="62"/>
        <v>Good</v>
      </c>
      <c r="V670" s="15" t="str">
        <f t="shared" si="63"/>
        <v>Normal Discount</v>
      </c>
      <c r="W670" s="15">
        <f>VLOOKUP(D670,Lookup_Table!$A:$C,2,FALSE)</f>
        <v>0.18</v>
      </c>
      <c r="X670" s="15">
        <f t="shared" si="64"/>
        <v>0.353843121797399</v>
      </c>
      <c r="Y670" s="15" t="str">
        <f>VLOOKUP(D670,Lookup_Table!A:C,3,0)</f>
        <v>Amit</v>
      </c>
      <c r="Z670" s="15" t="str">
        <f t="shared" si="65"/>
        <v>Achived</v>
      </c>
    </row>
    <row r="671" spans="1:26">
      <c r="A671" s="13" t="s">
        <v>762</v>
      </c>
      <c r="B671" s="14">
        <v>45805</v>
      </c>
      <c r="C671" s="13" t="s">
        <v>55</v>
      </c>
      <c r="D671" s="13" t="s">
        <v>60</v>
      </c>
      <c r="E671" s="13" t="s">
        <v>150</v>
      </c>
      <c r="F671" s="13" t="s">
        <v>82</v>
      </c>
      <c r="G671" s="13" t="s">
        <v>83</v>
      </c>
      <c r="H671" s="13" t="s">
        <v>77</v>
      </c>
      <c r="I671" s="13" t="s">
        <v>46</v>
      </c>
      <c r="J671" s="13">
        <v>6</v>
      </c>
      <c r="K671" s="13">
        <v>616.68</v>
      </c>
      <c r="L671" s="13">
        <v>0.1</v>
      </c>
      <c r="M671" s="13">
        <v>3330.07</v>
      </c>
      <c r="N671" s="13">
        <v>2151.41</v>
      </c>
      <c r="O671" s="13">
        <v>1178.66</v>
      </c>
      <c r="P671" s="13">
        <v>3.6</v>
      </c>
      <c r="Q671" s="13" t="s">
        <v>42</v>
      </c>
      <c r="R671" s="13">
        <v>2025</v>
      </c>
      <c r="S671" s="15" t="str">
        <f t="shared" si="60"/>
        <v>High Profit</v>
      </c>
      <c r="T671" s="15" t="str">
        <f t="shared" si="61"/>
        <v>High Sales</v>
      </c>
      <c r="U671" s="15" t="str">
        <f t="shared" si="62"/>
        <v>Needs Improvement</v>
      </c>
      <c r="V671" s="15" t="str">
        <f t="shared" si="63"/>
        <v>Normal Discount</v>
      </c>
      <c r="W671" s="15">
        <f>VLOOKUP(D671,Lookup_Table!$A:$C,2,FALSE)</f>
        <v>0.15</v>
      </c>
      <c r="X671" s="15">
        <f t="shared" si="64"/>
        <v>0.353944511676932</v>
      </c>
      <c r="Y671" s="15" t="str">
        <f>VLOOKUP(D671,Lookup_Table!A:C,3,0)</f>
        <v>Priya</v>
      </c>
      <c r="Z671" s="15" t="str">
        <f t="shared" si="65"/>
        <v>Achived</v>
      </c>
    </row>
    <row r="672" spans="1:26">
      <c r="A672" s="13" t="s">
        <v>763</v>
      </c>
      <c r="B672" s="14">
        <v>45842</v>
      </c>
      <c r="C672" s="13" t="s">
        <v>55</v>
      </c>
      <c r="D672" s="13" t="s">
        <v>80</v>
      </c>
      <c r="E672" s="13" t="s">
        <v>191</v>
      </c>
      <c r="F672" s="13" t="s">
        <v>111</v>
      </c>
      <c r="G672" s="13" t="s">
        <v>76</v>
      </c>
      <c r="H672" s="13" t="s">
        <v>77</v>
      </c>
      <c r="I672" s="13" t="s">
        <v>96</v>
      </c>
      <c r="J672" s="13">
        <v>7</v>
      </c>
      <c r="K672" s="13">
        <v>72.68</v>
      </c>
      <c r="L672" s="13">
        <v>0.2</v>
      </c>
      <c r="M672" s="13">
        <v>407.01</v>
      </c>
      <c r="N672" s="13">
        <v>262.94</v>
      </c>
      <c r="O672" s="13">
        <v>144.07</v>
      </c>
      <c r="P672" s="13">
        <v>3.1</v>
      </c>
      <c r="Q672" s="13" t="s">
        <v>56</v>
      </c>
      <c r="R672" s="13">
        <v>2025</v>
      </c>
      <c r="S672" s="15" t="str">
        <f t="shared" si="60"/>
        <v>Low Profit</v>
      </c>
      <c r="T672" s="15" t="str">
        <f t="shared" si="61"/>
        <v>Low Sales</v>
      </c>
      <c r="U672" s="15" t="str">
        <f t="shared" si="62"/>
        <v>Needs Improvement</v>
      </c>
      <c r="V672" s="15" t="str">
        <f t="shared" si="63"/>
        <v>High Discount</v>
      </c>
      <c r="W672" s="15">
        <f>VLOOKUP(D672,Lookup_Table!$A:$C,2,FALSE)</f>
        <v>0.12</v>
      </c>
      <c r="X672" s="15">
        <f t="shared" si="64"/>
        <v>0.353971646888283</v>
      </c>
      <c r="Y672" s="15" t="str">
        <f>VLOOKUP(D672,Lookup_Table!A:C,3,0)</f>
        <v>Rahul</v>
      </c>
      <c r="Z672" s="15" t="str">
        <f t="shared" si="65"/>
        <v>Achived</v>
      </c>
    </row>
    <row r="673" spans="1:26">
      <c r="A673" s="13" t="s">
        <v>764</v>
      </c>
      <c r="B673" s="14">
        <v>45945</v>
      </c>
      <c r="C673" s="13" t="s">
        <v>55</v>
      </c>
      <c r="D673" s="13" t="s">
        <v>37</v>
      </c>
      <c r="E673" s="13" t="s">
        <v>93</v>
      </c>
      <c r="F673" s="13" t="s">
        <v>75</v>
      </c>
      <c r="G673" s="13" t="s">
        <v>76</v>
      </c>
      <c r="H673" s="13" t="s">
        <v>77</v>
      </c>
      <c r="I673" s="13" t="s">
        <v>46</v>
      </c>
      <c r="J673" s="13">
        <v>7</v>
      </c>
      <c r="K673" s="13">
        <v>54.42</v>
      </c>
      <c r="L673" s="13">
        <v>0.1</v>
      </c>
      <c r="M673" s="13">
        <v>342.85</v>
      </c>
      <c r="N673" s="13">
        <v>221.44</v>
      </c>
      <c r="O673" s="13">
        <v>121.41</v>
      </c>
      <c r="P673" s="13">
        <v>4.3</v>
      </c>
      <c r="Q673" s="13" t="s">
        <v>87</v>
      </c>
      <c r="R673" s="13">
        <v>2025</v>
      </c>
      <c r="S673" s="15" t="str">
        <f t="shared" si="60"/>
        <v>Low Profit</v>
      </c>
      <c r="T673" s="15" t="str">
        <f t="shared" si="61"/>
        <v>Low Sales</v>
      </c>
      <c r="U673" s="15" t="str">
        <f t="shared" si="62"/>
        <v>Good</v>
      </c>
      <c r="V673" s="15" t="str">
        <f t="shared" si="63"/>
        <v>Normal Discount</v>
      </c>
      <c r="W673" s="15">
        <f>VLOOKUP(D673,Lookup_Table!$A:$C,2,FALSE)</f>
        <v>0.16</v>
      </c>
      <c r="X673" s="15">
        <f t="shared" si="64"/>
        <v>0.354119877497448</v>
      </c>
      <c r="Y673" s="15" t="str">
        <f>VLOOKUP(D673,Lookup_Table!A:C,3,0)</f>
        <v>Vikram</v>
      </c>
      <c r="Z673" s="15" t="str">
        <f t="shared" si="65"/>
        <v>Achived</v>
      </c>
    </row>
    <row r="674" spans="1:26">
      <c r="A674" s="13" t="s">
        <v>765</v>
      </c>
      <c r="B674" s="14">
        <v>45921</v>
      </c>
      <c r="C674" s="13" t="s">
        <v>55</v>
      </c>
      <c r="D674" s="13" t="s">
        <v>60</v>
      </c>
      <c r="E674" s="13" t="s">
        <v>150</v>
      </c>
      <c r="F674" s="13" t="s">
        <v>111</v>
      </c>
      <c r="G674" s="13" t="s">
        <v>76</v>
      </c>
      <c r="H674" s="13" t="s">
        <v>77</v>
      </c>
      <c r="I674" s="13" t="s">
        <v>46</v>
      </c>
      <c r="J674" s="13">
        <v>7</v>
      </c>
      <c r="K674" s="13">
        <v>460.8</v>
      </c>
      <c r="L674" s="13">
        <v>0.1</v>
      </c>
      <c r="M674" s="13">
        <v>2903.04</v>
      </c>
      <c r="N674" s="13">
        <v>1872.98</v>
      </c>
      <c r="O674" s="13">
        <v>1030.06</v>
      </c>
      <c r="P674" s="13">
        <v>3.8</v>
      </c>
      <c r="Q674" s="13" t="s">
        <v>53</v>
      </c>
      <c r="R674" s="13">
        <v>2025</v>
      </c>
      <c r="S674" s="15" t="str">
        <f t="shared" si="60"/>
        <v>High Profit</v>
      </c>
      <c r="T674" s="15" t="str">
        <f t="shared" si="61"/>
        <v>High Sales</v>
      </c>
      <c r="U674" s="15" t="str">
        <f t="shared" si="62"/>
        <v>Needs Improvement</v>
      </c>
      <c r="V674" s="15" t="str">
        <f t="shared" si="63"/>
        <v>Normal Discount</v>
      </c>
      <c r="W674" s="15">
        <f>VLOOKUP(D674,Lookup_Table!$A:$C,2,FALSE)</f>
        <v>0.15</v>
      </c>
      <c r="X674" s="15">
        <f t="shared" si="64"/>
        <v>0.354821152998236</v>
      </c>
      <c r="Y674" s="15" t="str">
        <f>VLOOKUP(D674,Lookup_Table!A:C,3,0)</f>
        <v>Priya</v>
      </c>
      <c r="Z674" s="15" t="str">
        <f t="shared" si="65"/>
        <v>Achived</v>
      </c>
    </row>
    <row r="675" spans="1:26">
      <c r="A675" s="13" t="s">
        <v>766</v>
      </c>
      <c r="B675" s="14">
        <v>45904</v>
      </c>
      <c r="C675" s="13" t="s">
        <v>55</v>
      </c>
      <c r="D675" s="13" t="s">
        <v>44</v>
      </c>
      <c r="E675" s="13" t="s">
        <v>143</v>
      </c>
      <c r="F675" s="13" t="s">
        <v>30</v>
      </c>
      <c r="G675" s="13" t="s">
        <v>31</v>
      </c>
      <c r="H675" s="13" t="s">
        <v>32</v>
      </c>
      <c r="I675" s="13" t="s">
        <v>52</v>
      </c>
      <c r="J675" s="13">
        <v>2</v>
      </c>
      <c r="K675" s="13">
        <v>299.42</v>
      </c>
      <c r="L675" s="13">
        <v>0</v>
      </c>
      <c r="M675" s="13">
        <v>598.84</v>
      </c>
      <c r="N675" s="13">
        <v>386.24</v>
      </c>
      <c r="O675" s="13">
        <v>212.6</v>
      </c>
      <c r="P675" s="13">
        <v>3.3</v>
      </c>
      <c r="Q675" s="13" t="s">
        <v>53</v>
      </c>
      <c r="R675" s="13">
        <v>2025</v>
      </c>
      <c r="S675" s="15" t="str">
        <f t="shared" si="60"/>
        <v>Low Profit</v>
      </c>
      <c r="T675" s="15" t="str">
        <f t="shared" si="61"/>
        <v>Low Sales</v>
      </c>
      <c r="U675" s="15" t="str">
        <f t="shared" si="62"/>
        <v>Needs Improvement</v>
      </c>
      <c r="V675" s="15" t="str">
        <f t="shared" si="63"/>
        <v>Normal Discount</v>
      </c>
      <c r="W675" s="15">
        <f>VLOOKUP(D675,Lookup_Table!$A:$C,2,FALSE)</f>
        <v>0.18</v>
      </c>
      <c r="X675" s="15">
        <f t="shared" si="64"/>
        <v>0.355019704762541</v>
      </c>
      <c r="Y675" s="15" t="str">
        <f>VLOOKUP(D675,Lookup_Table!A:C,3,0)</f>
        <v>Amit</v>
      </c>
      <c r="Z675" s="15" t="str">
        <f t="shared" si="65"/>
        <v>Achived</v>
      </c>
    </row>
    <row r="676" spans="1:26">
      <c r="A676" s="13" t="s">
        <v>767</v>
      </c>
      <c r="B676" s="14">
        <v>46003</v>
      </c>
      <c r="C676" s="13" t="s">
        <v>55</v>
      </c>
      <c r="D676" s="13" t="s">
        <v>37</v>
      </c>
      <c r="E676" s="13" t="s">
        <v>109</v>
      </c>
      <c r="F676" s="13" t="s">
        <v>116</v>
      </c>
      <c r="G676" s="13" t="s">
        <v>117</v>
      </c>
      <c r="H676" s="13" t="s">
        <v>32</v>
      </c>
      <c r="I676" s="13" t="s">
        <v>46</v>
      </c>
      <c r="J676" s="13">
        <v>4</v>
      </c>
      <c r="K676" s="13">
        <v>449.32</v>
      </c>
      <c r="L676" s="13">
        <v>0.1</v>
      </c>
      <c r="M676" s="13">
        <v>1617.55</v>
      </c>
      <c r="N676" s="13">
        <v>1043.18</v>
      </c>
      <c r="O676" s="13">
        <v>574.37</v>
      </c>
      <c r="P676" s="13">
        <v>2.5</v>
      </c>
      <c r="Q676" s="13" t="s">
        <v>34</v>
      </c>
      <c r="R676" s="13">
        <v>2025</v>
      </c>
      <c r="S676" s="15" t="str">
        <f t="shared" si="60"/>
        <v>High Profit</v>
      </c>
      <c r="T676" s="15" t="str">
        <f t="shared" si="61"/>
        <v>High Sales</v>
      </c>
      <c r="U676" s="15" t="str">
        <f t="shared" si="62"/>
        <v>Needs Improvement</v>
      </c>
      <c r="V676" s="15" t="str">
        <f t="shared" si="63"/>
        <v>Normal Discount</v>
      </c>
      <c r="W676" s="15">
        <f>VLOOKUP(D676,Lookup_Table!$A:$C,2,FALSE)</f>
        <v>0.16</v>
      </c>
      <c r="X676" s="15">
        <f t="shared" si="64"/>
        <v>0.355086396092856</v>
      </c>
      <c r="Y676" s="15" t="str">
        <f>VLOOKUP(D676,Lookup_Table!A:C,3,0)</f>
        <v>Vikram</v>
      </c>
      <c r="Z676" s="15" t="str">
        <f t="shared" si="65"/>
        <v>Achived</v>
      </c>
    </row>
    <row r="677" spans="1:26">
      <c r="A677" s="13" t="s">
        <v>768</v>
      </c>
      <c r="B677" s="14">
        <v>45664</v>
      </c>
      <c r="C677" s="13" t="s">
        <v>36</v>
      </c>
      <c r="D677" s="13" t="s">
        <v>80</v>
      </c>
      <c r="E677" s="13" t="s">
        <v>115</v>
      </c>
      <c r="F677" s="13" t="s">
        <v>50</v>
      </c>
      <c r="G677" s="13" t="s">
        <v>51</v>
      </c>
      <c r="H677" s="13" t="s">
        <v>32</v>
      </c>
      <c r="I677" s="13" t="s">
        <v>33</v>
      </c>
      <c r="J677" s="13">
        <v>2</v>
      </c>
      <c r="K677" s="13">
        <v>42.65</v>
      </c>
      <c r="L677" s="13">
        <v>0.1</v>
      </c>
      <c r="M677" s="13">
        <v>76.77</v>
      </c>
      <c r="N677" s="13">
        <v>49.48</v>
      </c>
      <c r="O677" s="13">
        <v>27.29</v>
      </c>
      <c r="P677" s="13">
        <v>5</v>
      </c>
      <c r="Q677" s="13" t="s">
        <v>64</v>
      </c>
      <c r="R677" s="13">
        <v>2025</v>
      </c>
      <c r="S677" s="15" t="str">
        <f t="shared" si="60"/>
        <v>Low Profit</v>
      </c>
      <c r="T677" s="15" t="str">
        <f t="shared" si="61"/>
        <v>Low Sales</v>
      </c>
      <c r="U677" s="15" t="str">
        <f t="shared" si="62"/>
        <v>Good</v>
      </c>
      <c r="V677" s="15" t="str">
        <f t="shared" si="63"/>
        <v>Normal Discount</v>
      </c>
      <c r="W677" s="15">
        <f>VLOOKUP(D677,Lookup_Table!$A:$C,2,FALSE)</f>
        <v>0.12</v>
      </c>
      <c r="X677" s="15">
        <f t="shared" si="64"/>
        <v>0.355477400026052</v>
      </c>
      <c r="Y677" s="15" t="str">
        <f>VLOOKUP(D677,Lookup_Table!A:C,3,0)</f>
        <v>Rahul</v>
      </c>
      <c r="Z677" s="15" t="str">
        <f t="shared" si="65"/>
        <v>Achived</v>
      </c>
    </row>
    <row r="678" spans="1:26">
      <c r="A678" s="13" t="s">
        <v>769</v>
      </c>
      <c r="B678" s="14">
        <v>45751</v>
      </c>
      <c r="C678" s="13" t="s">
        <v>27</v>
      </c>
      <c r="D678" s="13" t="s">
        <v>28</v>
      </c>
      <c r="E678" s="13" t="s">
        <v>49</v>
      </c>
      <c r="F678" s="13" t="s">
        <v>50</v>
      </c>
      <c r="G678" s="13" t="s">
        <v>51</v>
      </c>
      <c r="H678" s="13" t="s">
        <v>32</v>
      </c>
      <c r="I678" s="13" t="s">
        <v>33</v>
      </c>
      <c r="J678" s="13">
        <v>6</v>
      </c>
      <c r="K678" s="13">
        <v>53.32</v>
      </c>
      <c r="L678" s="13">
        <v>0</v>
      </c>
      <c r="M678" s="13">
        <v>319.92</v>
      </c>
      <c r="N678" s="13">
        <v>206.13</v>
      </c>
      <c r="O678" s="13">
        <v>113.79</v>
      </c>
      <c r="P678" s="13">
        <v>3.5</v>
      </c>
      <c r="Q678" s="13" t="s">
        <v>84</v>
      </c>
      <c r="R678" s="13">
        <v>2025</v>
      </c>
      <c r="S678" s="15" t="str">
        <f t="shared" si="60"/>
        <v>Low Profit</v>
      </c>
      <c r="T678" s="15" t="str">
        <f t="shared" si="61"/>
        <v>Low Sales</v>
      </c>
      <c r="U678" s="15" t="str">
        <f t="shared" si="62"/>
        <v>Needs Improvement</v>
      </c>
      <c r="V678" s="15" t="str">
        <f t="shared" si="63"/>
        <v>Normal Discount</v>
      </c>
      <c r="W678" s="15">
        <f>VLOOKUP(D678,Lookup_Table!$A:$C,2,FALSE)</f>
        <v>0.2</v>
      </c>
      <c r="X678" s="15">
        <f t="shared" si="64"/>
        <v>0.355682670667667</v>
      </c>
      <c r="Y678" s="15" t="str">
        <f>VLOOKUP(D678,Lookup_Table!A:C,3,0)</f>
        <v>Sneha</v>
      </c>
      <c r="Z678" s="15" t="str">
        <f t="shared" si="65"/>
        <v>Achived</v>
      </c>
    </row>
    <row r="679" spans="1:26">
      <c r="A679" s="13" t="s">
        <v>770</v>
      </c>
      <c r="B679" s="14">
        <v>45780</v>
      </c>
      <c r="C679" s="13" t="s">
        <v>27</v>
      </c>
      <c r="D679" s="13" t="s">
        <v>60</v>
      </c>
      <c r="E679" s="13" t="s">
        <v>66</v>
      </c>
      <c r="F679" s="13" t="s">
        <v>75</v>
      </c>
      <c r="G679" s="13" t="s">
        <v>76</v>
      </c>
      <c r="H679" s="13" t="s">
        <v>77</v>
      </c>
      <c r="I679" s="13" t="s">
        <v>96</v>
      </c>
      <c r="J679" s="13">
        <v>7</v>
      </c>
      <c r="K679" s="13">
        <v>491.42</v>
      </c>
      <c r="L679" s="13">
        <v>0.15</v>
      </c>
      <c r="M679" s="13">
        <v>2923.95</v>
      </c>
      <c r="N679" s="13">
        <v>1882.89</v>
      </c>
      <c r="O679" s="13">
        <v>1041.06</v>
      </c>
      <c r="P679" s="13">
        <v>3.5</v>
      </c>
      <c r="Q679" s="13" t="s">
        <v>42</v>
      </c>
      <c r="R679" s="13">
        <v>2025</v>
      </c>
      <c r="S679" s="15" t="str">
        <f t="shared" si="60"/>
        <v>High Profit</v>
      </c>
      <c r="T679" s="15" t="str">
        <f t="shared" si="61"/>
        <v>High Sales</v>
      </c>
      <c r="U679" s="15" t="str">
        <f t="shared" si="62"/>
        <v>Needs Improvement</v>
      </c>
      <c r="V679" s="15" t="str">
        <f t="shared" si="63"/>
        <v>High Discount</v>
      </c>
      <c r="W679" s="15">
        <f>VLOOKUP(D679,Lookup_Table!$A:$C,2,FALSE)</f>
        <v>0.15</v>
      </c>
      <c r="X679" s="15">
        <f t="shared" si="64"/>
        <v>0.356045760016416</v>
      </c>
      <c r="Y679" s="15" t="str">
        <f>VLOOKUP(D679,Lookup_Table!A:C,3,0)</f>
        <v>Priya</v>
      </c>
      <c r="Z679" s="15" t="str">
        <f t="shared" si="65"/>
        <v>Achived</v>
      </c>
    </row>
    <row r="680" spans="1:26">
      <c r="A680" s="13" t="s">
        <v>771</v>
      </c>
      <c r="B680" s="14">
        <v>45818</v>
      </c>
      <c r="C680" s="13" t="s">
        <v>36</v>
      </c>
      <c r="D680" s="13" t="s">
        <v>60</v>
      </c>
      <c r="E680" s="13" t="s">
        <v>61</v>
      </c>
      <c r="F680" s="13" t="s">
        <v>111</v>
      </c>
      <c r="G680" s="13" t="s">
        <v>76</v>
      </c>
      <c r="H680" s="13" t="s">
        <v>77</v>
      </c>
      <c r="I680" s="13" t="s">
        <v>52</v>
      </c>
      <c r="J680" s="13">
        <v>1</v>
      </c>
      <c r="K680" s="13">
        <v>514.45</v>
      </c>
      <c r="L680" s="13">
        <v>0.05</v>
      </c>
      <c r="M680" s="13">
        <v>488.73</v>
      </c>
      <c r="N680" s="13">
        <v>314.5</v>
      </c>
      <c r="O680" s="13">
        <v>174.23</v>
      </c>
      <c r="P680" s="13">
        <v>2.7</v>
      </c>
      <c r="Q680" s="13" t="s">
        <v>58</v>
      </c>
      <c r="R680" s="13">
        <v>2025</v>
      </c>
      <c r="S680" s="15" t="str">
        <f t="shared" si="60"/>
        <v>Low Profit</v>
      </c>
      <c r="T680" s="15" t="str">
        <f t="shared" si="61"/>
        <v>Low Sales</v>
      </c>
      <c r="U680" s="15" t="str">
        <f t="shared" si="62"/>
        <v>Needs Improvement</v>
      </c>
      <c r="V680" s="15" t="str">
        <f t="shared" si="63"/>
        <v>Normal Discount</v>
      </c>
      <c r="W680" s="15">
        <f>VLOOKUP(D680,Lookup_Table!$A:$C,2,FALSE)</f>
        <v>0.15</v>
      </c>
      <c r="X680" s="15">
        <f t="shared" si="64"/>
        <v>0.356495406461645</v>
      </c>
      <c r="Y680" s="15" t="str">
        <f>VLOOKUP(D680,Lookup_Table!A:C,3,0)</f>
        <v>Priya</v>
      </c>
      <c r="Z680" s="15" t="str">
        <f t="shared" si="65"/>
        <v>Achived</v>
      </c>
    </row>
    <row r="681" spans="1:26">
      <c r="A681" s="13" t="s">
        <v>772</v>
      </c>
      <c r="B681" s="14">
        <v>45844</v>
      </c>
      <c r="C681" s="13" t="s">
        <v>27</v>
      </c>
      <c r="D681" s="13" t="s">
        <v>37</v>
      </c>
      <c r="E681" s="13" t="s">
        <v>109</v>
      </c>
      <c r="F681" s="13" t="s">
        <v>50</v>
      </c>
      <c r="G681" s="13" t="s">
        <v>51</v>
      </c>
      <c r="H681" s="13" t="s">
        <v>32</v>
      </c>
      <c r="I681" s="13" t="s">
        <v>46</v>
      </c>
      <c r="J681" s="13">
        <v>4</v>
      </c>
      <c r="K681" s="13">
        <v>94.03</v>
      </c>
      <c r="L681" s="13">
        <v>0.05</v>
      </c>
      <c r="M681" s="13">
        <v>357.31</v>
      </c>
      <c r="N681" s="13">
        <v>229.75</v>
      </c>
      <c r="O681" s="13">
        <v>127.56</v>
      </c>
      <c r="P681" s="13">
        <v>3.7</v>
      </c>
      <c r="Q681" s="13" t="s">
        <v>56</v>
      </c>
      <c r="R681" s="13">
        <v>2025</v>
      </c>
      <c r="S681" s="15" t="str">
        <f t="shared" si="60"/>
        <v>Low Profit</v>
      </c>
      <c r="T681" s="15" t="str">
        <f t="shared" si="61"/>
        <v>Low Sales</v>
      </c>
      <c r="U681" s="15" t="str">
        <f t="shared" si="62"/>
        <v>Needs Improvement</v>
      </c>
      <c r="V681" s="15" t="str">
        <f t="shared" si="63"/>
        <v>Normal Discount</v>
      </c>
      <c r="W681" s="15">
        <f>VLOOKUP(D681,Lookup_Table!$A:$C,2,FALSE)</f>
        <v>0.16</v>
      </c>
      <c r="X681" s="15">
        <f t="shared" si="64"/>
        <v>0.35700092356777</v>
      </c>
      <c r="Y681" s="15" t="str">
        <f>VLOOKUP(D681,Lookup_Table!A:C,3,0)</f>
        <v>Vikram</v>
      </c>
      <c r="Z681" s="15" t="str">
        <f t="shared" si="65"/>
        <v>Achived</v>
      </c>
    </row>
    <row r="682" spans="1:26">
      <c r="A682" s="13" t="s">
        <v>773</v>
      </c>
      <c r="B682" s="14">
        <v>46008</v>
      </c>
      <c r="C682" s="13" t="s">
        <v>55</v>
      </c>
      <c r="D682" s="13" t="s">
        <v>80</v>
      </c>
      <c r="E682" s="13" t="s">
        <v>81</v>
      </c>
      <c r="F682" s="13" t="s">
        <v>62</v>
      </c>
      <c r="G682" s="13" t="s">
        <v>63</v>
      </c>
      <c r="H682" s="13" t="s">
        <v>32</v>
      </c>
      <c r="I682" s="13" t="s">
        <v>46</v>
      </c>
      <c r="J682" s="13">
        <v>7</v>
      </c>
      <c r="K682" s="13">
        <v>73.48</v>
      </c>
      <c r="L682" s="13">
        <v>0.1</v>
      </c>
      <c r="M682" s="13">
        <v>462.92</v>
      </c>
      <c r="N682" s="13">
        <v>297.64</v>
      </c>
      <c r="O682" s="13">
        <v>165.28</v>
      </c>
      <c r="P682" s="13">
        <v>2.6</v>
      </c>
      <c r="Q682" s="13" t="s">
        <v>34</v>
      </c>
      <c r="R682" s="13">
        <v>2025</v>
      </c>
      <c r="S682" s="15" t="str">
        <f t="shared" si="60"/>
        <v>Low Profit</v>
      </c>
      <c r="T682" s="15" t="str">
        <f t="shared" si="61"/>
        <v>Low Sales</v>
      </c>
      <c r="U682" s="15" t="str">
        <f t="shared" si="62"/>
        <v>Needs Improvement</v>
      </c>
      <c r="V682" s="15" t="str">
        <f t="shared" si="63"/>
        <v>Normal Discount</v>
      </c>
      <c r="W682" s="15">
        <f>VLOOKUP(D682,Lookup_Table!$A:$C,2,FALSE)</f>
        <v>0.12</v>
      </c>
      <c r="X682" s="15">
        <f t="shared" si="64"/>
        <v>0.357037933120194</v>
      </c>
      <c r="Y682" s="15" t="str">
        <f>VLOOKUP(D682,Lookup_Table!A:C,3,0)</f>
        <v>Rahul</v>
      </c>
      <c r="Z682" s="15" t="str">
        <f t="shared" si="65"/>
        <v>Achived</v>
      </c>
    </row>
    <row r="683" spans="1:26">
      <c r="A683" s="13" t="s">
        <v>774</v>
      </c>
      <c r="B683" s="14">
        <v>45983</v>
      </c>
      <c r="C683" s="13" t="s">
        <v>27</v>
      </c>
      <c r="D683" s="13" t="s">
        <v>37</v>
      </c>
      <c r="E683" s="13" t="s">
        <v>38</v>
      </c>
      <c r="F683" s="13" t="s">
        <v>116</v>
      </c>
      <c r="G683" s="13" t="s">
        <v>117</v>
      </c>
      <c r="H683" s="13" t="s">
        <v>32</v>
      </c>
      <c r="I683" s="13" t="s">
        <v>96</v>
      </c>
      <c r="J683" s="13">
        <v>4</v>
      </c>
      <c r="K683" s="13">
        <v>194.08</v>
      </c>
      <c r="L683" s="13">
        <v>0.15</v>
      </c>
      <c r="M683" s="13">
        <v>659.87</v>
      </c>
      <c r="N683" s="13">
        <v>424.22</v>
      </c>
      <c r="O683" s="13">
        <v>235.65</v>
      </c>
      <c r="P683" s="13">
        <v>5</v>
      </c>
      <c r="Q683" s="13" t="s">
        <v>71</v>
      </c>
      <c r="R683" s="13">
        <v>2025</v>
      </c>
      <c r="S683" s="15" t="str">
        <f t="shared" si="60"/>
        <v>Low Profit</v>
      </c>
      <c r="T683" s="15" t="str">
        <f t="shared" si="61"/>
        <v>Low Sales</v>
      </c>
      <c r="U683" s="15" t="str">
        <f t="shared" si="62"/>
        <v>Good</v>
      </c>
      <c r="V683" s="15" t="str">
        <f t="shared" si="63"/>
        <v>High Discount</v>
      </c>
      <c r="W683" s="15">
        <f>VLOOKUP(D683,Lookup_Table!$A:$C,2,FALSE)</f>
        <v>0.16</v>
      </c>
      <c r="X683" s="15">
        <f t="shared" si="64"/>
        <v>0.357115795535484</v>
      </c>
      <c r="Y683" s="15" t="str">
        <f>VLOOKUP(D683,Lookup_Table!A:C,3,0)</f>
        <v>Vikram</v>
      </c>
      <c r="Z683" s="15" t="str">
        <f t="shared" si="65"/>
        <v>Achived</v>
      </c>
    </row>
    <row r="684" spans="1:26">
      <c r="A684" s="13" t="s">
        <v>775</v>
      </c>
      <c r="B684" s="14">
        <v>45788</v>
      </c>
      <c r="C684" s="13" t="s">
        <v>55</v>
      </c>
      <c r="D684" s="13" t="s">
        <v>37</v>
      </c>
      <c r="E684" s="13" t="s">
        <v>38</v>
      </c>
      <c r="F684" s="13" t="s">
        <v>30</v>
      </c>
      <c r="G684" s="13" t="s">
        <v>31</v>
      </c>
      <c r="H684" s="13" t="s">
        <v>32</v>
      </c>
      <c r="I684" s="13" t="s">
        <v>46</v>
      </c>
      <c r="J684" s="13">
        <v>4</v>
      </c>
      <c r="K684" s="13">
        <v>143.63</v>
      </c>
      <c r="L684" s="13">
        <v>0.1</v>
      </c>
      <c r="M684" s="13">
        <v>517.07</v>
      </c>
      <c r="N684" s="13">
        <v>331.89</v>
      </c>
      <c r="O684" s="13">
        <v>185.18</v>
      </c>
      <c r="P684" s="13">
        <v>3.1</v>
      </c>
      <c r="Q684" s="13" t="s">
        <v>42</v>
      </c>
      <c r="R684" s="13">
        <v>2025</v>
      </c>
      <c r="S684" s="15" t="str">
        <f t="shared" si="60"/>
        <v>Low Profit</v>
      </c>
      <c r="T684" s="15" t="str">
        <f t="shared" si="61"/>
        <v>Low Sales</v>
      </c>
      <c r="U684" s="15" t="str">
        <f t="shared" si="62"/>
        <v>Needs Improvement</v>
      </c>
      <c r="V684" s="15" t="str">
        <f t="shared" si="63"/>
        <v>Normal Discount</v>
      </c>
      <c r="W684" s="15">
        <f>VLOOKUP(D684,Lookup_Table!$A:$C,2,FALSE)</f>
        <v>0.16</v>
      </c>
      <c r="X684" s="15">
        <f t="shared" si="64"/>
        <v>0.358133328176069</v>
      </c>
      <c r="Y684" s="15" t="str">
        <f>VLOOKUP(D684,Lookup_Table!A:C,3,0)</f>
        <v>Vikram</v>
      </c>
      <c r="Z684" s="15" t="str">
        <f t="shared" si="65"/>
        <v>Achived</v>
      </c>
    </row>
    <row r="685" spans="1:26">
      <c r="A685" s="13" t="s">
        <v>776</v>
      </c>
      <c r="B685" s="14">
        <v>45885</v>
      </c>
      <c r="C685" s="13" t="s">
        <v>55</v>
      </c>
      <c r="D685" s="13" t="s">
        <v>37</v>
      </c>
      <c r="E685" s="13" t="s">
        <v>86</v>
      </c>
      <c r="F685" s="13" t="s">
        <v>98</v>
      </c>
      <c r="G685" s="13" t="s">
        <v>99</v>
      </c>
      <c r="H685" s="13" t="s">
        <v>77</v>
      </c>
      <c r="I685" s="13" t="s">
        <v>46</v>
      </c>
      <c r="J685" s="13">
        <v>7</v>
      </c>
      <c r="K685" s="13">
        <v>116.21</v>
      </c>
      <c r="L685" s="13">
        <v>0.05</v>
      </c>
      <c r="M685" s="13">
        <v>772.8</v>
      </c>
      <c r="N685" s="13">
        <v>495.7</v>
      </c>
      <c r="O685" s="13">
        <v>277.1</v>
      </c>
      <c r="P685" s="13">
        <v>4.4</v>
      </c>
      <c r="Q685" s="13" t="s">
        <v>47</v>
      </c>
      <c r="R685" s="13">
        <v>2025</v>
      </c>
      <c r="S685" s="15" t="str">
        <f t="shared" si="60"/>
        <v>Low Profit</v>
      </c>
      <c r="T685" s="15" t="str">
        <f t="shared" si="61"/>
        <v>Low Sales</v>
      </c>
      <c r="U685" s="15" t="str">
        <f t="shared" si="62"/>
        <v>Good</v>
      </c>
      <c r="V685" s="15" t="str">
        <f t="shared" si="63"/>
        <v>Normal Discount</v>
      </c>
      <c r="W685" s="15">
        <f>VLOOKUP(D685,Lookup_Table!$A:$C,2,FALSE)</f>
        <v>0.16</v>
      </c>
      <c r="X685" s="15">
        <f t="shared" si="64"/>
        <v>0.358566252587992</v>
      </c>
      <c r="Y685" s="15" t="str">
        <f>VLOOKUP(D685,Lookup_Table!A:C,3,0)</f>
        <v>Vikram</v>
      </c>
      <c r="Z685" s="15" t="str">
        <f t="shared" si="65"/>
        <v>Achived</v>
      </c>
    </row>
    <row r="686" spans="1:26">
      <c r="A686" s="13" t="s">
        <v>777</v>
      </c>
      <c r="B686" s="14">
        <v>45894</v>
      </c>
      <c r="C686" s="13" t="s">
        <v>27</v>
      </c>
      <c r="D686" s="13" t="s">
        <v>80</v>
      </c>
      <c r="E686" s="13" t="s">
        <v>81</v>
      </c>
      <c r="F686" s="13" t="s">
        <v>30</v>
      </c>
      <c r="G686" s="13" t="s">
        <v>31</v>
      </c>
      <c r="H686" s="13" t="s">
        <v>32</v>
      </c>
      <c r="I686" s="13" t="s">
        <v>33</v>
      </c>
      <c r="J686" s="13">
        <v>7</v>
      </c>
      <c r="K686" s="13">
        <v>28.65</v>
      </c>
      <c r="L686" s="13">
        <v>0</v>
      </c>
      <c r="M686" s="13">
        <v>200.55</v>
      </c>
      <c r="N686" s="13">
        <v>128.55</v>
      </c>
      <c r="O686" s="13">
        <v>72</v>
      </c>
      <c r="P686" s="13">
        <v>4.5</v>
      </c>
      <c r="Q686" s="13" t="s">
        <v>47</v>
      </c>
      <c r="R686" s="13">
        <v>2025</v>
      </c>
      <c r="S686" s="15" t="str">
        <f t="shared" si="60"/>
        <v>Low Profit</v>
      </c>
      <c r="T686" s="15" t="str">
        <f t="shared" si="61"/>
        <v>Low Sales</v>
      </c>
      <c r="U686" s="15" t="str">
        <f t="shared" si="62"/>
        <v>Good</v>
      </c>
      <c r="V686" s="15" t="str">
        <f t="shared" si="63"/>
        <v>Normal Discount</v>
      </c>
      <c r="W686" s="15">
        <f>VLOOKUP(D686,Lookup_Table!$A:$C,2,FALSE)</f>
        <v>0.12</v>
      </c>
      <c r="X686" s="15">
        <f t="shared" si="64"/>
        <v>0.359012715033657</v>
      </c>
      <c r="Y686" s="15" t="str">
        <f>VLOOKUP(D686,Lookup_Table!A:C,3,0)</f>
        <v>Rahul</v>
      </c>
      <c r="Z686" s="15" t="str">
        <f t="shared" si="65"/>
        <v>Achived</v>
      </c>
    </row>
    <row r="687" spans="1:26">
      <c r="A687" s="13" t="s">
        <v>778</v>
      </c>
      <c r="B687" s="14">
        <v>45904</v>
      </c>
      <c r="C687" s="13" t="s">
        <v>55</v>
      </c>
      <c r="D687" s="13" t="s">
        <v>60</v>
      </c>
      <c r="E687" s="13" t="s">
        <v>66</v>
      </c>
      <c r="F687" s="13" t="s">
        <v>50</v>
      </c>
      <c r="G687" s="13" t="s">
        <v>51</v>
      </c>
      <c r="H687" s="13" t="s">
        <v>32</v>
      </c>
      <c r="I687" s="13" t="s">
        <v>46</v>
      </c>
      <c r="J687" s="13">
        <v>3</v>
      </c>
      <c r="K687" s="13">
        <v>427.56</v>
      </c>
      <c r="L687" s="13">
        <v>0.1</v>
      </c>
      <c r="M687" s="13">
        <v>1154.41</v>
      </c>
      <c r="N687" s="13">
        <v>739.96</v>
      </c>
      <c r="O687" s="13">
        <v>414.45</v>
      </c>
      <c r="P687" s="13">
        <v>2.6</v>
      </c>
      <c r="Q687" s="13" t="s">
        <v>53</v>
      </c>
      <c r="R687" s="13">
        <v>2025</v>
      </c>
      <c r="S687" s="15" t="str">
        <f t="shared" si="60"/>
        <v>Low Profit</v>
      </c>
      <c r="T687" s="15" t="str">
        <f t="shared" si="61"/>
        <v>High Sales</v>
      </c>
      <c r="U687" s="15" t="str">
        <f t="shared" si="62"/>
        <v>Needs Improvement</v>
      </c>
      <c r="V687" s="15" t="str">
        <f t="shared" si="63"/>
        <v>Normal Discount</v>
      </c>
      <c r="W687" s="15">
        <f>VLOOKUP(D687,Lookup_Table!$A:$C,2,FALSE)</f>
        <v>0.15</v>
      </c>
      <c r="X687" s="15">
        <f t="shared" si="64"/>
        <v>0.359014561550922</v>
      </c>
      <c r="Y687" s="15" t="str">
        <f>VLOOKUP(D687,Lookup_Table!A:C,3,0)</f>
        <v>Priya</v>
      </c>
      <c r="Z687" s="15" t="str">
        <f t="shared" si="65"/>
        <v>Achived</v>
      </c>
    </row>
    <row r="688" spans="1:26">
      <c r="A688" s="13" t="s">
        <v>779</v>
      </c>
      <c r="B688" s="14">
        <v>45815</v>
      </c>
      <c r="C688" s="13" t="s">
        <v>36</v>
      </c>
      <c r="D688" s="13" t="s">
        <v>80</v>
      </c>
      <c r="E688" s="13" t="s">
        <v>191</v>
      </c>
      <c r="F688" s="13" t="s">
        <v>98</v>
      </c>
      <c r="G688" s="13" t="s">
        <v>99</v>
      </c>
      <c r="H688" s="13" t="s">
        <v>77</v>
      </c>
      <c r="I688" s="13" t="s">
        <v>52</v>
      </c>
      <c r="J688" s="13">
        <v>7</v>
      </c>
      <c r="K688" s="13">
        <v>59.03</v>
      </c>
      <c r="L688" s="13">
        <v>0</v>
      </c>
      <c r="M688" s="13">
        <v>413.21</v>
      </c>
      <c r="N688" s="13">
        <v>264.85</v>
      </c>
      <c r="O688" s="13">
        <v>148.36</v>
      </c>
      <c r="P688" s="13">
        <v>4.8</v>
      </c>
      <c r="Q688" s="13" t="s">
        <v>58</v>
      </c>
      <c r="R688" s="13">
        <v>2025</v>
      </c>
      <c r="S688" s="15" t="str">
        <f t="shared" si="60"/>
        <v>Low Profit</v>
      </c>
      <c r="T688" s="15" t="str">
        <f t="shared" si="61"/>
        <v>Low Sales</v>
      </c>
      <c r="U688" s="15" t="str">
        <f t="shared" si="62"/>
        <v>Good</v>
      </c>
      <c r="V688" s="15" t="str">
        <f t="shared" si="63"/>
        <v>Normal Discount</v>
      </c>
      <c r="W688" s="15">
        <f>VLOOKUP(D688,Lookup_Table!$A:$C,2,FALSE)</f>
        <v>0.12</v>
      </c>
      <c r="X688" s="15">
        <f t="shared" si="64"/>
        <v>0.359042617555238</v>
      </c>
      <c r="Y688" s="15" t="str">
        <f>VLOOKUP(D688,Lookup_Table!A:C,3,0)</f>
        <v>Rahul</v>
      </c>
      <c r="Z688" s="15" t="str">
        <f t="shared" si="65"/>
        <v>Achived</v>
      </c>
    </row>
    <row r="689" spans="1:26">
      <c r="A689" s="13" t="s">
        <v>780</v>
      </c>
      <c r="B689" s="14">
        <v>45811</v>
      </c>
      <c r="C689" s="13" t="s">
        <v>27</v>
      </c>
      <c r="D689" s="13" t="s">
        <v>80</v>
      </c>
      <c r="E689" s="13" t="s">
        <v>191</v>
      </c>
      <c r="F689" s="13" t="s">
        <v>75</v>
      </c>
      <c r="G689" s="13" t="s">
        <v>76</v>
      </c>
      <c r="H689" s="13" t="s">
        <v>77</v>
      </c>
      <c r="I689" s="13" t="s">
        <v>96</v>
      </c>
      <c r="J689" s="13">
        <v>7</v>
      </c>
      <c r="K689" s="13">
        <v>32.26</v>
      </c>
      <c r="L689" s="13">
        <v>0.2</v>
      </c>
      <c r="M689" s="13">
        <v>180.66</v>
      </c>
      <c r="N689" s="13">
        <v>115.77</v>
      </c>
      <c r="O689" s="13">
        <v>64.89</v>
      </c>
      <c r="P689" s="13">
        <v>2.8</v>
      </c>
      <c r="Q689" s="13" t="s">
        <v>58</v>
      </c>
      <c r="R689" s="13">
        <v>2025</v>
      </c>
      <c r="S689" s="15" t="str">
        <f t="shared" si="60"/>
        <v>Low Profit</v>
      </c>
      <c r="T689" s="15" t="str">
        <f t="shared" si="61"/>
        <v>Low Sales</v>
      </c>
      <c r="U689" s="15" t="str">
        <f t="shared" si="62"/>
        <v>Needs Improvement</v>
      </c>
      <c r="V689" s="15" t="str">
        <f t="shared" si="63"/>
        <v>High Discount</v>
      </c>
      <c r="W689" s="15">
        <f>VLOOKUP(D689,Lookup_Table!$A:$C,2,FALSE)</f>
        <v>0.12</v>
      </c>
      <c r="X689" s="15">
        <f t="shared" si="64"/>
        <v>0.359182995682498</v>
      </c>
      <c r="Y689" s="15" t="str">
        <f>VLOOKUP(D689,Lookup_Table!A:C,3,0)</f>
        <v>Rahul</v>
      </c>
      <c r="Z689" s="15" t="str">
        <f t="shared" si="65"/>
        <v>Achived</v>
      </c>
    </row>
    <row r="690" spans="1:26">
      <c r="A690" s="13" t="s">
        <v>781</v>
      </c>
      <c r="B690" s="14">
        <v>45670</v>
      </c>
      <c r="C690" s="13" t="s">
        <v>27</v>
      </c>
      <c r="D690" s="13" t="s">
        <v>60</v>
      </c>
      <c r="E690" s="13" t="s">
        <v>127</v>
      </c>
      <c r="F690" s="13" t="s">
        <v>111</v>
      </c>
      <c r="G690" s="13" t="s">
        <v>76</v>
      </c>
      <c r="H690" s="13" t="s">
        <v>77</v>
      </c>
      <c r="I690" s="13" t="s">
        <v>96</v>
      </c>
      <c r="J690" s="13">
        <v>2</v>
      </c>
      <c r="K690" s="13">
        <v>441.76</v>
      </c>
      <c r="L690" s="13">
        <v>0.05</v>
      </c>
      <c r="M690" s="13">
        <v>839.34</v>
      </c>
      <c r="N690" s="13">
        <v>537.75</v>
      </c>
      <c r="O690" s="13">
        <v>301.59</v>
      </c>
      <c r="P690" s="13">
        <v>4.7</v>
      </c>
      <c r="Q690" s="13" t="s">
        <v>64</v>
      </c>
      <c r="R690" s="13">
        <v>2025</v>
      </c>
      <c r="S690" s="15" t="str">
        <f t="shared" si="60"/>
        <v>Low Profit</v>
      </c>
      <c r="T690" s="15" t="str">
        <f t="shared" si="61"/>
        <v>Low Sales</v>
      </c>
      <c r="U690" s="15" t="str">
        <f t="shared" si="62"/>
        <v>Good</v>
      </c>
      <c r="V690" s="15" t="str">
        <f t="shared" si="63"/>
        <v>Normal Discount</v>
      </c>
      <c r="W690" s="15">
        <f>VLOOKUP(D690,Lookup_Table!$A:$C,2,FALSE)</f>
        <v>0.15</v>
      </c>
      <c r="X690" s="15">
        <f t="shared" si="64"/>
        <v>0.3593180355994</v>
      </c>
      <c r="Y690" s="15" t="str">
        <f>VLOOKUP(D690,Lookup_Table!A:C,3,0)</f>
        <v>Priya</v>
      </c>
      <c r="Z690" s="15" t="str">
        <f t="shared" si="65"/>
        <v>Achived</v>
      </c>
    </row>
    <row r="691" spans="1:26">
      <c r="A691" s="13" t="s">
        <v>782</v>
      </c>
      <c r="B691" s="14">
        <v>45803</v>
      </c>
      <c r="C691" s="13" t="s">
        <v>55</v>
      </c>
      <c r="D691" s="13" t="s">
        <v>37</v>
      </c>
      <c r="E691" s="13" t="s">
        <v>38</v>
      </c>
      <c r="F691" s="13" t="s">
        <v>116</v>
      </c>
      <c r="G691" s="13" t="s">
        <v>117</v>
      </c>
      <c r="H691" s="13" t="s">
        <v>32</v>
      </c>
      <c r="I691" s="13" t="s">
        <v>33</v>
      </c>
      <c r="J691" s="13">
        <v>2</v>
      </c>
      <c r="K691" s="13">
        <v>177.41</v>
      </c>
      <c r="L691" s="13">
        <v>0.05</v>
      </c>
      <c r="M691" s="13">
        <v>337.08</v>
      </c>
      <c r="N691" s="13">
        <v>215.88</v>
      </c>
      <c r="O691" s="13">
        <v>121.2</v>
      </c>
      <c r="P691" s="13">
        <v>3.8</v>
      </c>
      <c r="Q691" s="13" t="s">
        <v>42</v>
      </c>
      <c r="R691" s="13">
        <v>2025</v>
      </c>
      <c r="S691" s="15" t="str">
        <f t="shared" si="60"/>
        <v>Low Profit</v>
      </c>
      <c r="T691" s="15" t="str">
        <f t="shared" si="61"/>
        <v>Low Sales</v>
      </c>
      <c r="U691" s="15" t="str">
        <f t="shared" si="62"/>
        <v>Needs Improvement</v>
      </c>
      <c r="V691" s="15" t="str">
        <f t="shared" si="63"/>
        <v>Normal Discount</v>
      </c>
      <c r="W691" s="15">
        <f>VLOOKUP(D691,Lookup_Table!$A:$C,2,FALSE)</f>
        <v>0.16</v>
      </c>
      <c r="X691" s="15">
        <f t="shared" si="64"/>
        <v>0.359558561765753</v>
      </c>
      <c r="Y691" s="15" t="str">
        <f>VLOOKUP(D691,Lookup_Table!A:C,3,0)</f>
        <v>Vikram</v>
      </c>
      <c r="Z691" s="15" t="str">
        <f t="shared" si="65"/>
        <v>Achived</v>
      </c>
    </row>
    <row r="692" spans="1:26">
      <c r="A692" s="13" t="s">
        <v>783</v>
      </c>
      <c r="B692" s="14">
        <v>45920</v>
      </c>
      <c r="C692" s="13" t="s">
        <v>55</v>
      </c>
      <c r="D692" s="13" t="s">
        <v>37</v>
      </c>
      <c r="E692" s="13" t="s">
        <v>93</v>
      </c>
      <c r="F692" s="13" t="s">
        <v>62</v>
      </c>
      <c r="G692" s="13" t="s">
        <v>63</v>
      </c>
      <c r="H692" s="13" t="s">
        <v>32</v>
      </c>
      <c r="I692" s="13" t="s">
        <v>33</v>
      </c>
      <c r="J692" s="13">
        <v>6</v>
      </c>
      <c r="K692" s="13">
        <v>88.51</v>
      </c>
      <c r="L692" s="13">
        <v>0.15</v>
      </c>
      <c r="M692" s="13">
        <v>451.4</v>
      </c>
      <c r="N692" s="13">
        <v>289.06</v>
      </c>
      <c r="O692" s="13">
        <v>162.34</v>
      </c>
      <c r="P692" s="13">
        <v>2.6</v>
      </c>
      <c r="Q692" s="13" t="s">
        <v>53</v>
      </c>
      <c r="R692" s="13">
        <v>2025</v>
      </c>
      <c r="S692" s="15" t="str">
        <f t="shared" si="60"/>
        <v>Low Profit</v>
      </c>
      <c r="T692" s="15" t="str">
        <f t="shared" si="61"/>
        <v>Low Sales</v>
      </c>
      <c r="U692" s="15" t="str">
        <f t="shared" si="62"/>
        <v>Needs Improvement</v>
      </c>
      <c r="V692" s="15" t="str">
        <f t="shared" si="63"/>
        <v>High Discount</v>
      </c>
      <c r="W692" s="15">
        <f>VLOOKUP(D692,Lookup_Table!$A:$C,2,FALSE)</f>
        <v>0.16</v>
      </c>
      <c r="X692" s="15">
        <f t="shared" si="64"/>
        <v>0.359636685866194</v>
      </c>
      <c r="Y692" s="15" t="str">
        <f>VLOOKUP(D692,Lookup_Table!A:C,3,0)</f>
        <v>Vikram</v>
      </c>
      <c r="Z692" s="15" t="str">
        <f t="shared" si="65"/>
        <v>Achived</v>
      </c>
    </row>
    <row r="693" spans="1:26">
      <c r="A693" s="13" t="s">
        <v>784</v>
      </c>
      <c r="B693" s="14">
        <v>45800</v>
      </c>
      <c r="C693" s="13" t="s">
        <v>55</v>
      </c>
      <c r="D693" s="13" t="s">
        <v>37</v>
      </c>
      <c r="E693" s="13" t="s">
        <v>38</v>
      </c>
      <c r="F693" s="13" t="s">
        <v>67</v>
      </c>
      <c r="G693" s="13" t="s">
        <v>68</v>
      </c>
      <c r="H693" s="13" t="s">
        <v>69</v>
      </c>
      <c r="I693" s="13" t="s">
        <v>33</v>
      </c>
      <c r="J693" s="13">
        <v>1</v>
      </c>
      <c r="K693" s="13">
        <v>195.12</v>
      </c>
      <c r="L693" s="13">
        <v>0.1</v>
      </c>
      <c r="M693" s="13">
        <v>175.61</v>
      </c>
      <c r="N693" s="13">
        <v>112.29</v>
      </c>
      <c r="O693" s="13">
        <v>63.32</v>
      </c>
      <c r="P693" s="13">
        <v>4</v>
      </c>
      <c r="Q693" s="13" t="s">
        <v>42</v>
      </c>
      <c r="R693" s="13">
        <v>2025</v>
      </c>
      <c r="S693" s="15" t="str">
        <f t="shared" si="60"/>
        <v>Low Profit</v>
      </c>
      <c r="T693" s="15" t="str">
        <f t="shared" si="61"/>
        <v>Low Sales</v>
      </c>
      <c r="U693" s="15" t="str">
        <f t="shared" si="62"/>
        <v>Good</v>
      </c>
      <c r="V693" s="15" t="str">
        <f t="shared" si="63"/>
        <v>Normal Discount</v>
      </c>
      <c r="W693" s="15">
        <f>VLOOKUP(D693,Lookup_Table!$A:$C,2,FALSE)</f>
        <v>0.16</v>
      </c>
      <c r="X693" s="15">
        <f t="shared" si="64"/>
        <v>0.360571721428165</v>
      </c>
      <c r="Y693" s="15" t="str">
        <f>VLOOKUP(D693,Lookup_Table!A:C,3,0)</f>
        <v>Vikram</v>
      </c>
      <c r="Z693" s="15" t="str">
        <f t="shared" si="65"/>
        <v>Achived</v>
      </c>
    </row>
    <row r="694" spans="1:26">
      <c r="A694" s="13" t="s">
        <v>785</v>
      </c>
      <c r="B694" s="14">
        <v>45871</v>
      </c>
      <c r="C694" s="13" t="s">
        <v>55</v>
      </c>
      <c r="D694" s="13" t="s">
        <v>37</v>
      </c>
      <c r="E694" s="13" t="s">
        <v>38</v>
      </c>
      <c r="F694" s="13" t="s">
        <v>116</v>
      </c>
      <c r="G694" s="13" t="s">
        <v>117</v>
      </c>
      <c r="H694" s="13" t="s">
        <v>32</v>
      </c>
      <c r="I694" s="13" t="s">
        <v>33</v>
      </c>
      <c r="J694" s="13">
        <v>3</v>
      </c>
      <c r="K694" s="13">
        <v>115.19</v>
      </c>
      <c r="L694" s="13">
        <v>0.05</v>
      </c>
      <c r="M694" s="13">
        <v>328.29</v>
      </c>
      <c r="N694" s="13">
        <v>209.87</v>
      </c>
      <c r="O694" s="13">
        <v>118.42</v>
      </c>
      <c r="P694" s="13">
        <v>3.3</v>
      </c>
      <c r="Q694" s="13" t="s">
        <v>47</v>
      </c>
      <c r="R694" s="13">
        <v>2025</v>
      </c>
      <c r="S694" s="15" t="str">
        <f t="shared" si="60"/>
        <v>Low Profit</v>
      </c>
      <c r="T694" s="15" t="str">
        <f t="shared" si="61"/>
        <v>Low Sales</v>
      </c>
      <c r="U694" s="15" t="str">
        <f t="shared" si="62"/>
        <v>Needs Improvement</v>
      </c>
      <c r="V694" s="15" t="str">
        <f t="shared" si="63"/>
        <v>Normal Discount</v>
      </c>
      <c r="W694" s="15">
        <f>VLOOKUP(D694,Lookup_Table!$A:$C,2,FALSE)</f>
        <v>0.16</v>
      </c>
      <c r="X694" s="15">
        <f t="shared" si="64"/>
        <v>0.360717658168083</v>
      </c>
      <c r="Y694" s="15" t="str">
        <f>VLOOKUP(D694,Lookup_Table!A:C,3,0)</f>
        <v>Vikram</v>
      </c>
      <c r="Z694" s="15" t="str">
        <f t="shared" si="65"/>
        <v>Achived</v>
      </c>
    </row>
    <row r="695" spans="1:26">
      <c r="A695" s="13" t="s">
        <v>786</v>
      </c>
      <c r="B695" s="14">
        <v>45723</v>
      </c>
      <c r="C695" s="13" t="s">
        <v>55</v>
      </c>
      <c r="D695" s="13" t="s">
        <v>60</v>
      </c>
      <c r="E695" s="13" t="s">
        <v>61</v>
      </c>
      <c r="F695" s="13" t="s">
        <v>39</v>
      </c>
      <c r="G695" s="13" t="s">
        <v>40</v>
      </c>
      <c r="H695" s="13" t="s">
        <v>41</v>
      </c>
      <c r="I695" s="13" t="s">
        <v>33</v>
      </c>
      <c r="J695" s="13">
        <v>5</v>
      </c>
      <c r="K695" s="13">
        <v>83.46</v>
      </c>
      <c r="L695" s="13">
        <v>0.15</v>
      </c>
      <c r="M695" s="13">
        <v>354.7</v>
      </c>
      <c r="N695" s="13">
        <v>226.56</v>
      </c>
      <c r="O695" s="13">
        <v>128.14</v>
      </c>
      <c r="P695" s="13">
        <v>4.2</v>
      </c>
      <c r="Q695" s="13" t="s">
        <v>94</v>
      </c>
      <c r="R695" s="13">
        <v>2025</v>
      </c>
      <c r="S695" s="15" t="str">
        <f t="shared" si="60"/>
        <v>Low Profit</v>
      </c>
      <c r="T695" s="15" t="str">
        <f t="shared" si="61"/>
        <v>Low Sales</v>
      </c>
      <c r="U695" s="15" t="str">
        <f t="shared" si="62"/>
        <v>Good</v>
      </c>
      <c r="V695" s="15" t="str">
        <f t="shared" si="63"/>
        <v>High Discount</v>
      </c>
      <c r="W695" s="15">
        <f>VLOOKUP(D695,Lookup_Table!$A:$C,2,FALSE)</f>
        <v>0.15</v>
      </c>
      <c r="X695" s="15">
        <f t="shared" si="64"/>
        <v>0.361263039188046</v>
      </c>
      <c r="Y695" s="15" t="str">
        <f>VLOOKUP(D695,Lookup_Table!A:C,3,0)</f>
        <v>Priya</v>
      </c>
      <c r="Z695" s="15" t="str">
        <f t="shared" si="65"/>
        <v>Achived</v>
      </c>
    </row>
    <row r="696" spans="1:26">
      <c r="A696" s="13" t="s">
        <v>787</v>
      </c>
      <c r="B696" s="14">
        <v>46002</v>
      </c>
      <c r="C696" s="13" t="s">
        <v>55</v>
      </c>
      <c r="D696" s="13" t="s">
        <v>28</v>
      </c>
      <c r="E696" s="13" t="s">
        <v>90</v>
      </c>
      <c r="F696" s="13" t="s">
        <v>50</v>
      </c>
      <c r="G696" s="13" t="s">
        <v>51</v>
      </c>
      <c r="H696" s="13" t="s">
        <v>32</v>
      </c>
      <c r="I696" s="13" t="s">
        <v>52</v>
      </c>
      <c r="J696" s="13">
        <v>2</v>
      </c>
      <c r="K696" s="13">
        <v>173.06</v>
      </c>
      <c r="L696" s="13">
        <v>0.1</v>
      </c>
      <c r="M696" s="13">
        <v>311.51</v>
      </c>
      <c r="N696" s="13">
        <v>198.61</v>
      </c>
      <c r="O696" s="13">
        <v>112.9</v>
      </c>
      <c r="P696" s="13">
        <v>2.5</v>
      </c>
      <c r="Q696" s="13" t="s">
        <v>34</v>
      </c>
      <c r="R696" s="13">
        <v>2025</v>
      </c>
      <c r="S696" s="15" t="str">
        <f t="shared" si="60"/>
        <v>Low Profit</v>
      </c>
      <c r="T696" s="15" t="str">
        <f t="shared" si="61"/>
        <v>Low Sales</v>
      </c>
      <c r="U696" s="15" t="str">
        <f t="shared" si="62"/>
        <v>Needs Improvement</v>
      </c>
      <c r="V696" s="15" t="str">
        <f t="shared" si="63"/>
        <v>Normal Discount</v>
      </c>
      <c r="W696" s="15">
        <f>VLOOKUP(D696,Lookup_Table!$A:$C,2,FALSE)</f>
        <v>0.2</v>
      </c>
      <c r="X696" s="15">
        <f t="shared" si="64"/>
        <v>0.362428172450323</v>
      </c>
      <c r="Y696" s="15" t="str">
        <f>VLOOKUP(D696,Lookup_Table!A:C,3,0)</f>
        <v>Sneha</v>
      </c>
      <c r="Z696" s="15" t="str">
        <f t="shared" si="65"/>
        <v>Achived</v>
      </c>
    </row>
    <row r="697" spans="1:26">
      <c r="A697" s="13" t="s">
        <v>788</v>
      </c>
      <c r="B697" s="14">
        <v>45720</v>
      </c>
      <c r="C697" s="13" t="s">
        <v>27</v>
      </c>
      <c r="D697" s="13" t="s">
        <v>80</v>
      </c>
      <c r="E697" s="13" t="s">
        <v>191</v>
      </c>
      <c r="F697" s="13" t="s">
        <v>98</v>
      </c>
      <c r="G697" s="13" t="s">
        <v>99</v>
      </c>
      <c r="H697" s="13" t="s">
        <v>77</v>
      </c>
      <c r="I697" s="13" t="s">
        <v>46</v>
      </c>
      <c r="J697" s="13">
        <v>5</v>
      </c>
      <c r="K697" s="13">
        <v>17.57</v>
      </c>
      <c r="L697" s="13">
        <v>0.05</v>
      </c>
      <c r="M697" s="13">
        <v>83.46</v>
      </c>
      <c r="N697" s="13">
        <v>53.07</v>
      </c>
      <c r="O697" s="13">
        <v>30.39</v>
      </c>
      <c r="P697" s="13">
        <v>4</v>
      </c>
      <c r="Q697" s="13" t="s">
        <v>94</v>
      </c>
      <c r="R697" s="13">
        <v>2025</v>
      </c>
      <c r="S697" s="15" t="str">
        <f t="shared" si="60"/>
        <v>Low Profit</v>
      </c>
      <c r="T697" s="15" t="str">
        <f t="shared" si="61"/>
        <v>Low Sales</v>
      </c>
      <c r="U697" s="15" t="str">
        <f t="shared" si="62"/>
        <v>Good</v>
      </c>
      <c r="V697" s="15" t="str">
        <f t="shared" si="63"/>
        <v>Normal Discount</v>
      </c>
      <c r="W697" s="15">
        <f>VLOOKUP(D697,Lookup_Table!$A:$C,2,FALSE)</f>
        <v>0.12</v>
      </c>
      <c r="X697" s="15">
        <f t="shared" si="64"/>
        <v>0.36412652767793</v>
      </c>
      <c r="Y697" s="15" t="str">
        <f>VLOOKUP(D697,Lookup_Table!A:C,3,0)</f>
        <v>Rahul</v>
      </c>
      <c r="Z697" s="15" t="str">
        <f t="shared" si="65"/>
        <v>Achived</v>
      </c>
    </row>
    <row r="698" spans="1:26">
      <c r="A698" s="13" t="s">
        <v>789</v>
      </c>
      <c r="B698" s="14">
        <v>45881</v>
      </c>
      <c r="C698" s="13" t="s">
        <v>36</v>
      </c>
      <c r="D698" s="13" t="s">
        <v>60</v>
      </c>
      <c r="E698" s="13" t="s">
        <v>150</v>
      </c>
      <c r="F698" s="13" t="s">
        <v>98</v>
      </c>
      <c r="G698" s="13" t="s">
        <v>99</v>
      </c>
      <c r="H698" s="13" t="s">
        <v>77</v>
      </c>
      <c r="I698" s="13" t="s">
        <v>33</v>
      </c>
      <c r="J698" s="13">
        <v>6</v>
      </c>
      <c r="K698" s="13">
        <v>742.23</v>
      </c>
      <c r="L698" s="13">
        <v>0.1</v>
      </c>
      <c r="M698" s="13">
        <v>4008.04</v>
      </c>
      <c r="N698" s="13">
        <v>2548.58</v>
      </c>
      <c r="O698" s="13">
        <v>1459.46</v>
      </c>
      <c r="P698" s="13">
        <v>3</v>
      </c>
      <c r="Q698" s="13" t="s">
        <v>47</v>
      </c>
      <c r="R698" s="13">
        <v>2025</v>
      </c>
      <c r="S698" s="15" t="str">
        <f t="shared" si="60"/>
        <v>High Profit</v>
      </c>
      <c r="T698" s="15" t="str">
        <f t="shared" si="61"/>
        <v>High Sales</v>
      </c>
      <c r="U698" s="15" t="str">
        <f t="shared" si="62"/>
        <v>Needs Improvement</v>
      </c>
      <c r="V698" s="15" t="str">
        <f t="shared" si="63"/>
        <v>Normal Discount</v>
      </c>
      <c r="W698" s="15">
        <f>VLOOKUP(D698,Lookup_Table!$A:$C,2,FALSE)</f>
        <v>0.15</v>
      </c>
      <c r="X698" s="15">
        <f t="shared" si="64"/>
        <v>0.364133092484107</v>
      </c>
      <c r="Y698" s="15" t="str">
        <f>VLOOKUP(D698,Lookup_Table!A:C,3,0)</f>
        <v>Priya</v>
      </c>
      <c r="Z698" s="15" t="str">
        <f t="shared" si="65"/>
        <v>Achived</v>
      </c>
    </row>
    <row r="699" spans="1:26">
      <c r="A699" s="13" t="s">
        <v>790</v>
      </c>
      <c r="B699" s="14">
        <v>45828</v>
      </c>
      <c r="C699" s="13" t="s">
        <v>27</v>
      </c>
      <c r="D699" s="13" t="s">
        <v>60</v>
      </c>
      <c r="E699" s="13" t="s">
        <v>66</v>
      </c>
      <c r="F699" s="13" t="s">
        <v>116</v>
      </c>
      <c r="G699" s="13" t="s">
        <v>117</v>
      </c>
      <c r="H699" s="13" t="s">
        <v>32</v>
      </c>
      <c r="I699" s="13" t="s">
        <v>96</v>
      </c>
      <c r="J699" s="13">
        <v>5</v>
      </c>
      <c r="K699" s="13">
        <v>686.62</v>
      </c>
      <c r="L699" s="13">
        <v>0.15</v>
      </c>
      <c r="M699" s="13">
        <v>2918.14</v>
      </c>
      <c r="N699" s="13">
        <v>1854.69</v>
      </c>
      <c r="O699" s="13">
        <v>1063.45</v>
      </c>
      <c r="P699" s="13">
        <v>4.9</v>
      </c>
      <c r="Q699" s="13" t="s">
        <v>58</v>
      </c>
      <c r="R699" s="13">
        <v>2025</v>
      </c>
      <c r="S699" s="15" t="str">
        <f t="shared" si="60"/>
        <v>High Profit</v>
      </c>
      <c r="T699" s="15" t="str">
        <f t="shared" si="61"/>
        <v>High Sales</v>
      </c>
      <c r="U699" s="15" t="str">
        <f t="shared" si="62"/>
        <v>Good</v>
      </c>
      <c r="V699" s="15" t="str">
        <f t="shared" si="63"/>
        <v>High Discount</v>
      </c>
      <c r="W699" s="15">
        <f>VLOOKUP(D699,Lookup_Table!$A:$C,2,FALSE)</f>
        <v>0.15</v>
      </c>
      <c r="X699" s="15">
        <f t="shared" si="64"/>
        <v>0.364427340703325</v>
      </c>
      <c r="Y699" s="15" t="str">
        <f>VLOOKUP(D699,Lookup_Table!A:C,3,0)</f>
        <v>Priya</v>
      </c>
      <c r="Z699" s="15" t="str">
        <f t="shared" si="65"/>
        <v>Achived</v>
      </c>
    </row>
    <row r="700" spans="1:26">
      <c r="A700" s="13" t="s">
        <v>791</v>
      </c>
      <c r="B700" s="14">
        <v>45971</v>
      </c>
      <c r="C700" s="13" t="s">
        <v>27</v>
      </c>
      <c r="D700" s="13" t="s">
        <v>44</v>
      </c>
      <c r="E700" s="13" t="s">
        <v>45</v>
      </c>
      <c r="F700" s="13" t="s">
        <v>75</v>
      </c>
      <c r="G700" s="13" t="s">
        <v>76</v>
      </c>
      <c r="H700" s="13" t="s">
        <v>77</v>
      </c>
      <c r="I700" s="13" t="s">
        <v>52</v>
      </c>
      <c r="J700" s="13">
        <v>5</v>
      </c>
      <c r="K700" s="13">
        <v>503.55</v>
      </c>
      <c r="L700" s="13">
        <v>0.15</v>
      </c>
      <c r="M700" s="13">
        <v>2140.09</v>
      </c>
      <c r="N700" s="13">
        <v>1359.71</v>
      </c>
      <c r="O700" s="13">
        <v>780.38</v>
      </c>
      <c r="P700" s="13">
        <v>3.3</v>
      </c>
      <c r="Q700" s="13" t="s">
        <v>71</v>
      </c>
      <c r="R700" s="13">
        <v>2025</v>
      </c>
      <c r="S700" s="15" t="str">
        <f t="shared" si="60"/>
        <v>High Profit</v>
      </c>
      <c r="T700" s="15" t="str">
        <f t="shared" si="61"/>
        <v>High Sales</v>
      </c>
      <c r="U700" s="15" t="str">
        <f t="shared" si="62"/>
        <v>Needs Improvement</v>
      </c>
      <c r="V700" s="15" t="str">
        <f t="shared" si="63"/>
        <v>High Discount</v>
      </c>
      <c r="W700" s="15">
        <f>VLOOKUP(D700,Lookup_Table!$A:$C,2,FALSE)</f>
        <v>0.18</v>
      </c>
      <c r="X700" s="15">
        <f t="shared" si="64"/>
        <v>0.364648215729245</v>
      </c>
      <c r="Y700" s="15" t="str">
        <f>VLOOKUP(D700,Lookup_Table!A:C,3,0)</f>
        <v>Amit</v>
      </c>
      <c r="Z700" s="15" t="str">
        <f t="shared" si="65"/>
        <v>Achived</v>
      </c>
    </row>
    <row r="701" spans="1:26">
      <c r="A701" s="13" t="s">
        <v>792</v>
      </c>
      <c r="B701" s="14">
        <v>45871</v>
      </c>
      <c r="C701" s="13" t="s">
        <v>55</v>
      </c>
      <c r="D701" s="13" t="s">
        <v>37</v>
      </c>
      <c r="E701" s="13" t="s">
        <v>38</v>
      </c>
      <c r="F701" s="13" t="s">
        <v>82</v>
      </c>
      <c r="G701" s="13" t="s">
        <v>83</v>
      </c>
      <c r="H701" s="13" t="s">
        <v>77</v>
      </c>
      <c r="I701" s="13" t="s">
        <v>52</v>
      </c>
      <c r="J701" s="13">
        <v>4</v>
      </c>
      <c r="K701" s="13">
        <v>455.84</v>
      </c>
      <c r="L701" s="13">
        <v>0.05</v>
      </c>
      <c r="M701" s="13">
        <v>1732.19</v>
      </c>
      <c r="N701" s="13">
        <v>1100.44</v>
      </c>
      <c r="O701" s="13">
        <v>631.75</v>
      </c>
      <c r="P701" s="13">
        <v>4.1</v>
      </c>
      <c r="Q701" s="13" t="s">
        <v>47</v>
      </c>
      <c r="R701" s="13">
        <v>2025</v>
      </c>
      <c r="S701" s="15" t="str">
        <f t="shared" si="60"/>
        <v>High Profit</v>
      </c>
      <c r="T701" s="15" t="str">
        <f t="shared" si="61"/>
        <v>High Sales</v>
      </c>
      <c r="U701" s="15" t="str">
        <f t="shared" si="62"/>
        <v>Good</v>
      </c>
      <c r="V701" s="15" t="str">
        <f t="shared" si="63"/>
        <v>Normal Discount</v>
      </c>
      <c r="W701" s="15">
        <f>VLOOKUP(D701,Lookup_Table!$A:$C,2,FALSE)</f>
        <v>0.16</v>
      </c>
      <c r="X701" s="15">
        <f t="shared" si="64"/>
        <v>0.364711723309799</v>
      </c>
      <c r="Y701" s="15" t="str">
        <f>VLOOKUP(D701,Lookup_Table!A:C,3,0)</f>
        <v>Vikram</v>
      </c>
      <c r="Z701" s="15" t="str">
        <f t="shared" si="65"/>
        <v>Achived</v>
      </c>
    </row>
    <row r="702" spans="1:26">
      <c r="A702" s="13" t="s">
        <v>793</v>
      </c>
      <c r="B702" s="14">
        <v>45661</v>
      </c>
      <c r="C702" s="13" t="s">
        <v>27</v>
      </c>
      <c r="D702" s="13" t="s">
        <v>37</v>
      </c>
      <c r="E702" s="13" t="s">
        <v>93</v>
      </c>
      <c r="F702" s="13" t="s">
        <v>111</v>
      </c>
      <c r="G702" s="13" t="s">
        <v>76</v>
      </c>
      <c r="H702" s="13" t="s">
        <v>77</v>
      </c>
      <c r="I702" s="13" t="s">
        <v>33</v>
      </c>
      <c r="J702" s="13">
        <v>7</v>
      </c>
      <c r="K702" s="13">
        <v>459.63</v>
      </c>
      <c r="L702" s="13">
        <v>0.05</v>
      </c>
      <c r="M702" s="13">
        <v>3056.54</v>
      </c>
      <c r="N702" s="13">
        <v>1941.06</v>
      </c>
      <c r="O702" s="13">
        <v>1115.48</v>
      </c>
      <c r="P702" s="13">
        <v>2.5</v>
      </c>
      <c r="Q702" s="13" t="s">
        <v>64</v>
      </c>
      <c r="R702" s="13">
        <v>2025</v>
      </c>
      <c r="S702" s="15" t="str">
        <f t="shared" si="60"/>
        <v>High Profit</v>
      </c>
      <c r="T702" s="15" t="str">
        <f t="shared" si="61"/>
        <v>High Sales</v>
      </c>
      <c r="U702" s="15" t="str">
        <f t="shared" si="62"/>
        <v>Needs Improvement</v>
      </c>
      <c r="V702" s="15" t="str">
        <f t="shared" si="63"/>
        <v>Normal Discount</v>
      </c>
      <c r="W702" s="15">
        <f>VLOOKUP(D702,Lookup_Table!$A:$C,2,FALSE)</f>
        <v>0.16</v>
      </c>
      <c r="X702" s="15">
        <f t="shared" si="64"/>
        <v>0.364948602014042</v>
      </c>
      <c r="Y702" s="15" t="str">
        <f>VLOOKUP(D702,Lookup_Table!A:C,3,0)</f>
        <v>Vikram</v>
      </c>
      <c r="Z702" s="15" t="str">
        <f t="shared" si="65"/>
        <v>Achived</v>
      </c>
    </row>
    <row r="703" spans="1:26">
      <c r="A703" s="13" t="s">
        <v>794</v>
      </c>
      <c r="B703" s="14">
        <v>45857</v>
      </c>
      <c r="C703" s="13" t="s">
        <v>55</v>
      </c>
      <c r="D703" s="13" t="s">
        <v>37</v>
      </c>
      <c r="E703" s="13" t="s">
        <v>109</v>
      </c>
      <c r="F703" s="13" t="s">
        <v>30</v>
      </c>
      <c r="G703" s="13" t="s">
        <v>31</v>
      </c>
      <c r="H703" s="13" t="s">
        <v>32</v>
      </c>
      <c r="I703" s="13" t="s">
        <v>33</v>
      </c>
      <c r="J703" s="13">
        <v>6</v>
      </c>
      <c r="K703" s="13">
        <v>433.08</v>
      </c>
      <c r="L703" s="13">
        <v>0.05</v>
      </c>
      <c r="M703" s="13">
        <v>2468.56</v>
      </c>
      <c r="N703" s="13">
        <v>1567.04</v>
      </c>
      <c r="O703" s="13">
        <v>901.52</v>
      </c>
      <c r="P703" s="13">
        <v>4.4</v>
      </c>
      <c r="Q703" s="13" t="s">
        <v>56</v>
      </c>
      <c r="R703" s="13">
        <v>2025</v>
      </c>
      <c r="S703" s="15" t="str">
        <f t="shared" si="60"/>
        <v>High Profit</v>
      </c>
      <c r="T703" s="15" t="str">
        <f t="shared" si="61"/>
        <v>High Sales</v>
      </c>
      <c r="U703" s="15" t="str">
        <f t="shared" si="62"/>
        <v>Good</v>
      </c>
      <c r="V703" s="15" t="str">
        <f t="shared" si="63"/>
        <v>Normal Discount</v>
      </c>
      <c r="W703" s="15">
        <f>VLOOKUP(D703,Lookup_Table!$A:$C,2,FALSE)</f>
        <v>0.16</v>
      </c>
      <c r="X703" s="15">
        <f t="shared" si="64"/>
        <v>0.365200764818356</v>
      </c>
      <c r="Y703" s="15" t="str">
        <f>VLOOKUP(D703,Lookup_Table!A:C,3,0)</f>
        <v>Vikram</v>
      </c>
      <c r="Z703" s="15" t="str">
        <f t="shared" si="65"/>
        <v>Achived</v>
      </c>
    </row>
    <row r="704" spans="1:26">
      <c r="A704" s="13" t="s">
        <v>795</v>
      </c>
      <c r="B704" s="14">
        <v>45664</v>
      </c>
      <c r="C704" s="13" t="s">
        <v>27</v>
      </c>
      <c r="D704" s="13" t="s">
        <v>44</v>
      </c>
      <c r="E704" s="13" t="s">
        <v>104</v>
      </c>
      <c r="F704" s="13" t="s">
        <v>116</v>
      </c>
      <c r="G704" s="13" t="s">
        <v>117</v>
      </c>
      <c r="H704" s="13" t="s">
        <v>32</v>
      </c>
      <c r="I704" s="13" t="s">
        <v>96</v>
      </c>
      <c r="J704" s="13">
        <v>5</v>
      </c>
      <c r="K704" s="13">
        <v>615.63</v>
      </c>
      <c r="L704" s="13">
        <v>0.2</v>
      </c>
      <c r="M704" s="13">
        <v>2462.52</v>
      </c>
      <c r="N704" s="13">
        <v>1563.11</v>
      </c>
      <c r="O704" s="13">
        <v>899.41</v>
      </c>
      <c r="P704" s="13">
        <v>4.5</v>
      </c>
      <c r="Q704" s="13" t="s">
        <v>64</v>
      </c>
      <c r="R704" s="13">
        <v>2025</v>
      </c>
      <c r="S704" s="15" t="str">
        <f t="shared" si="60"/>
        <v>High Profit</v>
      </c>
      <c r="T704" s="15" t="str">
        <f t="shared" si="61"/>
        <v>High Sales</v>
      </c>
      <c r="U704" s="15" t="str">
        <f t="shared" si="62"/>
        <v>Good</v>
      </c>
      <c r="V704" s="15" t="str">
        <f t="shared" si="63"/>
        <v>High Discount</v>
      </c>
      <c r="W704" s="15">
        <f>VLOOKUP(D704,Lookup_Table!$A:$C,2,FALSE)</f>
        <v>0.18</v>
      </c>
      <c r="X704" s="15">
        <f t="shared" si="64"/>
        <v>0.365239673180319</v>
      </c>
      <c r="Y704" s="15" t="str">
        <f>VLOOKUP(D704,Lookup_Table!A:C,3,0)</f>
        <v>Amit</v>
      </c>
      <c r="Z704" s="15" t="str">
        <f t="shared" si="65"/>
        <v>Achived</v>
      </c>
    </row>
    <row r="705" spans="1:26">
      <c r="A705" s="13" t="s">
        <v>796</v>
      </c>
      <c r="B705" s="14">
        <v>45993</v>
      </c>
      <c r="C705" s="13" t="s">
        <v>55</v>
      </c>
      <c r="D705" s="13" t="s">
        <v>80</v>
      </c>
      <c r="E705" s="13" t="s">
        <v>191</v>
      </c>
      <c r="F705" s="13" t="s">
        <v>98</v>
      </c>
      <c r="G705" s="13" t="s">
        <v>99</v>
      </c>
      <c r="H705" s="13" t="s">
        <v>77</v>
      </c>
      <c r="I705" s="13" t="s">
        <v>46</v>
      </c>
      <c r="J705" s="13">
        <v>5</v>
      </c>
      <c r="K705" s="13">
        <v>59.57</v>
      </c>
      <c r="L705" s="13">
        <v>0.1</v>
      </c>
      <c r="M705" s="13">
        <v>268.07</v>
      </c>
      <c r="N705" s="13">
        <v>170.04</v>
      </c>
      <c r="O705" s="13">
        <v>98.03</v>
      </c>
      <c r="P705" s="13">
        <v>4.1</v>
      </c>
      <c r="Q705" s="13" t="s">
        <v>34</v>
      </c>
      <c r="R705" s="13">
        <v>2025</v>
      </c>
      <c r="S705" s="15" t="str">
        <f t="shared" si="60"/>
        <v>Low Profit</v>
      </c>
      <c r="T705" s="15" t="str">
        <f t="shared" si="61"/>
        <v>Low Sales</v>
      </c>
      <c r="U705" s="15" t="str">
        <f t="shared" si="62"/>
        <v>Good</v>
      </c>
      <c r="V705" s="15" t="str">
        <f t="shared" si="63"/>
        <v>Normal Discount</v>
      </c>
      <c r="W705" s="15">
        <f>VLOOKUP(D705,Lookup_Table!$A:$C,2,FALSE)</f>
        <v>0.12</v>
      </c>
      <c r="X705" s="15">
        <f t="shared" si="64"/>
        <v>0.365688066549782</v>
      </c>
      <c r="Y705" s="15" t="str">
        <f>VLOOKUP(D705,Lookup_Table!A:C,3,0)</f>
        <v>Rahul</v>
      </c>
      <c r="Z705" s="15" t="str">
        <f t="shared" si="65"/>
        <v>Achived</v>
      </c>
    </row>
    <row r="706" spans="1:26">
      <c r="A706" s="13" t="s">
        <v>797</v>
      </c>
      <c r="B706" s="14">
        <v>46001</v>
      </c>
      <c r="C706" s="13" t="s">
        <v>55</v>
      </c>
      <c r="D706" s="13" t="s">
        <v>60</v>
      </c>
      <c r="E706" s="13" t="s">
        <v>150</v>
      </c>
      <c r="F706" s="13" t="s">
        <v>62</v>
      </c>
      <c r="G706" s="13" t="s">
        <v>63</v>
      </c>
      <c r="H706" s="13" t="s">
        <v>32</v>
      </c>
      <c r="I706" s="13" t="s">
        <v>96</v>
      </c>
      <c r="J706" s="13">
        <v>3</v>
      </c>
      <c r="K706" s="13">
        <v>541.61</v>
      </c>
      <c r="L706" s="13">
        <v>0.2</v>
      </c>
      <c r="M706" s="13">
        <v>1299.86</v>
      </c>
      <c r="N706" s="13">
        <v>823.98</v>
      </c>
      <c r="O706" s="13">
        <v>475.88</v>
      </c>
      <c r="P706" s="13">
        <v>4.1</v>
      </c>
      <c r="Q706" s="13" t="s">
        <v>34</v>
      </c>
      <c r="R706" s="13">
        <v>2025</v>
      </c>
      <c r="S706" s="15" t="str">
        <f t="shared" ref="S706:S769" si="66">IF(O706&gt;500,"High Profit","Low Profit")</f>
        <v>Low Profit</v>
      </c>
      <c r="T706" s="15" t="str">
        <f t="shared" ref="T706:T769" si="67">IF(M706&gt;1000,"High Sales","Low Sales")</f>
        <v>High Sales</v>
      </c>
      <c r="U706" s="15" t="str">
        <f t="shared" ref="U706:U769" si="68">IF(P706&gt;=4,"Good","Needs Improvement")</f>
        <v>Good</v>
      </c>
      <c r="V706" s="15" t="str">
        <f t="shared" ref="V706:V769" si="69">IF(L706&gt;=15%,"High Discount","Normal Discount")</f>
        <v>High Discount</v>
      </c>
      <c r="W706" s="15">
        <f>VLOOKUP(D706,Lookup_Table!$A:$C,2,FALSE)</f>
        <v>0.15</v>
      </c>
      <c r="X706" s="15">
        <f t="shared" ref="X706:X769" si="70">O706/M706</f>
        <v>0.366100964719277</v>
      </c>
      <c r="Y706" s="15" t="str">
        <f>VLOOKUP(D706,Lookup_Table!A:C,3,0)</f>
        <v>Priya</v>
      </c>
      <c r="Z706" s="15" t="str">
        <f t="shared" ref="Z706:Z769" si="71">IF(X706&gt;=W706,"Achived","Not Achieved")</f>
        <v>Achived</v>
      </c>
    </row>
    <row r="707" spans="1:26">
      <c r="A707" s="13" t="s">
        <v>798</v>
      </c>
      <c r="B707" s="14">
        <v>45798</v>
      </c>
      <c r="C707" s="13" t="s">
        <v>55</v>
      </c>
      <c r="D707" s="13" t="s">
        <v>37</v>
      </c>
      <c r="E707" s="13" t="s">
        <v>109</v>
      </c>
      <c r="F707" s="13" t="s">
        <v>62</v>
      </c>
      <c r="G707" s="13" t="s">
        <v>63</v>
      </c>
      <c r="H707" s="13" t="s">
        <v>32</v>
      </c>
      <c r="I707" s="13" t="s">
        <v>96</v>
      </c>
      <c r="J707" s="13">
        <v>4</v>
      </c>
      <c r="K707" s="13">
        <v>355.64</v>
      </c>
      <c r="L707" s="13">
        <v>0</v>
      </c>
      <c r="M707" s="13">
        <v>1422.56</v>
      </c>
      <c r="N707" s="13">
        <v>901.73</v>
      </c>
      <c r="O707" s="13">
        <v>520.83</v>
      </c>
      <c r="P707" s="13">
        <v>4.1</v>
      </c>
      <c r="Q707" s="13" t="s">
        <v>42</v>
      </c>
      <c r="R707" s="13">
        <v>2025</v>
      </c>
      <c r="S707" s="15" t="str">
        <f t="shared" si="66"/>
        <v>High Profit</v>
      </c>
      <c r="T707" s="15" t="str">
        <f t="shared" si="67"/>
        <v>High Sales</v>
      </c>
      <c r="U707" s="15" t="str">
        <f t="shared" si="68"/>
        <v>Good</v>
      </c>
      <c r="V707" s="15" t="str">
        <f t="shared" si="69"/>
        <v>Normal Discount</v>
      </c>
      <c r="W707" s="15">
        <f>VLOOKUP(D707,Lookup_Table!$A:$C,2,FALSE)</f>
        <v>0.16</v>
      </c>
      <c r="X707" s="15">
        <f t="shared" si="70"/>
        <v>0.366121639860533</v>
      </c>
      <c r="Y707" s="15" t="str">
        <f>VLOOKUP(D707,Lookup_Table!A:C,3,0)</f>
        <v>Vikram</v>
      </c>
      <c r="Z707" s="15" t="str">
        <f t="shared" si="71"/>
        <v>Achived</v>
      </c>
    </row>
    <row r="708" spans="1:26">
      <c r="A708" s="13" t="s">
        <v>799</v>
      </c>
      <c r="B708" s="14">
        <v>45720</v>
      </c>
      <c r="C708" s="13" t="s">
        <v>55</v>
      </c>
      <c r="D708" s="13" t="s">
        <v>37</v>
      </c>
      <c r="E708" s="13" t="s">
        <v>38</v>
      </c>
      <c r="F708" s="13" t="s">
        <v>30</v>
      </c>
      <c r="G708" s="13" t="s">
        <v>31</v>
      </c>
      <c r="H708" s="13" t="s">
        <v>32</v>
      </c>
      <c r="I708" s="13" t="s">
        <v>46</v>
      </c>
      <c r="J708" s="13">
        <v>3</v>
      </c>
      <c r="K708" s="13">
        <v>98.99</v>
      </c>
      <c r="L708" s="13">
        <v>0.2</v>
      </c>
      <c r="M708" s="13">
        <v>237.58</v>
      </c>
      <c r="N708" s="13">
        <v>150.5</v>
      </c>
      <c r="O708" s="13">
        <v>87.08</v>
      </c>
      <c r="P708" s="13">
        <v>4.5</v>
      </c>
      <c r="Q708" s="13" t="s">
        <v>94</v>
      </c>
      <c r="R708" s="13">
        <v>2025</v>
      </c>
      <c r="S708" s="15" t="str">
        <f t="shared" si="66"/>
        <v>Low Profit</v>
      </c>
      <c r="T708" s="15" t="str">
        <f t="shared" si="67"/>
        <v>Low Sales</v>
      </c>
      <c r="U708" s="15" t="str">
        <f t="shared" si="68"/>
        <v>Good</v>
      </c>
      <c r="V708" s="15" t="str">
        <f t="shared" si="69"/>
        <v>High Discount</v>
      </c>
      <c r="W708" s="15">
        <f>VLOOKUP(D708,Lookup_Table!$A:$C,2,FALSE)</f>
        <v>0.16</v>
      </c>
      <c r="X708" s="15">
        <f t="shared" si="70"/>
        <v>0.36652916912198</v>
      </c>
      <c r="Y708" s="15" t="str">
        <f>VLOOKUP(D708,Lookup_Table!A:C,3,0)</f>
        <v>Vikram</v>
      </c>
      <c r="Z708" s="15" t="str">
        <f t="shared" si="71"/>
        <v>Achived</v>
      </c>
    </row>
    <row r="709" spans="1:26">
      <c r="A709" s="13" t="s">
        <v>800</v>
      </c>
      <c r="B709" s="14">
        <v>45795</v>
      </c>
      <c r="C709" s="13" t="s">
        <v>27</v>
      </c>
      <c r="D709" s="13" t="s">
        <v>60</v>
      </c>
      <c r="E709" s="13" t="s">
        <v>61</v>
      </c>
      <c r="F709" s="13" t="s">
        <v>39</v>
      </c>
      <c r="G709" s="13" t="s">
        <v>40</v>
      </c>
      <c r="H709" s="13" t="s">
        <v>41</v>
      </c>
      <c r="I709" s="13" t="s">
        <v>46</v>
      </c>
      <c r="J709" s="13">
        <v>4</v>
      </c>
      <c r="K709" s="13">
        <v>267.76</v>
      </c>
      <c r="L709" s="13">
        <v>0.05</v>
      </c>
      <c r="M709" s="13">
        <v>1017.49</v>
      </c>
      <c r="N709" s="13">
        <v>644.52</v>
      </c>
      <c r="O709" s="13">
        <v>372.97</v>
      </c>
      <c r="P709" s="13">
        <v>4.8</v>
      </c>
      <c r="Q709" s="13" t="s">
        <v>42</v>
      </c>
      <c r="R709" s="13">
        <v>2025</v>
      </c>
      <c r="S709" s="15" t="str">
        <f t="shared" si="66"/>
        <v>Low Profit</v>
      </c>
      <c r="T709" s="15" t="str">
        <f t="shared" si="67"/>
        <v>High Sales</v>
      </c>
      <c r="U709" s="15" t="str">
        <f t="shared" si="68"/>
        <v>Good</v>
      </c>
      <c r="V709" s="15" t="str">
        <f t="shared" si="69"/>
        <v>Normal Discount</v>
      </c>
      <c r="W709" s="15">
        <f>VLOOKUP(D709,Lookup_Table!$A:$C,2,FALSE)</f>
        <v>0.15</v>
      </c>
      <c r="X709" s="15">
        <f t="shared" si="70"/>
        <v>0.366558885099608</v>
      </c>
      <c r="Y709" s="15" t="str">
        <f>VLOOKUP(D709,Lookup_Table!A:C,3,0)</f>
        <v>Priya</v>
      </c>
      <c r="Z709" s="15" t="str">
        <f t="shared" si="71"/>
        <v>Achived</v>
      </c>
    </row>
    <row r="710" spans="1:26">
      <c r="A710" s="13" t="s">
        <v>801</v>
      </c>
      <c r="B710" s="14">
        <v>46000</v>
      </c>
      <c r="C710" s="13" t="s">
        <v>55</v>
      </c>
      <c r="D710" s="13" t="s">
        <v>60</v>
      </c>
      <c r="E710" s="13" t="s">
        <v>127</v>
      </c>
      <c r="F710" s="13" t="s">
        <v>62</v>
      </c>
      <c r="G710" s="13" t="s">
        <v>63</v>
      </c>
      <c r="H710" s="13" t="s">
        <v>32</v>
      </c>
      <c r="I710" s="13" t="s">
        <v>52</v>
      </c>
      <c r="J710" s="13">
        <v>1</v>
      </c>
      <c r="K710" s="13">
        <v>318.2</v>
      </c>
      <c r="L710" s="13">
        <v>0.15</v>
      </c>
      <c r="M710" s="13">
        <v>270.47</v>
      </c>
      <c r="N710" s="13">
        <v>171.27</v>
      </c>
      <c r="O710" s="13">
        <v>99.2</v>
      </c>
      <c r="P710" s="13">
        <v>3.9</v>
      </c>
      <c r="Q710" s="13" t="s">
        <v>34</v>
      </c>
      <c r="R710" s="13">
        <v>2025</v>
      </c>
      <c r="S710" s="15" t="str">
        <f t="shared" si="66"/>
        <v>Low Profit</v>
      </c>
      <c r="T710" s="15" t="str">
        <f t="shared" si="67"/>
        <v>Low Sales</v>
      </c>
      <c r="U710" s="15" t="str">
        <f t="shared" si="68"/>
        <v>Needs Improvement</v>
      </c>
      <c r="V710" s="15" t="str">
        <f t="shared" si="69"/>
        <v>High Discount</v>
      </c>
      <c r="W710" s="15">
        <f>VLOOKUP(D710,Lookup_Table!$A:$C,2,FALSE)</f>
        <v>0.15</v>
      </c>
      <c r="X710" s="15">
        <f t="shared" si="70"/>
        <v>0.36676895774023</v>
      </c>
      <c r="Y710" s="15" t="str">
        <f>VLOOKUP(D710,Lookup_Table!A:C,3,0)</f>
        <v>Priya</v>
      </c>
      <c r="Z710" s="15" t="str">
        <f t="shared" si="71"/>
        <v>Achived</v>
      </c>
    </row>
    <row r="711" spans="1:26">
      <c r="A711" s="13" t="s">
        <v>802</v>
      </c>
      <c r="B711" s="14">
        <v>45917</v>
      </c>
      <c r="C711" s="13" t="s">
        <v>27</v>
      </c>
      <c r="D711" s="13" t="s">
        <v>80</v>
      </c>
      <c r="E711" s="13" t="s">
        <v>191</v>
      </c>
      <c r="F711" s="13" t="s">
        <v>75</v>
      </c>
      <c r="G711" s="13" t="s">
        <v>76</v>
      </c>
      <c r="H711" s="13" t="s">
        <v>77</v>
      </c>
      <c r="I711" s="13" t="s">
        <v>52</v>
      </c>
      <c r="J711" s="13">
        <v>2</v>
      </c>
      <c r="K711" s="13">
        <v>56.23</v>
      </c>
      <c r="L711" s="13">
        <v>0.05</v>
      </c>
      <c r="M711" s="13">
        <v>106.84</v>
      </c>
      <c r="N711" s="13">
        <v>67.65</v>
      </c>
      <c r="O711" s="13">
        <v>39.19</v>
      </c>
      <c r="P711" s="13">
        <v>3.9</v>
      </c>
      <c r="Q711" s="13" t="s">
        <v>53</v>
      </c>
      <c r="R711" s="13">
        <v>2025</v>
      </c>
      <c r="S711" s="15" t="str">
        <f t="shared" si="66"/>
        <v>Low Profit</v>
      </c>
      <c r="T711" s="15" t="str">
        <f t="shared" si="67"/>
        <v>Low Sales</v>
      </c>
      <c r="U711" s="15" t="str">
        <f t="shared" si="68"/>
        <v>Needs Improvement</v>
      </c>
      <c r="V711" s="15" t="str">
        <f t="shared" si="69"/>
        <v>Normal Discount</v>
      </c>
      <c r="W711" s="15">
        <f>VLOOKUP(D711,Lookup_Table!$A:$C,2,FALSE)</f>
        <v>0.12</v>
      </c>
      <c r="X711" s="15">
        <f t="shared" si="70"/>
        <v>0.366810183451891</v>
      </c>
      <c r="Y711" s="15" t="str">
        <f>VLOOKUP(D711,Lookup_Table!A:C,3,0)</f>
        <v>Rahul</v>
      </c>
      <c r="Z711" s="15" t="str">
        <f t="shared" si="71"/>
        <v>Achived</v>
      </c>
    </row>
    <row r="712" spans="1:26">
      <c r="A712" s="13" t="s">
        <v>803</v>
      </c>
      <c r="B712" s="14">
        <v>45796</v>
      </c>
      <c r="C712" s="13" t="s">
        <v>27</v>
      </c>
      <c r="D712" s="13" t="s">
        <v>60</v>
      </c>
      <c r="E712" s="13" t="s">
        <v>66</v>
      </c>
      <c r="F712" s="13" t="s">
        <v>116</v>
      </c>
      <c r="G712" s="13" t="s">
        <v>117</v>
      </c>
      <c r="H712" s="13" t="s">
        <v>32</v>
      </c>
      <c r="I712" s="13" t="s">
        <v>33</v>
      </c>
      <c r="J712" s="13">
        <v>4</v>
      </c>
      <c r="K712" s="13">
        <v>144.01</v>
      </c>
      <c r="L712" s="13">
        <v>0.1</v>
      </c>
      <c r="M712" s="13">
        <v>518.44</v>
      </c>
      <c r="N712" s="13">
        <v>327.87</v>
      </c>
      <c r="O712" s="13">
        <v>190.57</v>
      </c>
      <c r="P712" s="13">
        <v>4.3</v>
      </c>
      <c r="Q712" s="13" t="s">
        <v>42</v>
      </c>
      <c r="R712" s="13">
        <v>2025</v>
      </c>
      <c r="S712" s="15" t="str">
        <f t="shared" si="66"/>
        <v>Low Profit</v>
      </c>
      <c r="T712" s="15" t="str">
        <f t="shared" si="67"/>
        <v>Low Sales</v>
      </c>
      <c r="U712" s="15" t="str">
        <f t="shared" si="68"/>
        <v>Good</v>
      </c>
      <c r="V712" s="15" t="str">
        <f t="shared" si="69"/>
        <v>Normal Discount</v>
      </c>
      <c r="W712" s="15">
        <f>VLOOKUP(D712,Lookup_Table!$A:$C,2,FALSE)</f>
        <v>0.15</v>
      </c>
      <c r="X712" s="15">
        <f t="shared" si="70"/>
        <v>0.36758351979014</v>
      </c>
      <c r="Y712" s="15" t="str">
        <f>VLOOKUP(D712,Lookup_Table!A:C,3,0)</f>
        <v>Priya</v>
      </c>
      <c r="Z712" s="15" t="str">
        <f t="shared" si="71"/>
        <v>Achived</v>
      </c>
    </row>
    <row r="713" spans="1:26">
      <c r="A713" s="13" t="s">
        <v>804</v>
      </c>
      <c r="B713" s="14">
        <v>45989</v>
      </c>
      <c r="C713" s="13" t="s">
        <v>36</v>
      </c>
      <c r="D713" s="13" t="s">
        <v>37</v>
      </c>
      <c r="E713" s="13" t="s">
        <v>93</v>
      </c>
      <c r="F713" s="13" t="s">
        <v>111</v>
      </c>
      <c r="G713" s="13" t="s">
        <v>76</v>
      </c>
      <c r="H713" s="13" t="s">
        <v>77</v>
      </c>
      <c r="I713" s="13" t="s">
        <v>96</v>
      </c>
      <c r="J713" s="13">
        <v>4</v>
      </c>
      <c r="K713" s="13">
        <v>173.29</v>
      </c>
      <c r="L713" s="13">
        <v>0</v>
      </c>
      <c r="M713" s="13">
        <v>693.16</v>
      </c>
      <c r="N713" s="13">
        <v>437.46</v>
      </c>
      <c r="O713" s="13">
        <v>255.7</v>
      </c>
      <c r="P713" s="13">
        <v>4.5</v>
      </c>
      <c r="Q713" s="13" t="s">
        <v>71</v>
      </c>
      <c r="R713" s="13">
        <v>2025</v>
      </c>
      <c r="S713" s="15" t="str">
        <f t="shared" si="66"/>
        <v>Low Profit</v>
      </c>
      <c r="T713" s="15" t="str">
        <f t="shared" si="67"/>
        <v>Low Sales</v>
      </c>
      <c r="U713" s="15" t="str">
        <f t="shared" si="68"/>
        <v>Good</v>
      </c>
      <c r="V713" s="15" t="str">
        <f t="shared" si="69"/>
        <v>Normal Discount</v>
      </c>
      <c r="W713" s="15">
        <f>VLOOKUP(D713,Lookup_Table!$A:$C,2,FALSE)</f>
        <v>0.16</v>
      </c>
      <c r="X713" s="15">
        <f t="shared" si="70"/>
        <v>0.368890299497951</v>
      </c>
      <c r="Y713" s="15" t="str">
        <f>VLOOKUP(D713,Lookup_Table!A:C,3,0)</f>
        <v>Vikram</v>
      </c>
      <c r="Z713" s="15" t="str">
        <f t="shared" si="71"/>
        <v>Achived</v>
      </c>
    </row>
    <row r="714" spans="1:26">
      <c r="A714" s="13" t="s">
        <v>805</v>
      </c>
      <c r="B714" s="14">
        <v>45894</v>
      </c>
      <c r="C714" s="13" t="s">
        <v>27</v>
      </c>
      <c r="D714" s="13" t="s">
        <v>28</v>
      </c>
      <c r="E714" s="13" t="s">
        <v>49</v>
      </c>
      <c r="F714" s="13" t="s">
        <v>75</v>
      </c>
      <c r="G714" s="13" t="s">
        <v>76</v>
      </c>
      <c r="H714" s="13" t="s">
        <v>77</v>
      </c>
      <c r="I714" s="13" t="s">
        <v>96</v>
      </c>
      <c r="J714" s="13">
        <v>4</v>
      </c>
      <c r="K714" s="13">
        <v>15.1</v>
      </c>
      <c r="L714" s="13">
        <v>0</v>
      </c>
      <c r="M714" s="13">
        <v>60.4</v>
      </c>
      <c r="N714" s="13">
        <v>38.09</v>
      </c>
      <c r="O714" s="13">
        <v>22.31</v>
      </c>
      <c r="P714" s="13">
        <v>3.7</v>
      </c>
      <c r="Q714" s="13" t="s">
        <v>47</v>
      </c>
      <c r="R714" s="13">
        <v>2025</v>
      </c>
      <c r="S714" s="15" t="str">
        <f t="shared" si="66"/>
        <v>Low Profit</v>
      </c>
      <c r="T714" s="15" t="str">
        <f t="shared" si="67"/>
        <v>Low Sales</v>
      </c>
      <c r="U714" s="15" t="str">
        <f t="shared" si="68"/>
        <v>Needs Improvement</v>
      </c>
      <c r="V714" s="15" t="str">
        <f t="shared" si="69"/>
        <v>Normal Discount</v>
      </c>
      <c r="W714" s="15">
        <f>VLOOKUP(D714,Lookup_Table!$A:$C,2,FALSE)</f>
        <v>0.2</v>
      </c>
      <c r="X714" s="15">
        <f t="shared" si="70"/>
        <v>0.369370860927152</v>
      </c>
      <c r="Y714" s="15" t="str">
        <f>VLOOKUP(D714,Lookup_Table!A:C,3,0)</f>
        <v>Sneha</v>
      </c>
      <c r="Z714" s="15" t="str">
        <f t="shared" si="71"/>
        <v>Achived</v>
      </c>
    </row>
    <row r="715" spans="1:26">
      <c r="A715" s="13" t="s">
        <v>806</v>
      </c>
      <c r="B715" s="14">
        <v>45666</v>
      </c>
      <c r="C715" s="13" t="s">
        <v>27</v>
      </c>
      <c r="D715" s="13" t="s">
        <v>44</v>
      </c>
      <c r="E715" s="13" t="s">
        <v>45</v>
      </c>
      <c r="F715" s="13" t="s">
        <v>39</v>
      </c>
      <c r="G715" s="13" t="s">
        <v>40</v>
      </c>
      <c r="H715" s="13" t="s">
        <v>41</v>
      </c>
      <c r="I715" s="13" t="s">
        <v>52</v>
      </c>
      <c r="J715" s="13">
        <v>3</v>
      </c>
      <c r="K715" s="13">
        <v>159.15</v>
      </c>
      <c r="L715" s="13">
        <v>0.05</v>
      </c>
      <c r="M715" s="13">
        <v>453.58</v>
      </c>
      <c r="N715" s="13">
        <v>285.92</v>
      </c>
      <c r="O715" s="13">
        <v>167.66</v>
      </c>
      <c r="P715" s="13">
        <v>4.2</v>
      </c>
      <c r="Q715" s="13" t="s">
        <v>64</v>
      </c>
      <c r="R715" s="13">
        <v>2025</v>
      </c>
      <c r="S715" s="15" t="str">
        <f t="shared" si="66"/>
        <v>Low Profit</v>
      </c>
      <c r="T715" s="15" t="str">
        <f t="shared" si="67"/>
        <v>Low Sales</v>
      </c>
      <c r="U715" s="15" t="str">
        <f t="shared" si="68"/>
        <v>Good</v>
      </c>
      <c r="V715" s="15" t="str">
        <f t="shared" si="69"/>
        <v>Normal Discount</v>
      </c>
      <c r="W715" s="15">
        <f>VLOOKUP(D715,Lookup_Table!$A:$C,2,FALSE)</f>
        <v>0.18</v>
      </c>
      <c r="X715" s="15">
        <f t="shared" si="70"/>
        <v>0.369637109219983</v>
      </c>
      <c r="Y715" s="15" t="str">
        <f>VLOOKUP(D715,Lookup_Table!A:C,3,0)</f>
        <v>Amit</v>
      </c>
      <c r="Z715" s="15" t="str">
        <f t="shared" si="71"/>
        <v>Achived</v>
      </c>
    </row>
    <row r="716" spans="1:26">
      <c r="A716" s="13" t="s">
        <v>807</v>
      </c>
      <c r="B716" s="14">
        <v>45682</v>
      </c>
      <c r="C716" s="13" t="s">
        <v>55</v>
      </c>
      <c r="D716" s="13" t="s">
        <v>37</v>
      </c>
      <c r="E716" s="13" t="s">
        <v>93</v>
      </c>
      <c r="F716" s="13" t="s">
        <v>116</v>
      </c>
      <c r="G716" s="13" t="s">
        <v>117</v>
      </c>
      <c r="H716" s="13" t="s">
        <v>32</v>
      </c>
      <c r="I716" s="13" t="s">
        <v>52</v>
      </c>
      <c r="J716" s="13">
        <v>5</v>
      </c>
      <c r="K716" s="13">
        <v>223.26</v>
      </c>
      <c r="L716" s="13">
        <v>0</v>
      </c>
      <c r="M716" s="13">
        <v>1116.3</v>
      </c>
      <c r="N716" s="13">
        <v>703.64</v>
      </c>
      <c r="O716" s="13">
        <v>412.66</v>
      </c>
      <c r="P716" s="13">
        <v>4.4</v>
      </c>
      <c r="Q716" s="13" t="s">
        <v>64</v>
      </c>
      <c r="R716" s="13">
        <v>2025</v>
      </c>
      <c r="S716" s="15" t="str">
        <f t="shared" si="66"/>
        <v>Low Profit</v>
      </c>
      <c r="T716" s="15" t="str">
        <f t="shared" si="67"/>
        <v>High Sales</v>
      </c>
      <c r="U716" s="15" t="str">
        <f t="shared" si="68"/>
        <v>Good</v>
      </c>
      <c r="V716" s="15" t="str">
        <f t="shared" si="69"/>
        <v>Normal Discount</v>
      </c>
      <c r="W716" s="15">
        <f>VLOOKUP(D716,Lookup_Table!$A:$C,2,FALSE)</f>
        <v>0.16</v>
      </c>
      <c r="X716" s="15">
        <f t="shared" si="70"/>
        <v>0.369667652064857</v>
      </c>
      <c r="Y716" s="15" t="str">
        <f>VLOOKUP(D716,Lookup_Table!A:C,3,0)</f>
        <v>Vikram</v>
      </c>
      <c r="Z716" s="15" t="str">
        <f t="shared" si="71"/>
        <v>Achived</v>
      </c>
    </row>
    <row r="717" spans="1:26">
      <c r="A717" s="13" t="s">
        <v>808</v>
      </c>
      <c r="B717" s="14">
        <v>45683</v>
      </c>
      <c r="C717" s="13" t="s">
        <v>36</v>
      </c>
      <c r="D717" s="13" t="s">
        <v>60</v>
      </c>
      <c r="E717" s="13" t="s">
        <v>66</v>
      </c>
      <c r="F717" s="13" t="s">
        <v>98</v>
      </c>
      <c r="G717" s="13" t="s">
        <v>99</v>
      </c>
      <c r="H717" s="13" t="s">
        <v>77</v>
      </c>
      <c r="I717" s="13" t="s">
        <v>33</v>
      </c>
      <c r="J717" s="13">
        <v>7</v>
      </c>
      <c r="K717" s="13">
        <v>659.85</v>
      </c>
      <c r="L717" s="13">
        <v>0.05</v>
      </c>
      <c r="M717" s="13">
        <v>4388</v>
      </c>
      <c r="N717" s="13">
        <v>2765.16</v>
      </c>
      <c r="O717" s="13">
        <v>1622.84</v>
      </c>
      <c r="P717" s="13">
        <v>2.5</v>
      </c>
      <c r="Q717" s="13" t="s">
        <v>64</v>
      </c>
      <c r="R717" s="13">
        <v>2025</v>
      </c>
      <c r="S717" s="15" t="str">
        <f t="shared" si="66"/>
        <v>High Profit</v>
      </c>
      <c r="T717" s="15" t="str">
        <f t="shared" si="67"/>
        <v>High Sales</v>
      </c>
      <c r="U717" s="15" t="str">
        <f t="shared" si="68"/>
        <v>Needs Improvement</v>
      </c>
      <c r="V717" s="15" t="str">
        <f t="shared" si="69"/>
        <v>Normal Discount</v>
      </c>
      <c r="W717" s="15">
        <f>VLOOKUP(D717,Lookup_Table!$A:$C,2,FALSE)</f>
        <v>0.15</v>
      </c>
      <c r="X717" s="15">
        <f t="shared" si="70"/>
        <v>0.369835916134913</v>
      </c>
      <c r="Y717" s="15" t="str">
        <f>VLOOKUP(D717,Lookup_Table!A:C,3,0)</f>
        <v>Priya</v>
      </c>
      <c r="Z717" s="15" t="str">
        <f t="shared" si="71"/>
        <v>Achived</v>
      </c>
    </row>
    <row r="718" spans="1:26">
      <c r="A718" s="13" t="s">
        <v>809</v>
      </c>
      <c r="B718" s="14">
        <v>45847</v>
      </c>
      <c r="C718" s="13" t="s">
        <v>27</v>
      </c>
      <c r="D718" s="13" t="s">
        <v>28</v>
      </c>
      <c r="E718" s="13" t="s">
        <v>49</v>
      </c>
      <c r="F718" s="13" t="s">
        <v>75</v>
      </c>
      <c r="G718" s="13" t="s">
        <v>76</v>
      </c>
      <c r="H718" s="13" t="s">
        <v>77</v>
      </c>
      <c r="I718" s="13" t="s">
        <v>52</v>
      </c>
      <c r="J718" s="13">
        <v>4</v>
      </c>
      <c r="K718" s="13">
        <v>73.94</v>
      </c>
      <c r="L718" s="13">
        <v>0.05</v>
      </c>
      <c r="M718" s="13">
        <v>280.97</v>
      </c>
      <c r="N718" s="13">
        <v>176.89</v>
      </c>
      <c r="O718" s="13">
        <v>104.08</v>
      </c>
      <c r="P718" s="13">
        <v>2.5</v>
      </c>
      <c r="Q718" s="13" t="s">
        <v>56</v>
      </c>
      <c r="R718" s="13">
        <v>2025</v>
      </c>
      <c r="S718" s="15" t="str">
        <f t="shared" si="66"/>
        <v>Low Profit</v>
      </c>
      <c r="T718" s="15" t="str">
        <f t="shared" si="67"/>
        <v>Low Sales</v>
      </c>
      <c r="U718" s="15" t="str">
        <f t="shared" si="68"/>
        <v>Needs Improvement</v>
      </c>
      <c r="V718" s="15" t="str">
        <f t="shared" si="69"/>
        <v>Normal Discount</v>
      </c>
      <c r="W718" s="15">
        <f>VLOOKUP(D718,Lookup_Table!$A:$C,2,FALSE)</f>
        <v>0.2</v>
      </c>
      <c r="X718" s="15">
        <f t="shared" si="70"/>
        <v>0.370431006869061</v>
      </c>
      <c r="Y718" s="15" t="str">
        <f>VLOOKUP(D718,Lookup_Table!A:C,3,0)</f>
        <v>Sneha</v>
      </c>
      <c r="Z718" s="15" t="str">
        <f t="shared" si="71"/>
        <v>Achived</v>
      </c>
    </row>
    <row r="719" spans="1:26">
      <c r="A719" s="13" t="s">
        <v>810</v>
      </c>
      <c r="B719" s="14">
        <v>45715</v>
      </c>
      <c r="C719" s="13" t="s">
        <v>36</v>
      </c>
      <c r="D719" s="13" t="s">
        <v>28</v>
      </c>
      <c r="E719" s="13" t="s">
        <v>73</v>
      </c>
      <c r="F719" s="13" t="s">
        <v>116</v>
      </c>
      <c r="G719" s="13" t="s">
        <v>117</v>
      </c>
      <c r="H719" s="13" t="s">
        <v>32</v>
      </c>
      <c r="I719" s="13" t="s">
        <v>33</v>
      </c>
      <c r="J719" s="13">
        <v>7</v>
      </c>
      <c r="K719" s="13">
        <v>94.83</v>
      </c>
      <c r="L719" s="13">
        <v>0.1</v>
      </c>
      <c r="M719" s="13">
        <v>597.43</v>
      </c>
      <c r="N719" s="13">
        <v>376.08</v>
      </c>
      <c r="O719" s="13">
        <v>221.35</v>
      </c>
      <c r="P719" s="13">
        <v>3.2</v>
      </c>
      <c r="Q719" s="13" t="s">
        <v>105</v>
      </c>
      <c r="R719" s="13">
        <v>2025</v>
      </c>
      <c r="S719" s="15" t="str">
        <f t="shared" si="66"/>
        <v>Low Profit</v>
      </c>
      <c r="T719" s="15" t="str">
        <f t="shared" si="67"/>
        <v>Low Sales</v>
      </c>
      <c r="U719" s="15" t="str">
        <f t="shared" si="68"/>
        <v>Needs Improvement</v>
      </c>
      <c r="V719" s="15" t="str">
        <f t="shared" si="69"/>
        <v>Normal Discount</v>
      </c>
      <c r="W719" s="15">
        <f>VLOOKUP(D719,Lookup_Table!$A:$C,2,FALSE)</f>
        <v>0.2</v>
      </c>
      <c r="X719" s="15">
        <f t="shared" si="70"/>
        <v>0.37050365733224</v>
      </c>
      <c r="Y719" s="15" t="str">
        <f>VLOOKUP(D719,Lookup_Table!A:C,3,0)</f>
        <v>Sneha</v>
      </c>
      <c r="Z719" s="15" t="str">
        <f t="shared" si="71"/>
        <v>Achived</v>
      </c>
    </row>
    <row r="720" spans="1:26">
      <c r="A720" s="13" t="s">
        <v>811</v>
      </c>
      <c r="B720" s="14">
        <v>45854</v>
      </c>
      <c r="C720" s="13" t="s">
        <v>27</v>
      </c>
      <c r="D720" s="13" t="s">
        <v>28</v>
      </c>
      <c r="E720" s="13" t="s">
        <v>49</v>
      </c>
      <c r="F720" s="13" t="s">
        <v>50</v>
      </c>
      <c r="G720" s="13" t="s">
        <v>51</v>
      </c>
      <c r="H720" s="13" t="s">
        <v>32</v>
      </c>
      <c r="I720" s="13" t="s">
        <v>96</v>
      </c>
      <c r="J720" s="13">
        <v>4</v>
      </c>
      <c r="K720" s="13">
        <v>144.01</v>
      </c>
      <c r="L720" s="13">
        <v>0.15</v>
      </c>
      <c r="M720" s="13">
        <v>489.63</v>
      </c>
      <c r="N720" s="13">
        <v>308.2</v>
      </c>
      <c r="O720" s="13">
        <v>181.43</v>
      </c>
      <c r="P720" s="13">
        <v>3.4</v>
      </c>
      <c r="Q720" s="13" t="s">
        <v>56</v>
      </c>
      <c r="R720" s="13">
        <v>2025</v>
      </c>
      <c r="S720" s="15" t="str">
        <f t="shared" si="66"/>
        <v>Low Profit</v>
      </c>
      <c r="T720" s="15" t="str">
        <f t="shared" si="67"/>
        <v>Low Sales</v>
      </c>
      <c r="U720" s="15" t="str">
        <f t="shared" si="68"/>
        <v>Needs Improvement</v>
      </c>
      <c r="V720" s="15" t="str">
        <f t="shared" si="69"/>
        <v>High Discount</v>
      </c>
      <c r="W720" s="15">
        <f>VLOOKUP(D720,Lookup_Table!$A:$C,2,FALSE)</f>
        <v>0.2</v>
      </c>
      <c r="X720" s="15">
        <f t="shared" si="70"/>
        <v>0.370545105487817</v>
      </c>
      <c r="Y720" s="15" t="str">
        <f>VLOOKUP(D720,Lookup_Table!A:C,3,0)</f>
        <v>Sneha</v>
      </c>
      <c r="Z720" s="15" t="str">
        <f t="shared" si="71"/>
        <v>Achived</v>
      </c>
    </row>
    <row r="721" spans="1:26">
      <c r="A721" s="13" t="s">
        <v>812</v>
      </c>
      <c r="B721" s="14">
        <v>45901</v>
      </c>
      <c r="C721" s="13" t="s">
        <v>55</v>
      </c>
      <c r="D721" s="13" t="s">
        <v>80</v>
      </c>
      <c r="E721" s="13" t="s">
        <v>191</v>
      </c>
      <c r="F721" s="13" t="s">
        <v>62</v>
      </c>
      <c r="G721" s="13" t="s">
        <v>63</v>
      </c>
      <c r="H721" s="13" t="s">
        <v>32</v>
      </c>
      <c r="I721" s="13" t="s">
        <v>46</v>
      </c>
      <c r="J721" s="13">
        <v>3</v>
      </c>
      <c r="K721" s="13">
        <v>7.88</v>
      </c>
      <c r="L721" s="13">
        <v>0.1</v>
      </c>
      <c r="M721" s="13">
        <v>21.28</v>
      </c>
      <c r="N721" s="13">
        <v>13.39</v>
      </c>
      <c r="O721" s="13">
        <v>7.89</v>
      </c>
      <c r="P721" s="13">
        <v>3.7</v>
      </c>
      <c r="Q721" s="13" t="s">
        <v>53</v>
      </c>
      <c r="R721" s="13">
        <v>2025</v>
      </c>
      <c r="S721" s="15" t="str">
        <f t="shared" si="66"/>
        <v>Low Profit</v>
      </c>
      <c r="T721" s="15" t="str">
        <f t="shared" si="67"/>
        <v>Low Sales</v>
      </c>
      <c r="U721" s="15" t="str">
        <f t="shared" si="68"/>
        <v>Needs Improvement</v>
      </c>
      <c r="V721" s="15" t="str">
        <f t="shared" si="69"/>
        <v>Normal Discount</v>
      </c>
      <c r="W721" s="15">
        <f>VLOOKUP(D721,Lookup_Table!$A:$C,2,FALSE)</f>
        <v>0.12</v>
      </c>
      <c r="X721" s="15">
        <f t="shared" si="70"/>
        <v>0.370770676691729</v>
      </c>
      <c r="Y721" s="15" t="str">
        <f>VLOOKUP(D721,Lookup_Table!A:C,3,0)</f>
        <v>Rahul</v>
      </c>
      <c r="Z721" s="15" t="str">
        <f t="shared" si="71"/>
        <v>Achived</v>
      </c>
    </row>
    <row r="722" spans="1:26">
      <c r="A722" s="13" t="s">
        <v>813</v>
      </c>
      <c r="B722" s="14">
        <v>46012</v>
      </c>
      <c r="C722" s="13" t="s">
        <v>27</v>
      </c>
      <c r="D722" s="13" t="s">
        <v>28</v>
      </c>
      <c r="E722" s="13" t="s">
        <v>73</v>
      </c>
      <c r="F722" s="13" t="s">
        <v>50</v>
      </c>
      <c r="G722" s="13" t="s">
        <v>51</v>
      </c>
      <c r="H722" s="13" t="s">
        <v>32</v>
      </c>
      <c r="I722" s="13" t="s">
        <v>46</v>
      </c>
      <c r="J722" s="13">
        <v>5</v>
      </c>
      <c r="K722" s="13">
        <v>153.18</v>
      </c>
      <c r="L722" s="13">
        <v>0.15</v>
      </c>
      <c r="M722" s="13">
        <v>651.02</v>
      </c>
      <c r="N722" s="13">
        <v>409.37</v>
      </c>
      <c r="O722" s="13">
        <v>241.65</v>
      </c>
      <c r="P722" s="13">
        <v>3.2</v>
      </c>
      <c r="Q722" s="13" t="s">
        <v>34</v>
      </c>
      <c r="R722" s="13">
        <v>2025</v>
      </c>
      <c r="S722" s="15" t="str">
        <f t="shared" si="66"/>
        <v>Low Profit</v>
      </c>
      <c r="T722" s="15" t="str">
        <f t="shared" si="67"/>
        <v>Low Sales</v>
      </c>
      <c r="U722" s="15" t="str">
        <f t="shared" si="68"/>
        <v>Needs Improvement</v>
      </c>
      <c r="V722" s="15" t="str">
        <f t="shared" si="69"/>
        <v>High Discount</v>
      </c>
      <c r="W722" s="15">
        <f>VLOOKUP(D722,Lookup_Table!$A:$C,2,FALSE)</f>
        <v>0.2</v>
      </c>
      <c r="X722" s="15">
        <f t="shared" si="70"/>
        <v>0.371186753095143</v>
      </c>
      <c r="Y722" s="15" t="str">
        <f>VLOOKUP(D722,Lookup_Table!A:C,3,0)</f>
        <v>Sneha</v>
      </c>
      <c r="Z722" s="15" t="str">
        <f t="shared" si="71"/>
        <v>Achived</v>
      </c>
    </row>
    <row r="723" spans="1:26">
      <c r="A723" s="13" t="s">
        <v>814</v>
      </c>
      <c r="B723" s="14">
        <v>45844</v>
      </c>
      <c r="C723" s="13" t="s">
        <v>55</v>
      </c>
      <c r="D723" s="13" t="s">
        <v>37</v>
      </c>
      <c r="E723" s="13" t="s">
        <v>93</v>
      </c>
      <c r="F723" s="13" t="s">
        <v>67</v>
      </c>
      <c r="G723" s="13" t="s">
        <v>68</v>
      </c>
      <c r="H723" s="13" t="s">
        <v>69</v>
      </c>
      <c r="I723" s="13" t="s">
        <v>96</v>
      </c>
      <c r="J723" s="13">
        <v>7</v>
      </c>
      <c r="K723" s="13">
        <v>417.51</v>
      </c>
      <c r="L723" s="13">
        <v>0</v>
      </c>
      <c r="M723" s="13">
        <v>2922.57</v>
      </c>
      <c r="N723" s="13">
        <v>1837.57</v>
      </c>
      <c r="O723" s="13">
        <v>1085</v>
      </c>
      <c r="P723" s="13">
        <v>2.6</v>
      </c>
      <c r="Q723" s="13" t="s">
        <v>56</v>
      </c>
      <c r="R723" s="13">
        <v>2025</v>
      </c>
      <c r="S723" s="15" t="str">
        <f t="shared" si="66"/>
        <v>High Profit</v>
      </c>
      <c r="T723" s="15" t="str">
        <f t="shared" si="67"/>
        <v>High Sales</v>
      </c>
      <c r="U723" s="15" t="str">
        <f t="shared" si="68"/>
        <v>Needs Improvement</v>
      </c>
      <c r="V723" s="15" t="str">
        <f t="shared" si="69"/>
        <v>Normal Discount</v>
      </c>
      <c r="W723" s="15">
        <f>VLOOKUP(D723,Lookup_Table!$A:$C,2,FALSE)</f>
        <v>0.16</v>
      </c>
      <c r="X723" s="15">
        <f t="shared" si="70"/>
        <v>0.371248592848075</v>
      </c>
      <c r="Y723" s="15" t="str">
        <f>VLOOKUP(D723,Lookup_Table!A:C,3,0)</f>
        <v>Vikram</v>
      </c>
      <c r="Z723" s="15" t="str">
        <f t="shared" si="71"/>
        <v>Achived</v>
      </c>
    </row>
    <row r="724" spans="1:26">
      <c r="A724" s="13" t="s">
        <v>815</v>
      </c>
      <c r="B724" s="14">
        <v>45733</v>
      </c>
      <c r="C724" s="13" t="s">
        <v>27</v>
      </c>
      <c r="D724" s="13" t="s">
        <v>37</v>
      </c>
      <c r="E724" s="13" t="s">
        <v>86</v>
      </c>
      <c r="F724" s="13" t="s">
        <v>67</v>
      </c>
      <c r="G724" s="13" t="s">
        <v>68</v>
      </c>
      <c r="H724" s="13" t="s">
        <v>69</v>
      </c>
      <c r="I724" s="13" t="s">
        <v>33</v>
      </c>
      <c r="J724" s="13">
        <v>4</v>
      </c>
      <c r="K724" s="13">
        <v>111.84</v>
      </c>
      <c r="L724" s="13">
        <v>0</v>
      </c>
      <c r="M724" s="13">
        <v>447.36</v>
      </c>
      <c r="N724" s="13">
        <v>281.27</v>
      </c>
      <c r="O724" s="13">
        <v>166.09</v>
      </c>
      <c r="P724" s="13">
        <v>3.6</v>
      </c>
      <c r="Q724" s="13" t="s">
        <v>94</v>
      </c>
      <c r="R724" s="13">
        <v>2025</v>
      </c>
      <c r="S724" s="15" t="str">
        <f t="shared" si="66"/>
        <v>Low Profit</v>
      </c>
      <c r="T724" s="15" t="str">
        <f t="shared" si="67"/>
        <v>Low Sales</v>
      </c>
      <c r="U724" s="15" t="str">
        <f t="shared" si="68"/>
        <v>Needs Improvement</v>
      </c>
      <c r="V724" s="15" t="str">
        <f t="shared" si="69"/>
        <v>Normal Discount</v>
      </c>
      <c r="W724" s="15">
        <f>VLOOKUP(D724,Lookup_Table!$A:$C,2,FALSE)</f>
        <v>0.16</v>
      </c>
      <c r="X724" s="15">
        <f t="shared" si="70"/>
        <v>0.371266988555079</v>
      </c>
      <c r="Y724" s="15" t="str">
        <f>VLOOKUP(D724,Lookup_Table!A:C,3,0)</f>
        <v>Vikram</v>
      </c>
      <c r="Z724" s="15" t="str">
        <f t="shared" si="71"/>
        <v>Achived</v>
      </c>
    </row>
    <row r="725" spans="1:26">
      <c r="A725" s="13" t="s">
        <v>816</v>
      </c>
      <c r="B725" s="14">
        <v>45865</v>
      </c>
      <c r="C725" s="13" t="s">
        <v>27</v>
      </c>
      <c r="D725" s="13" t="s">
        <v>80</v>
      </c>
      <c r="E725" s="13" t="s">
        <v>101</v>
      </c>
      <c r="F725" s="13" t="s">
        <v>98</v>
      </c>
      <c r="G725" s="13" t="s">
        <v>99</v>
      </c>
      <c r="H725" s="13" t="s">
        <v>77</v>
      </c>
      <c r="I725" s="13" t="s">
        <v>96</v>
      </c>
      <c r="J725" s="13">
        <v>6</v>
      </c>
      <c r="K725" s="13">
        <v>64.85</v>
      </c>
      <c r="L725" s="13">
        <v>0.15</v>
      </c>
      <c r="M725" s="13">
        <v>330.73</v>
      </c>
      <c r="N725" s="13">
        <v>207.9</v>
      </c>
      <c r="O725" s="13">
        <v>122.83</v>
      </c>
      <c r="P725" s="13">
        <v>3.1</v>
      </c>
      <c r="Q725" s="13" t="s">
        <v>56</v>
      </c>
      <c r="R725" s="13">
        <v>2025</v>
      </c>
      <c r="S725" s="15" t="str">
        <f t="shared" si="66"/>
        <v>Low Profit</v>
      </c>
      <c r="T725" s="15" t="str">
        <f t="shared" si="67"/>
        <v>Low Sales</v>
      </c>
      <c r="U725" s="15" t="str">
        <f t="shared" si="68"/>
        <v>Needs Improvement</v>
      </c>
      <c r="V725" s="15" t="str">
        <f t="shared" si="69"/>
        <v>High Discount</v>
      </c>
      <c r="W725" s="15">
        <f>VLOOKUP(D725,Lookup_Table!$A:$C,2,FALSE)</f>
        <v>0.12</v>
      </c>
      <c r="X725" s="15">
        <f t="shared" si="70"/>
        <v>0.371390560275754</v>
      </c>
      <c r="Y725" s="15" t="str">
        <f>VLOOKUP(D725,Lookup_Table!A:C,3,0)</f>
        <v>Rahul</v>
      </c>
      <c r="Z725" s="15" t="str">
        <f t="shared" si="71"/>
        <v>Achived</v>
      </c>
    </row>
    <row r="726" spans="1:26">
      <c r="A726" s="13" t="s">
        <v>817</v>
      </c>
      <c r="B726" s="14">
        <v>45951</v>
      </c>
      <c r="C726" s="13" t="s">
        <v>27</v>
      </c>
      <c r="D726" s="13" t="s">
        <v>80</v>
      </c>
      <c r="E726" s="13" t="s">
        <v>81</v>
      </c>
      <c r="F726" s="13" t="s">
        <v>98</v>
      </c>
      <c r="G726" s="13" t="s">
        <v>99</v>
      </c>
      <c r="H726" s="13" t="s">
        <v>77</v>
      </c>
      <c r="I726" s="13" t="s">
        <v>96</v>
      </c>
      <c r="J726" s="13">
        <v>1</v>
      </c>
      <c r="K726" s="13">
        <v>26.25</v>
      </c>
      <c r="L726" s="13">
        <v>0</v>
      </c>
      <c r="M726" s="13">
        <v>26.25</v>
      </c>
      <c r="N726" s="13">
        <v>16.5</v>
      </c>
      <c r="O726" s="13">
        <v>9.75</v>
      </c>
      <c r="P726" s="13">
        <v>4.5</v>
      </c>
      <c r="Q726" s="13" t="s">
        <v>87</v>
      </c>
      <c r="R726" s="13">
        <v>2025</v>
      </c>
      <c r="S726" s="15" t="str">
        <f t="shared" si="66"/>
        <v>Low Profit</v>
      </c>
      <c r="T726" s="15" t="str">
        <f t="shared" si="67"/>
        <v>Low Sales</v>
      </c>
      <c r="U726" s="15" t="str">
        <f t="shared" si="68"/>
        <v>Good</v>
      </c>
      <c r="V726" s="15" t="str">
        <f t="shared" si="69"/>
        <v>Normal Discount</v>
      </c>
      <c r="W726" s="15">
        <f>VLOOKUP(D726,Lookup_Table!$A:$C,2,FALSE)</f>
        <v>0.12</v>
      </c>
      <c r="X726" s="15">
        <f t="shared" si="70"/>
        <v>0.371428571428571</v>
      </c>
      <c r="Y726" s="15" t="str">
        <f>VLOOKUP(D726,Lookup_Table!A:C,3,0)</f>
        <v>Rahul</v>
      </c>
      <c r="Z726" s="15" t="str">
        <f t="shared" si="71"/>
        <v>Achived</v>
      </c>
    </row>
    <row r="727" spans="1:26">
      <c r="A727" s="13" t="s">
        <v>818</v>
      </c>
      <c r="B727" s="14">
        <v>45823</v>
      </c>
      <c r="C727" s="13" t="s">
        <v>27</v>
      </c>
      <c r="D727" s="13" t="s">
        <v>37</v>
      </c>
      <c r="E727" s="13" t="s">
        <v>93</v>
      </c>
      <c r="F727" s="13" t="s">
        <v>50</v>
      </c>
      <c r="G727" s="13" t="s">
        <v>51</v>
      </c>
      <c r="H727" s="13" t="s">
        <v>32</v>
      </c>
      <c r="I727" s="13" t="s">
        <v>46</v>
      </c>
      <c r="J727" s="13">
        <v>7</v>
      </c>
      <c r="K727" s="13">
        <v>479.64</v>
      </c>
      <c r="L727" s="13">
        <v>0.15</v>
      </c>
      <c r="M727" s="13">
        <v>2853.86</v>
      </c>
      <c r="N727" s="13">
        <v>1791.75</v>
      </c>
      <c r="O727" s="13">
        <v>1062.11</v>
      </c>
      <c r="P727" s="13">
        <v>4.1</v>
      </c>
      <c r="Q727" s="13" t="s">
        <v>58</v>
      </c>
      <c r="R727" s="13">
        <v>2025</v>
      </c>
      <c r="S727" s="15" t="str">
        <f t="shared" si="66"/>
        <v>High Profit</v>
      </c>
      <c r="T727" s="15" t="str">
        <f t="shared" si="67"/>
        <v>High Sales</v>
      </c>
      <c r="U727" s="15" t="str">
        <f t="shared" si="68"/>
        <v>Good</v>
      </c>
      <c r="V727" s="15" t="str">
        <f t="shared" si="69"/>
        <v>High Discount</v>
      </c>
      <c r="W727" s="15">
        <f>VLOOKUP(D727,Lookup_Table!$A:$C,2,FALSE)</f>
        <v>0.16</v>
      </c>
      <c r="X727" s="15">
        <f t="shared" si="70"/>
        <v>0.372166118870582</v>
      </c>
      <c r="Y727" s="15" t="str">
        <f>VLOOKUP(D727,Lookup_Table!A:C,3,0)</f>
        <v>Vikram</v>
      </c>
      <c r="Z727" s="15" t="str">
        <f t="shared" si="71"/>
        <v>Achived</v>
      </c>
    </row>
    <row r="728" spans="1:26">
      <c r="A728" s="13" t="s">
        <v>819</v>
      </c>
      <c r="B728" s="14">
        <v>45732</v>
      </c>
      <c r="C728" s="13" t="s">
        <v>27</v>
      </c>
      <c r="D728" s="13" t="s">
        <v>37</v>
      </c>
      <c r="E728" s="13" t="s">
        <v>86</v>
      </c>
      <c r="F728" s="13" t="s">
        <v>111</v>
      </c>
      <c r="G728" s="13" t="s">
        <v>76</v>
      </c>
      <c r="H728" s="13" t="s">
        <v>77</v>
      </c>
      <c r="I728" s="13" t="s">
        <v>52</v>
      </c>
      <c r="J728" s="13">
        <v>5</v>
      </c>
      <c r="K728" s="13">
        <v>67.64</v>
      </c>
      <c r="L728" s="13">
        <v>0.05</v>
      </c>
      <c r="M728" s="13">
        <v>321.29</v>
      </c>
      <c r="N728" s="13">
        <v>201.49</v>
      </c>
      <c r="O728" s="13">
        <v>119.8</v>
      </c>
      <c r="P728" s="13">
        <v>3.3</v>
      </c>
      <c r="Q728" s="13" t="s">
        <v>94</v>
      </c>
      <c r="R728" s="13">
        <v>2025</v>
      </c>
      <c r="S728" s="15" t="str">
        <f t="shared" si="66"/>
        <v>Low Profit</v>
      </c>
      <c r="T728" s="15" t="str">
        <f t="shared" si="67"/>
        <v>Low Sales</v>
      </c>
      <c r="U728" s="15" t="str">
        <f t="shared" si="68"/>
        <v>Needs Improvement</v>
      </c>
      <c r="V728" s="15" t="str">
        <f t="shared" si="69"/>
        <v>Normal Discount</v>
      </c>
      <c r="W728" s="15">
        <f>VLOOKUP(D728,Lookup_Table!$A:$C,2,FALSE)</f>
        <v>0.16</v>
      </c>
      <c r="X728" s="15">
        <f t="shared" si="70"/>
        <v>0.372871860313113</v>
      </c>
      <c r="Y728" s="15" t="str">
        <f>VLOOKUP(D728,Lookup_Table!A:C,3,0)</f>
        <v>Vikram</v>
      </c>
      <c r="Z728" s="15" t="str">
        <f t="shared" si="71"/>
        <v>Achived</v>
      </c>
    </row>
    <row r="729" spans="1:26">
      <c r="A729" s="13" t="s">
        <v>820</v>
      </c>
      <c r="B729" s="14">
        <v>45987</v>
      </c>
      <c r="C729" s="13" t="s">
        <v>55</v>
      </c>
      <c r="D729" s="13" t="s">
        <v>80</v>
      </c>
      <c r="E729" s="13" t="s">
        <v>191</v>
      </c>
      <c r="F729" s="13" t="s">
        <v>50</v>
      </c>
      <c r="G729" s="13" t="s">
        <v>51</v>
      </c>
      <c r="H729" s="13" t="s">
        <v>32</v>
      </c>
      <c r="I729" s="13" t="s">
        <v>46</v>
      </c>
      <c r="J729" s="13">
        <v>4</v>
      </c>
      <c r="K729" s="13">
        <v>69.83</v>
      </c>
      <c r="L729" s="13">
        <v>0.05</v>
      </c>
      <c r="M729" s="13">
        <v>265.35</v>
      </c>
      <c r="N729" s="13">
        <v>166.4</v>
      </c>
      <c r="O729" s="13">
        <v>98.95</v>
      </c>
      <c r="P729" s="13">
        <v>2.6</v>
      </c>
      <c r="Q729" s="13" t="s">
        <v>71</v>
      </c>
      <c r="R729" s="13">
        <v>2025</v>
      </c>
      <c r="S729" s="15" t="str">
        <f t="shared" si="66"/>
        <v>Low Profit</v>
      </c>
      <c r="T729" s="15" t="str">
        <f t="shared" si="67"/>
        <v>Low Sales</v>
      </c>
      <c r="U729" s="15" t="str">
        <f t="shared" si="68"/>
        <v>Needs Improvement</v>
      </c>
      <c r="V729" s="15" t="str">
        <f t="shared" si="69"/>
        <v>Normal Discount</v>
      </c>
      <c r="W729" s="15">
        <f>VLOOKUP(D729,Lookup_Table!$A:$C,2,FALSE)</f>
        <v>0.12</v>
      </c>
      <c r="X729" s="15">
        <f t="shared" si="70"/>
        <v>0.372903712078387</v>
      </c>
      <c r="Y729" s="15" t="str">
        <f>VLOOKUP(D729,Lookup_Table!A:C,3,0)</f>
        <v>Rahul</v>
      </c>
      <c r="Z729" s="15" t="str">
        <f t="shared" si="71"/>
        <v>Achived</v>
      </c>
    </row>
    <row r="730" spans="1:26">
      <c r="A730" s="13" t="s">
        <v>821</v>
      </c>
      <c r="B730" s="14">
        <v>46021</v>
      </c>
      <c r="C730" s="13" t="s">
        <v>27</v>
      </c>
      <c r="D730" s="13" t="s">
        <v>80</v>
      </c>
      <c r="E730" s="13" t="s">
        <v>191</v>
      </c>
      <c r="F730" s="13" t="s">
        <v>82</v>
      </c>
      <c r="G730" s="13" t="s">
        <v>83</v>
      </c>
      <c r="H730" s="13" t="s">
        <v>77</v>
      </c>
      <c r="I730" s="13" t="s">
        <v>96</v>
      </c>
      <c r="J730" s="13">
        <v>3</v>
      </c>
      <c r="K730" s="13">
        <v>43.61</v>
      </c>
      <c r="L730" s="13">
        <v>0.1</v>
      </c>
      <c r="M730" s="13">
        <v>117.75</v>
      </c>
      <c r="N730" s="13">
        <v>73.83</v>
      </c>
      <c r="O730" s="13">
        <v>43.92</v>
      </c>
      <c r="P730" s="13">
        <v>3.2</v>
      </c>
      <c r="Q730" s="13" t="s">
        <v>34</v>
      </c>
      <c r="R730" s="13">
        <v>2025</v>
      </c>
      <c r="S730" s="15" t="str">
        <f t="shared" si="66"/>
        <v>Low Profit</v>
      </c>
      <c r="T730" s="15" t="str">
        <f t="shared" si="67"/>
        <v>Low Sales</v>
      </c>
      <c r="U730" s="15" t="str">
        <f t="shared" si="68"/>
        <v>Needs Improvement</v>
      </c>
      <c r="V730" s="15" t="str">
        <f t="shared" si="69"/>
        <v>Normal Discount</v>
      </c>
      <c r="W730" s="15">
        <f>VLOOKUP(D730,Lookup_Table!$A:$C,2,FALSE)</f>
        <v>0.12</v>
      </c>
      <c r="X730" s="15">
        <f t="shared" si="70"/>
        <v>0.372993630573248</v>
      </c>
      <c r="Y730" s="15" t="str">
        <f>VLOOKUP(D730,Lookup_Table!A:C,3,0)</f>
        <v>Rahul</v>
      </c>
      <c r="Z730" s="15" t="str">
        <f t="shared" si="71"/>
        <v>Achived</v>
      </c>
    </row>
    <row r="731" spans="1:26">
      <c r="A731" s="13" t="s">
        <v>822</v>
      </c>
      <c r="B731" s="14">
        <v>45903</v>
      </c>
      <c r="C731" s="13" t="s">
        <v>36</v>
      </c>
      <c r="D731" s="13" t="s">
        <v>28</v>
      </c>
      <c r="E731" s="13" t="s">
        <v>90</v>
      </c>
      <c r="F731" s="13" t="s">
        <v>111</v>
      </c>
      <c r="G731" s="13" t="s">
        <v>76</v>
      </c>
      <c r="H731" s="13" t="s">
        <v>77</v>
      </c>
      <c r="I731" s="13" t="s">
        <v>46</v>
      </c>
      <c r="J731" s="13">
        <v>4</v>
      </c>
      <c r="K731" s="13">
        <v>177.15</v>
      </c>
      <c r="L731" s="13">
        <v>0</v>
      </c>
      <c r="M731" s="13">
        <v>708.6</v>
      </c>
      <c r="N731" s="13">
        <v>444.21</v>
      </c>
      <c r="O731" s="13">
        <v>264.39</v>
      </c>
      <c r="P731" s="13">
        <v>2.7</v>
      </c>
      <c r="Q731" s="13" t="s">
        <v>53</v>
      </c>
      <c r="R731" s="13">
        <v>2025</v>
      </c>
      <c r="S731" s="15" t="str">
        <f t="shared" si="66"/>
        <v>Low Profit</v>
      </c>
      <c r="T731" s="15" t="str">
        <f t="shared" si="67"/>
        <v>Low Sales</v>
      </c>
      <c r="U731" s="15" t="str">
        <f t="shared" si="68"/>
        <v>Needs Improvement</v>
      </c>
      <c r="V731" s="15" t="str">
        <f t="shared" si="69"/>
        <v>Normal Discount</v>
      </c>
      <c r="W731" s="15">
        <f>VLOOKUP(D731,Lookup_Table!$A:$C,2,FALSE)</f>
        <v>0.2</v>
      </c>
      <c r="X731" s="15">
        <f t="shared" si="70"/>
        <v>0.37311600338696</v>
      </c>
      <c r="Y731" s="15" t="str">
        <f>VLOOKUP(D731,Lookup_Table!A:C,3,0)</f>
        <v>Sneha</v>
      </c>
      <c r="Z731" s="15" t="str">
        <f t="shared" si="71"/>
        <v>Achived</v>
      </c>
    </row>
    <row r="732" spans="1:26">
      <c r="A732" s="13" t="s">
        <v>823</v>
      </c>
      <c r="B732" s="14">
        <v>45727</v>
      </c>
      <c r="C732" s="13" t="s">
        <v>36</v>
      </c>
      <c r="D732" s="13" t="s">
        <v>37</v>
      </c>
      <c r="E732" s="13" t="s">
        <v>86</v>
      </c>
      <c r="F732" s="13" t="s">
        <v>62</v>
      </c>
      <c r="G732" s="13" t="s">
        <v>63</v>
      </c>
      <c r="H732" s="13" t="s">
        <v>32</v>
      </c>
      <c r="I732" s="13" t="s">
        <v>33</v>
      </c>
      <c r="J732" s="13">
        <v>7</v>
      </c>
      <c r="K732" s="13">
        <v>187.89</v>
      </c>
      <c r="L732" s="13">
        <v>0.1</v>
      </c>
      <c r="M732" s="13">
        <v>1183.71</v>
      </c>
      <c r="N732" s="13">
        <v>741.96</v>
      </c>
      <c r="O732" s="13">
        <v>441.75</v>
      </c>
      <c r="P732" s="13">
        <v>4.6</v>
      </c>
      <c r="Q732" s="13" t="s">
        <v>94</v>
      </c>
      <c r="R732" s="13">
        <v>2025</v>
      </c>
      <c r="S732" s="15" t="str">
        <f t="shared" si="66"/>
        <v>Low Profit</v>
      </c>
      <c r="T732" s="15" t="str">
        <f t="shared" si="67"/>
        <v>High Sales</v>
      </c>
      <c r="U732" s="15" t="str">
        <f t="shared" si="68"/>
        <v>Good</v>
      </c>
      <c r="V732" s="15" t="str">
        <f t="shared" si="69"/>
        <v>Normal Discount</v>
      </c>
      <c r="W732" s="15">
        <f>VLOOKUP(D732,Lookup_Table!$A:$C,2,FALSE)</f>
        <v>0.16</v>
      </c>
      <c r="X732" s="15">
        <f t="shared" si="70"/>
        <v>0.373191068758395</v>
      </c>
      <c r="Y732" s="15" t="str">
        <f>VLOOKUP(D732,Lookup_Table!A:C,3,0)</f>
        <v>Vikram</v>
      </c>
      <c r="Z732" s="15" t="str">
        <f t="shared" si="71"/>
        <v>Achived</v>
      </c>
    </row>
    <row r="733" spans="1:26">
      <c r="A733" s="13" t="s">
        <v>824</v>
      </c>
      <c r="B733" s="14">
        <v>45781</v>
      </c>
      <c r="C733" s="13" t="s">
        <v>55</v>
      </c>
      <c r="D733" s="13" t="s">
        <v>28</v>
      </c>
      <c r="E733" s="13" t="s">
        <v>90</v>
      </c>
      <c r="F733" s="13" t="s">
        <v>111</v>
      </c>
      <c r="G733" s="13" t="s">
        <v>76</v>
      </c>
      <c r="H733" s="13" t="s">
        <v>77</v>
      </c>
      <c r="I733" s="13" t="s">
        <v>33</v>
      </c>
      <c r="J733" s="13">
        <v>5</v>
      </c>
      <c r="K733" s="13">
        <v>77.97</v>
      </c>
      <c r="L733" s="13">
        <v>0.15</v>
      </c>
      <c r="M733" s="13">
        <v>331.37</v>
      </c>
      <c r="N733" s="13">
        <v>207.52</v>
      </c>
      <c r="O733" s="13">
        <v>123.85</v>
      </c>
      <c r="P733" s="13">
        <v>3.4</v>
      </c>
      <c r="Q733" s="13" t="s">
        <v>42</v>
      </c>
      <c r="R733" s="13">
        <v>2025</v>
      </c>
      <c r="S733" s="15" t="str">
        <f t="shared" si="66"/>
        <v>Low Profit</v>
      </c>
      <c r="T733" s="15" t="str">
        <f t="shared" si="67"/>
        <v>Low Sales</v>
      </c>
      <c r="U733" s="15" t="str">
        <f t="shared" si="68"/>
        <v>Needs Improvement</v>
      </c>
      <c r="V733" s="15" t="str">
        <f t="shared" si="69"/>
        <v>High Discount</v>
      </c>
      <c r="W733" s="15">
        <f>VLOOKUP(D733,Lookup_Table!$A:$C,2,FALSE)</f>
        <v>0.2</v>
      </c>
      <c r="X733" s="15">
        <f t="shared" si="70"/>
        <v>0.373751395720795</v>
      </c>
      <c r="Y733" s="15" t="str">
        <f>VLOOKUP(D733,Lookup_Table!A:C,3,0)</f>
        <v>Sneha</v>
      </c>
      <c r="Z733" s="15" t="str">
        <f t="shared" si="71"/>
        <v>Achived</v>
      </c>
    </row>
    <row r="734" spans="1:26">
      <c r="A734" s="13" t="s">
        <v>825</v>
      </c>
      <c r="B734" s="14">
        <v>45845</v>
      </c>
      <c r="C734" s="13" t="s">
        <v>27</v>
      </c>
      <c r="D734" s="13" t="s">
        <v>80</v>
      </c>
      <c r="E734" s="13" t="s">
        <v>101</v>
      </c>
      <c r="F734" s="13" t="s">
        <v>75</v>
      </c>
      <c r="G734" s="13" t="s">
        <v>76</v>
      </c>
      <c r="H734" s="13" t="s">
        <v>77</v>
      </c>
      <c r="I734" s="13" t="s">
        <v>52</v>
      </c>
      <c r="J734" s="13">
        <v>5</v>
      </c>
      <c r="K734" s="13">
        <v>41.04</v>
      </c>
      <c r="L734" s="13">
        <v>0</v>
      </c>
      <c r="M734" s="13">
        <v>205.2</v>
      </c>
      <c r="N734" s="13">
        <v>128.47</v>
      </c>
      <c r="O734" s="13">
        <v>76.73</v>
      </c>
      <c r="P734" s="13">
        <v>4</v>
      </c>
      <c r="Q734" s="13" t="s">
        <v>56</v>
      </c>
      <c r="R734" s="13">
        <v>2025</v>
      </c>
      <c r="S734" s="15" t="str">
        <f t="shared" si="66"/>
        <v>Low Profit</v>
      </c>
      <c r="T734" s="15" t="str">
        <f t="shared" si="67"/>
        <v>Low Sales</v>
      </c>
      <c r="U734" s="15" t="str">
        <f t="shared" si="68"/>
        <v>Good</v>
      </c>
      <c r="V734" s="15" t="str">
        <f t="shared" si="69"/>
        <v>Normal Discount</v>
      </c>
      <c r="W734" s="15">
        <f>VLOOKUP(D734,Lookup_Table!$A:$C,2,FALSE)</f>
        <v>0.12</v>
      </c>
      <c r="X734" s="15">
        <f t="shared" si="70"/>
        <v>0.373927875243665</v>
      </c>
      <c r="Y734" s="15" t="str">
        <f>VLOOKUP(D734,Lookup_Table!A:C,3,0)</f>
        <v>Rahul</v>
      </c>
      <c r="Z734" s="15" t="str">
        <f t="shared" si="71"/>
        <v>Achived</v>
      </c>
    </row>
    <row r="735" spans="1:26">
      <c r="A735" s="13" t="s">
        <v>826</v>
      </c>
      <c r="B735" s="14">
        <v>45717</v>
      </c>
      <c r="C735" s="13" t="s">
        <v>36</v>
      </c>
      <c r="D735" s="13" t="s">
        <v>60</v>
      </c>
      <c r="E735" s="13" t="s">
        <v>150</v>
      </c>
      <c r="F735" s="13" t="s">
        <v>50</v>
      </c>
      <c r="G735" s="13" t="s">
        <v>51</v>
      </c>
      <c r="H735" s="13" t="s">
        <v>32</v>
      </c>
      <c r="I735" s="13" t="s">
        <v>33</v>
      </c>
      <c r="J735" s="13">
        <v>1</v>
      </c>
      <c r="K735" s="13">
        <v>680.68</v>
      </c>
      <c r="L735" s="13">
        <v>0.05</v>
      </c>
      <c r="M735" s="13">
        <v>646.65</v>
      </c>
      <c r="N735" s="13">
        <v>404.69</v>
      </c>
      <c r="O735" s="13">
        <v>241.96</v>
      </c>
      <c r="P735" s="13">
        <v>2.8</v>
      </c>
      <c r="Q735" s="13" t="s">
        <v>94</v>
      </c>
      <c r="R735" s="13">
        <v>2025</v>
      </c>
      <c r="S735" s="15" t="str">
        <f t="shared" si="66"/>
        <v>Low Profit</v>
      </c>
      <c r="T735" s="15" t="str">
        <f t="shared" si="67"/>
        <v>Low Sales</v>
      </c>
      <c r="U735" s="15" t="str">
        <f t="shared" si="68"/>
        <v>Needs Improvement</v>
      </c>
      <c r="V735" s="15" t="str">
        <f t="shared" si="69"/>
        <v>Normal Discount</v>
      </c>
      <c r="W735" s="15">
        <f>VLOOKUP(D735,Lookup_Table!$A:$C,2,FALSE)</f>
        <v>0.15</v>
      </c>
      <c r="X735" s="15">
        <f t="shared" si="70"/>
        <v>0.374174592128663</v>
      </c>
      <c r="Y735" s="15" t="str">
        <f>VLOOKUP(D735,Lookup_Table!A:C,3,0)</f>
        <v>Priya</v>
      </c>
      <c r="Z735" s="15" t="str">
        <f t="shared" si="71"/>
        <v>Achived</v>
      </c>
    </row>
    <row r="736" spans="1:26">
      <c r="A736" s="13" t="s">
        <v>827</v>
      </c>
      <c r="B736" s="14">
        <v>46020</v>
      </c>
      <c r="C736" s="13" t="s">
        <v>55</v>
      </c>
      <c r="D736" s="13" t="s">
        <v>44</v>
      </c>
      <c r="E736" s="13" t="s">
        <v>137</v>
      </c>
      <c r="F736" s="13" t="s">
        <v>30</v>
      </c>
      <c r="G736" s="13" t="s">
        <v>31</v>
      </c>
      <c r="H736" s="13" t="s">
        <v>32</v>
      </c>
      <c r="I736" s="13" t="s">
        <v>96</v>
      </c>
      <c r="J736" s="13">
        <v>7</v>
      </c>
      <c r="K736" s="13">
        <v>1113.93</v>
      </c>
      <c r="L736" s="13">
        <v>0.1</v>
      </c>
      <c r="M736" s="13">
        <v>7017.76</v>
      </c>
      <c r="N736" s="13">
        <v>4391.54</v>
      </c>
      <c r="O736" s="13">
        <v>2626.22</v>
      </c>
      <c r="P736" s="13">
        <v>3.4</v>
      </c>
      <c r="Q736" s="13" t="s">
        <v>34</v>
      </c>
      <c r="R736" s="13">
        <v>2025</v>
      </c>
      <c r="S736" s="15" t="str">
        <f t="shared" si="66"/>
        <v>High Profit</v>
      </c>
      <c r="T736" s="15" t="str">
        <f t="shared" si="67"/>
        <v>High Sales</v>
      </c>
      <c r="U736" s="15" t="str">
        <f t="shared" si="68"/>
        <v>Needs Improvement</v>
      </c>
      <c r="V736" s="15" t="str">
        <f t="shared" si="69"/>
        <v>Normal Discount</v>
      </c>
      <c r="W736" s="15">
        <f>VLOOKUP(D736,Lookup_Table!$A:$C,2,FALSE)</f>
        <v>0.18</v>
      </c>
      <c r="X736" s="15">
        <f t="shared" si="70"/>
        <v>0.374224823875425</v>
      </c>
      <c r="Y736" s="15" t="str">
        <f>VLOOKUP(D736,Lookup_Table!A:C,3,0)</f>
        <v>Amit</v>
      </c>
      <c r="Z736" s="15" t="str">
        <f t="shared" si="71"/>
        <v>Achived</v>
      </c>
    </row>
    <row r="737" spans="1:26">
      <c r="A737" s="13" t="s">
        <v>828</v>
      </c>
      <c r="B737" s="14">
        <v>45884</v>
      </c>
      <c r="C737" s="13" t="s">
        <v>27</v>
      </c>
      <c r="D737" s="13" t="s">
        <v>44</v>
      </c>
      <c r="E737" s="13" t="s">
        <v>45</v>
      </c>
      <c r="F737" s="13" t="s">
        <v>98</v>
      </c>
      <c r="G737" s="13" t="s">
        <v>99</v>
      </c>
      <c r="H737" s="13" t="s">
        <v>77</v>
      </c>
      <c r="I737" s="13" t="s">
        <v>33</v>
      </c>
      <c r="J737" s="13">
        <v>4</v>
      </c>
      <c r="K737" s="13">
        <v>1117.84</v>
      </c>
      <c r="L737" s="13">
        <v>0.15</v>
      </c>
      <c r="M737" s="13">
        <v>3800.66</v>
      </c>
      <c r="N737" s="13">
        <v>2375.96</v>
      </c>
      <c r="O737" s="13">
        <v>1424.7</v>
      </c>
      <c r="P737" s="13">
        <v>4.6</v>
      </c>
      <c r="Q737" s="13" t="s">
        <v>47</v>
      </c>
      <c r="R737" s="13">
        <v>2025</v>
      </c>
      <c r="S737" s="15" t="str">
        <f t="shared" si="66"/>
        <v>High Profit</v>
      </c>
      <c r="T737" s="15" t="str">
        <f t="shared" si="67"/>
        <v>High Sales</v>
      </c>
      <c r="U737" s="15" t="str">
        <f t="shared" si="68"/>
        <v>Good</v>
      </c>
      <c r="V737" s="15" t="str">
        <f t="shared" si="69"/>
        <v>High Discount</v>
      </c>
      <c r="W737" s="15">
        <f>VLOOKUP(D737,Lookup_Table!$A:$C,2,FALSE)</f>
        <v>0.18</v>
      </c>
      <c r="X737" s="15">
        <f t="shared" si="70"/>
        <v>0.374855946072524</v>
      </c>
      <c r="Y737" s="15" t="str">
        <f>VLOOKUP(D737,Lookup_Table!A:C,3,0)</f>
        <v>Amit</v>
      </c>
      <c r="Z737" s="15" t="str">
        <f t="shared" si="71"/>
        <v>Achived</v>
      </c>
    </row>
    <row r="738" spans="1:26">
      <c r="A738" s="13" t="s">
        <v>829</v>
      </c>
      <c r="B738" s="14">
        <v>45747</v>
      </c>
      <c r="C738" s="13" t="s">
        <v>55</v>
      </c>
      <c r="D738" s="13" t="s">
        <v>28</v>
      </c>
      <c r="E738" s="13" t="s">
        <v>49</v>
      </c>
      <c r="F738" s="13" t="s">
        <v>111</v>
      </c>
      <c r="G738" s="13" t="s">
        <v>76</v>
      </c>
      <c r="H738" s="13" t="s">
        <v>77</v>
      </c>
      <c r="I738" s="13" t="s">
        <v>33</v>
      </c>
      <c r="J738" s="13">
        <v>3</v>
      </c>
      <c r="K738" s="13">
        <v>21.57</v>
      </c>
      <c r="L738" s="13">
        <v>0.15</v>
      </c>
      <c r="M738" s="13">
        <v>55</v>
      </c>
      <c r="N738" s="13">
        <v>34.37</v>
      </c>
      <c r="O738" s="13">
        <v>20.63</v>
      </c>
      <c r="P738" s="13">
        <v>4.9</v>
      </c>
      <c r="Q738" s="13" t="s">
        <v>94</v>
      </c>
      <c r="R738" s="13">
        <v>2025</v>
      </c>
      <c r="S738" s="15" t="str">
        <f t="shared" si="66"/>
        <v>Low Profit</v>
      </c>
      <c r="T738" s="15" t="str">
        <f t="shared" si="67"/>
        <v>Low Sales</v>
      </c>
      <c r="U738" s="15" t="str">
        <f t="shared" si="68"/>
        <v>Good</v>
      </c>
      <c r="V738" s="15" t="str">
        <f t="shared" si="69"/>
        <v>High Discount</v>
      </c>
      <c r="W738" s="15">
        <f>VLOOKUP(D738,Lookup_Table!$A:$C,2,FALSE)</f>
        <v>0.2</v>
      </c>
      <c r="X738" s="15">
        <f t="shared" si="70"/>
        <v>0.375090909090909</v>
      </c>
      <c r="Y738" s="15" t="str">
        <f>VLOOKUP(D738,Lookup_Table!A:C,3,0)</f>
        <v>Sneha</v>
      </c>
      <c r="Z738" s="15" t="str">
        <f t="shared" si="71"/>
        <v>Achived</v>
      </c>
    </row>
    <row r="739" spans="1:26">
      <c r="A739" s="13" t="s">
        <v>830</v>
      </c>
      <c r="B739" s="14">
        <v>45685</v>
      </c>
      <c r="C739" s="13" t="s">
        <v>55</v>
      </c>
      <c r="D739" s="13" t="s">
        <v>28</v>
      </c>
      <c r="E739" s="13" t="s">
        <v>49</v>
      </c>
      <c r="F739" s="13" t="s">
        <v>39</v>
      </c>
      <c r="G739" s="13" t="s">
        <v>40</v>
      </c>
      <c r="H739" s="13" t="s">
        <v>41</v>
      </c>
      <c r="I739" s="13" t="s">
        <v>46</v>
      </c>
      <c r="J739" s="13">
        <v>7</v>
      </c>
      <c r="K739" s="13">
        <v>51.1</v>
      </c>
      <c r="L739" s="13">
        <v>0.1</v>
      </c>
      <c r="M739" s="13">
        <v>321.93</v>
      </c>
      <c r="N739" s="13">
        <v>201.1</v>
      </c>
      <c r="O739" s="13">
        <v>120.83</v>
      </c>
      <c r="P739" s="13">
        <v>3.9</v>
      </c>
      <c r="Q739" s="13" t="s">
        <v>64</v>
      </c>
      <c r="R739" s="13">
        <v>2025</v>
      </c>
      <c r="S739" s="15" t="str">
        <f t="shared" si="66"/>
        <v>Low Profit</v>
      </c>
      <c r="T739" s="15" t="str">
        <f t="shared" si="67"/>
        <v>Low Sales</v>
      </c>
      <c r="U739" s="15" t="str">
        <f t="shared" si="68"/>
        <v>Needs Improvement</v>
      </c>
      <c r="V739" s="15" t="str">
        <f t="shared" si="69"/>
        <v>Normal Discount</v>
      </c>
      <c r="W739" s="15">
        <f>VLOOKUP(D739,Lookup_Table!$A:$C,2,FALSE)</f>
        <v>0.2</v>
      </c>
      <c r="X739" s="15">
        <f t="shared" si="70"/>
        <v>0.375330040692076</v>
      </c>
      <c r="Y739" s="15" t="str">
        <f>VLOOKUP(D739,Lookup_Table!A:C,3,0)</f>
        <v>Sneha</v>
      </c>
      <c r="Z739" s="15" t="str">
        <f t="shared" si="71"/>
        <v>Achived</v>
      </c>
    </row>
    <row r="740" spans="1:26">
      <c r="A740" s="13" t="s">
        <v>831</v>
      </c>
      <c r="B740" s="14">
        <v>45966</v>
      </c>
      <c r="C740" s="13" t="s">
        <v>27</v>
      </c>
      <c r="D740" s="13" t="s">
        <v>80</v>
      </c>
      <c r="E740" s="13" t="s">
        <v>81</v>
      </c>
      <c r="F740" s="13" t="s">
        <v>50</v>
      </c>
      <c r="G740" s="13" t="s">
        <v>51</v>
      </c>
      <c r="H740" s="13" t="s">
        <v>32</v>
      </c>
      <c r="I740" s="13" t="s">
        <v>52</v>
      </c>
      <c r="J740" s="13">
        <v>2</v>
      </c>
      <c r="K740" s="13">
        <v>74.71</v>
      </c>
      <c r="L740" s="13">
        <v>0</v>
      </c>
      <c r="M740" s="13">
        <v>149.42</v>
      </c>
      <c r="N740" s="13">
        <v>93.26</v>
      </c>
      <c r="O740" s="13">
        <v>56.16</v>
      </c>
      <c r="P740" s="13">
        <v>4.9</v>
      </c>
      <c r="Q740" s="13" t="s">
        <v>71</v>
      </c>
      <c r="R740" s="13">
        <v>2025</v>
      </c>
      <c r="S740" s="15" t="str">
        <f t="shared" si="66"/>
        <v>Low Profit</v>
      </c>
      <c r="T740" s="15" t="str">
        <f t="shared" si="67"/>
        <v>Low Sales</v>
      </c>
      <c r="U740" s="15" t="str">
        <f t="shared" si="68"/>
        <v>Good</v>
      </c>
      <c r="V740" s="15" t="str">
        <f t="shared" si="69"/>
        <v>Normal Discount</v>
      </c>
      <c r="W740" s="15">
        <f>VLOOKUP(D740,Lookup_Table!$A:$C,2,FALSE)</f>
        <v>0.12</v>
      </c>
      <c r="X740" s="15">
        <f t="shared" si="70"/>
        <v>0.375853299424441</v>
      </c>
      <c r="Y740" s="15" t="str">
        <f>VLOOKUP(D740,Lookup_Table!A:C,3,0)</f>
        <v>Rahul</v>
      </c>
      <c r="Z740" s="15" t="str">
        <f t="shared" si="71"/>
        <v>Achived</v>
      </c>
    </row>
    <row r="741" spans="1:26">
      <c r="A741" s="13" t="s">
        <v>832</v>
      </c>
      <c r="B741" s="14">
        <v>45865</v>
      </c>
      <c r="C741" s="13" t="s">
        <v>27</v>
      </c>
      <c r="D741" s="13" t="s">
        <v>60</v>
      </c>
      <c r="E741" s="13" t="s">
        <v>150</v>
      </c>
      <c r="F741" s="13" t="s">
        <v>82</v>
      </c>
      <c r="G741" s="13" t="s">
        <v>83</v>
      </c>
      <c r="H741" s="13" t="s">
        <v>77</v>
      </c>
      <c r="I741" s="13" t="s">
        <v>46</v>
      </c>
      <c r="J741" s="13">
        <v>4</v>
      </c>
      <c r="K741" s="13">
        <v>464.95</v>
      </c>
      <c r="L741" s="13">
        <v>0.1</v>
      </c>
      <c r="M741" s="13">
        <v>1673.82</v>
      </c>
      <c r="N741" s="13">
        <v>1044.61</v>
      </c>
      <c r="O741" s="13">
        <v>629.21</v>
      </c>
      <c r="P741" s="13">
        <v>3.1</v>
      </c>
      <c r="Q741" s="13" t="s">
        <v>56</v>
      </c>
      <c r="R741" s="13">
        <v>2025</v>
      </c>
      <c r="S741" s="15" t="str">
        <f t="shared" si="66"/>
        <v>High Profit</v>
      </c>
      <c r="T741" s="15" t="str">
        <f t="shared" si="67"/>
        <v>High Sales</v>
      </c>
      <c r="U741" s="15" t="str">
        <f t="shared" si="68"/>
        <v>Needs Improvement</v>
      </c>
      <c r="V741" s="15" t="str">
        <f t="shared" si="69"/>
        <v>Normal Discount</v>
      </c>
      <c r="W741" s="15">
        <f>VLOOKUP(D741,Lookup_Table!$A:$C,2,FALSE)</f>
        <v>0.15</v>
      </c>
      <c r="X741" s="15">
        <f t="shared" si="70"/>
        <v>0.375912583192936</v>
      </c>
      <c r="Y741" s="15" t="str">
        <f>VLOOKUP(D741,Lookup_Table!A:C,3,0)</f>
        <v>Priya</v>
      </c>
      <c r="Z741" s="15" t="str">
        <f t="shared" si="71"/>
        <v>Achived</v>
      </c>
    </row>
    <row r="742" spans="1:26">
      <c r="A742" s="13" t="s">
        <v>833</v>
      </c>
      <c r="B742" s="14">
        <v>45882</v>
      </c>
      <c r="C742" s="13" t="s">
        <v>27</v>
      </c>
      <c r="D742" s="13" t="s">
        <v>37</v>
      </c>
      <c r="E742" s="13" t="s">
        <v>38</v>
      </c>
      <c r="F742" s="13" t="s">
        <v>62</v>
      </c>
      <c r="G742" s="13" t="s">
        <v>63</v>
      </c>
      <c r="H742" s="13" t="s">
        <v>32</v>
      </c>
      <c r="I742" s="13" t="s">
        <v>33</v>
      </c>
      <c r="J742" s="13">
        <v>3</v>
      </c>
      <c r="K742" s="13">
        <v>494.7</v>
      </c>
      <c r="L742" s="13">
        <v>0.1</v>
      </c>
      <c r="M742" s="13">
        <v>1335.69</v>
      </c>
      <c r="N742" s="13">
        <v>833.2</v>
      </c>
      <c r="O742" s="13">
        <v>502.49</v>
      </c>
      <c r="P742" s="13">
        <v>2.8</v>
      </c>
      <c r="Q742" s="13" t="s">
        <v>47</v>
      </c>
      <c r="R742" s="13">
        <v>2025</v>
      </c>
      <c r="S742" s="15" t="str">
        <f t="shared" si="66"/>
        <v>High Profit</v>
      </c>
      <c r="T742" s="15" t="str">
        <f t="shared" si="67"/>
        <v>High Sales</v>
      </c>
      <c r="U742" s="15" t="str">
        <f t="shared" si="68"/>
        <v>Needs Improvement</v>
      </c>
      <c r="V742" s="15" t="str">
        <f t="shared" si="69"/>
        <v>Normal Discount</v>
      </c>
      <c r="W742" s="15">
        <f>VLOOKUP(D742,Lookup_Table!$A:$C,2,FALSE)</f>
        <v>0.16</v>
      </c>
      <c r="X742" s="15">
        <f t="shared" si="70"/>
        <v>0.376202561971715</v>
      </c>
      <c r="Y742" s="15" t="str">
        <f>VLOOKUP(D742,Lookup_Table!A:C,3,0)</f>
        <v>Vikram</v>
      </c>
      <c r="Z742" s="15" t="str">
        <f t="shared" si="71"/>
        <v>Achived</v>
      </c>
    </row>
    <row r="743" spans="1:26">
      <c r="A743" s="13" t="s">
        <v>834</v>
      </c>
      <c r="B743" s="14">
        <v>45900</v>
      </c>
      <c r="C743" s="13" t="s">
        <v>55</v>
      </c>
      <c r="D743" s="13" t="s">
        <v>60</v>
      </c>
      <c r="E743" s="13" t="s">
        <v>127</v>
      </c>
      <c r="F743" s="13" t="s">
        <v>98</v>
      </c>
      <c r="G743" s="13" t="s">
        <v>99</v>
      </c>
      <c r="H743" s="13" t="s">
        <v>77</v>
      </c>
      <c r="I743" s="13" t="s">
        <v>33</v>
      </c>
      <c r="J743" s="13">
        <v>2</v>
      </c>
      <c r="K743" s="13">
        <v>122.22</v>
      </c>
      <c r="L743" s="13">
        <v>0</v>
      </c>
      <c r="M743" s="13">
        <v>244.44</v>
      </c>
      <c r="N743" s="13">
        <v>152.43</v>
      </c>
      <c r="O743" s="13">
        <v>92.01</v>
      </c>
      <c r="P743" s="13">
        <v>3.1</v>
      </c>
      <c r="Q743" s="13" t="s">
        <v>47</v>
      </c>
      <c r="R743" s="13">
        <v>2025</v>
      </c>
      <c r="S743" s="15" t="str">
        <f t="shared" si="66"/>
        <v>Low Profit</v>
      </c>
      <c r="T743" s="15" t="str">
        <f t="shared" si="67"/>
        <v>Low Sales</v>
      </c>
      <c r="U743" s="15" t="str">
        <f t="shared" si="68"/>
        <v>Needs Improvement</v>
      </c>
      <c r="V743" s="15" t="str">
        <f t="shared" si="69"/>
        <v>Normal Discount</v>
      </c>
      <c r="W743" s="15">
        <f>VLOOKUP(D743,Lookup_Table!$A:$C,2,FALSE)</f>
        <v>0.15</v>
      </c>
      <c r="X743" s="15">
        <f t="shared" si="70"/>
        <v>0.376411389297987</v>
      </c>
      <c r="Y743" s="15" t="str">
        <f>VLOOKUP(D743,Lookup_Table!A:C,3,0)</f>
        <v>Priya</v>
      </c>
      <c r="Z743" s="15" t="str">
        <f t="shared" si="71"/>
        <v>Achived</v>
      </c>
    </row>
    <row r="744" spans="1:26">
      <c r="A744" s="13" t="s">
        <v>835</v>
      </c>
      <c r="B744" s="14">
        <v>45906</v>
      </c>
      <c r="C744" s="13" t="s">
        <v>27</v>
      </c>
      <c r="D744" s="13" t="s">
        <v>60</v>
      </c>
      <c r="E744" s="13" t="s">
        <v>150</v>
      </c>
      <c r="F744" s="13" t="s">
        <v>67</v>
      </c>
      <c r="G744" s="13" t="s">
        <v>68</v>
      </c>
      <c r="H744" s="13" t="s">
        <v>69</v>
      </c>
      <c r="I744" s="13" t="s">
        <v>33</v>
      </c>
      <c r="J744" s="13">
        <v>6</v>
      </c>
      <c r="K744" s="13">
        <v>484.45</v>
      </c>
      <c r="L744" s="13">
        <v>0.1</v>
      </c>
      <c r="M744" s="13">
        <v>2616.03</v>
      </c>
      <c r="N744" s="13">
        <v>1630.87</v>
      </c>
      <c r="O744" s="13">
        <v>985.16</v>
      </c>
      <c r="P744" s="13">
        <v>3</v>
      </c>
      <c r="Q744" s="13" t="s">
        <v>53</v>
      </c>
      <c r="R744" s="13">
        <v>2025</v>
      </c>
      <c r="S744" s="15" t="str">
        <f t="shared" si="66"/>
        <v>High Profit</v>
      </c>
      <c r="T744" s="15" t="str">
        <f t="shared" si="67"/>
        <v>High Sales</v>
      </c>
      <c r="U744" s="15" t="str">
        <f t="shared" si="68"/>
        <v>Needs Improvement</v>
      </c>
      <c r="V744" s="15" t="str">
        <f t="shared" si="69"/>
        <v>Normal Discount</v>
      </c>
      <c r="W744" s="15">
        <f>VLOOKUP(D744,Lookup_Table!$A:$C,2,FALSE)</f>
        <v>0.15</v>
      </c>
      <c r="X744" s="15">
        <f t="shared" si="70"/>
        <v>0.376585895421689</v>
      </c>
      <c r="Y744" s="15" t="str">
        <f>VLOOKUP(D744,Lookup_Table!A:C,3,0)</f>
        <v>Priya</v>
      </c>
      <c r="Z744" s="15" t="str">
        <f t="shared" si="71"/>
        <v>Achived</v>
      </c>
    </row>
    <row r="745" spans="1:26">
      <c r="A745" s="13" t="s">
        <v>836</v>
      </c>
      <c r="B745" s="14">
        <v>45907</v>
      </c>
      <c r="C745" s="13" t="s">
        <v>27</v>
      </c>
      <c r="D745" s="13" t="s">
        <v>80</v>
      </c>
      <c r="E745" s="13" t="s">
        <v>81</v>
      </c>
      <c r="F745" s="13" t="s">
        <v>39</v>
      </c>
      <c r="G745" s="13" t="s">
        <v>40</v>
      </c>
      <c r="H745" s="13" t="s">
        <v>41</v>
      </c>
      <c r="I745" s="13" t="s">
        <v>52</v>
      </c>
      <c r="J745" s="13">
        <v>2</v>
      </c>
      <c r="K745" s="13">
        <v>6.04</v>
      </c>
      <c r="L745" s="13">
        <v>0</v>
      </c>
      <c r="M745" s="13">
        <v>12.08</v>
      </c>
      <c r="N745" s="13">
        <v>7.53</v>
      </c>
      <c r="O745" s="13">
        <v>4.55</v>
      </c>
      <c r="P745" s="13">
        <v>3.7</v>
      </c>
      <c r="Q745" s="13" t="s">
        <v>53</v>
      </c>
      <c r="R745" s="13">
        <v>2025</v>
      </c>
      <c r="S745" s="15" t="str">
        <f t="shared" si="66"/>
        <v>Low Profit</v>
      </c>
      <c r="T745" s="15" t="str">
        <f t="shared" si="67"/>
        <v>Low Sales</v>
      </c>
      <c r="U745" s="15" t="str">
        <f t="shared" si="68"/>
        <v>Needs Improvement</v>
      </c>
      <c r="V745" s="15" t="str">
        <f t="shared" si="69"/>
        <v>Normal Discount</v>
      </c>
      <c r="W745" s="15">
        <f>VLOOKUP(D745,Lookup_Table!$A:$C,2,FALSE)</f>
        <v>0.12</v>
      </c>
      <c r="X745" s="15">
        <f t="shared" si="70"/>
        <v>0.376655629139073</v>
      </c>
      <c r="Y745" s="15" t="str">
        <f>VLOOKUP(D745,Lookup_Table!A:C,3,0)</f>
        <v>Rahul</v>
      </c>
      <c r="Z745" s="15" t="str">
        <f t="shared" si="71"/>
        <v>Achived</v>
      </c>
    </row>
    <row r="746" spans="1:26">
      <c r="A746" s="13" t="s">
        <v>837</v>
      </c>
      <c r="B746" s="14">
        <v>45935</v>
      </c>
      <c r="C746" s="13" t="s">
        <v>36</v>
      </c>
      <c r="D746" s="13" t="s">
        <v>80</v>
      </c>
      <c r="E746" s="13" t="s">
        <v>115</v>
      </c>
      <c r="F746" s="13" t="s">
        <v>82</v>
      </c>
      <c r="G746" s="13" t="s">
        <v>83</v>
      </c>
      <c r="H746" s="13" t="s">
        <v>77</v>
      </c>
      <c r="I746" s="13" t="s">
        <v>96</v>
      </c>
      <c r="J746" s="13">
        <v>7</v>
      </c>
      <c r="K746" s="13">
        <v>76.72</v>
      </c>
      <c r="L746" s="13">
        <v>0</v>
      </c>
      <c r="M746" s="13">
        <v>537.04</v>
      </c>
      <c r="N746" s="13">
        <v>334.32</v>
      </c>
      <c r="O746" s="13">
        <v>202.72</v>
      </c>
      <c r="P746" s="13">
        <v>3</v>
      </c>
      <c r="Q746" s="13" t="s">
        <v>87</v>
      </c>
      <c r="R746" s="13">
        <v>2025</v>
      </c>
      <c r="S746" s="15" t="str">
        <f t="shared" si="66"/>
        <v>Low Profit</v>
      </c>
      <c r="T746" s="15" t="str">
        <f t="shared" si="67"/>
        <v>Low Sales</v>
      </c>
      <c r="U746" s="15" t="str">
        <f t="shared" si="68"/>
        <v>Needs Improvement</v>
      </c>
      <c r="V746" s="15" t="str">
        <f t="shared" si="69"/>
        <v>Normal Discount</v>
      </c>
      <c r="W746" s="15">
        <f>VLOOKUP(D746,Lookup_Table!$A:$C,2,FALSE)</f>
        <v>0.12</v>
      </c>
      <c r="X746" s="15">
        <f t="shared" si="70"/>
        <v>0.37747653806048</v>
      </c>
      <c r="Y746" s="15" t="str">
        <f>VLOOKUP(D746,Lookup_Table!A:C,3,0)</f>
        <v>Rahul</v>
      </c>
      <c r="Z746" s="15" t="str">
        <f t="shared" si="71"/>
        <v>Achived</v>
      </c>
    </row>
    <row r="747" spans="1:26">
      <c r="A747" s="13" t="s">
        <v>838</v>
      </c>
      <c r="B747" s="14">
        <v>45720</v>
      </c>
      <c r="C747" s="13" t="s">
        <v>55</v>
      </c>
      <c r="D747" s="13" t="s">
        <v>44</v>
      </c>
      <c r="E747" s="13" t="s">
        <v>104</v>
      </c>
      <c r="F747" s="13" t="s">
        <v>50</v>
      </c>
      <c r="G747" s="13" t="s">
        <v>51</v>
      </c>
      <c r="H747" s="13" t="s">
        <v>32</v>
      </c>
      <c r="I747" s="13" t="s">
        <v>46</v>
      </c>
      <c r="J747" s="13">
        <v>1</v>
      </c>
      <c r="K747" s="13">
        <v>164.66</v>
      </c>
      <c r="L747" s="13">
        <v>0</v>
      </c>
      <c r="M747" s="13">
        <v>164.66</v>
      </c>
      <c r="N747" s="13">
        <v>102.49</v>
      </c>
      <c r="O747" s="13">
        <v>62.17</v>
      </c>
      <c r="P747" s="13">
        <v>3.7</v>
      </c>
      <c r="Q747" s="13" t="s">
        <v>94</v>
      </c>
      <c r="R747" s="13">
        <v>2025</v>
      </c>
      <c r="S747" s="15" t="str">
        <f t="shared" si="66"/>
        <v>Low Profit</v>
      </c>
      <c r="T747" s="15" t="str">
        <f t="shared" si="67"/>
        <v>Low Sales</v>
      </c>
      <c r="U747" s="15" t="str">
        <f t="shared" si="68"/>
        <v>Needs Improvement</v>
      </c>
      <c r="V747" s="15" t="str">
        <f t="shared" si="69"/>
        <v>Normal Discount</v>
      </c>
      <c r="W747" s="15">
        <f>VLOOKUP(D747,Lookup_Table!$A:$C,2,FALSE)</f>
        <v>0.18</v>
      </c>
      <c r="X747" s="15">
        <f t="shared" si="70"/>
        <v>0.377565893356006</v>
      </c>
      <c r="Y747" s="15" t="str">
        <f>VLOOKUP(D747,Lookup_Table!A:C,3,0)</f>
        <v>Amit</v>
      </c>
      <c r="Z747" s="15" t="str">
        <f t="shared" si="71"/>
        <v>Achived</v>
      </c>
    </row>
    <row r="748" spans="1:26">
      <c r="A748" s="13" t="s">
        <v>839</v>
      </c>
      <c r="B748" s="14">
        <v>45857</v>
      </c>
      <c r="C748" s="13" t="s">
        <v>55</v>
      </c>
      <c r="D748" s="13" t="s">
        <v>60</v>
      </c>
      <c r="E748" s="13" t="s">
        <v>61</v>
      </c>
      <c r="F748" s="13" t="s">
        <v>116</v>
      </c>
      <c r="G748" s="13" t="s">
        <v>117</v>
      </c>
      <c r="H748" s="13" t="s">
        <v>32</v>
      </c>
      <c r="I748" s="13" t="s">
        <v>46</v>
      </c>
      <c r="J748" s="13">
        <v>4</v>
      </c>
      <c r="K748" s="13">
        <v>729.28</v>
      </c>
      <c r="L748" s="13">
        <v>0.1</v>
      </c>
      <c r="M748" s="13">
        <v>2625.41</v>
      </c>
      <c r="N748" s="13">
        <v>1633.99</v>
      </c>
      <c r="O748" s="13">
        <v>991.42</v>
      </c>
      <c r="P748" s="13">
        <v>4.2</v>
      </c>
      <c r="Q748" s="13" t="s">
        <v>56</v>
      </c>
      <c r="R748" s="13">
        <v>2025</v>
      </c>
      <c r="S748" s="15" t="str">
        <f t="shared" si="66"/>
        <v>High Profit</v>
      </c>
      <c r="T748" s="15" t="str">
        <f t="shared" si="67"/>
        <v>High Sales</v>
      </c>
      <c r="U748" s="15" t="str">
        <f t="shared" si="68"/>
        <v>Good</v>
      </c>
      <c r="V748" s="15" t="str">
        <f t="shared" si="69"/>
        <v>Normal Discount</v>
      </c>
      <c r="W748" s="15">
        <f>VLOOKUP(D748,Lookup_Table!$A:$C,2,FALSE)</f>
        <v>0.15</v>
      </c>
      <c r="X748" s="15">
        <f t="shared" si="70"/>
        <v>0.377624828122084</v>
      </c>
      <c r="Y748" s="15" t="str">
        <f>VLOOKUP(D748,Lookup_Table!A:C,3,0)</f>
        <v>Priya</v>
      </c>
      <c r="Z748" s="15" t="str">
        <f t="shared" si="71"/>
        <v>Achived</v>
      </c>
    </row>
    <row r="749" spans="1:26">
      <c r="A749" s="13" t="s">
        <v>840</v>
      </c>
      <c r="B749" s="14">
        <v>45764</v>
      </c>
      <c r="C749" s="13" t="s">
        <v>36</v>
      </c>
      <c r="D749" s="13" t="s">
        <v>44</v>
      </c>
      <c r="E749" s="13" t="s">
        <v>143</v>
      </c>
      <c r="F749" s="13" t="s">
        <v>82</v>
      </c>
      <c r="G749" s="13" t="s">
        <v>83</v>
      </c>
      <c r="H749" s="13" t="s">
        <v>77</v>
      </c>
      <c r="I749" s="13" t="s">
        <v>52</v>
      </c>
      <c r="J749" s="13">
        <v>6</v>
      </c>
      <c r="K749" s="13">
        <v>1042.12</v>
      </c>
      <c r="L749" s="13">
        <v>0.1</v>
      </c>
      <c r="M749" s="13">
        <v>5627.45</v>
      </c>
      <c r="N749" s="13">
        <v>3501.48</v>
      </c>
      <c r="O749" s="13">
        <v>2125.97</v>
      </c>
      <c r="P749" s="13">
        <v>3.1</v>
      </c>
      <c r="Q749" s="13" t="s">
        <v>84</v>
      </c>
      <c r="R749" s="13">
        <v>2025</v>
      </c>
      <c r="S749" s="15" t="str">
        <f t="shared" si="66"/>
        <v>High Profit</v>
      </c>
      <c r="T749" s="15" t="str">
        <f t="shared" si="67"/>
        <v>High Sales</v>
      </c>
      <c r="U749" s="15" t="str">
        <f t="shared" si="68"/>
        <v>Needs Improvement</v>
      </c>
      <c r="V749" s="15" t="str">
        <f t="shared" si="69"/>
        <v>Normal Discount</v>
      </c>
      <c r="W749" s="15">
        <f>VLOOKUP(D749,Lookup_Table!$A:$C,2,FALSE)</f>
        <v>0.18</v>
      </c>
      <c r="X749" s="15">
        <f t="shared" si="70"/>
        <v>0.377785675572417</v>
      </c>
      <c r="Y749" s="15" t="str">
        <f>VLOOKUP(D749,Lookup_Table!A:C,3,0)</f>
        <v>Amit</v>
      </c>
      <c r="Z749" s="15" t="str">
        <f t="shared" si="71"/>
        <v>Achived</v>
      </c>
    </row>
    <row r="750" spans="1:26">
      <c r="A750" s="13" t="s">
        <v>841</v>
      </c>
      <c r="B750" s="14">
        <v>45889</v>
      </c>
      <c r="C750" s="13" t="s">
        <v>55</v>
      </c>
      <c r="D750" s="13" t="s">
        <v>28</v>
      </c>
      <c r="E750" s="13" t="s">
        <v>29</v>
      </c>
      <c r="F750" s="13" t="s">
        <v>82</v>
      </c>
      <c r="G750" s="13" t="s">
        <v>83</v>
      </c>
      <c r="H750" s="13" t="s">
        <v>77</v>
      </c>
      <c r="I750" s="13" t="s">
        <v>52</v>
      </c>
      <c r="J750" s="13">
        <v>2</v>
      </c>
      <c r="K750" s="13">
        <v>105.24</v>
      </c>
      <c r="L750" s="13">
        <v>0.1</v>
      </c>
      <c r="M750" s="13">
        <v>189.43</v>
      </c>
      <c r="N750" s="13">
        <v>117.82</v>
      </c>
      <c r="O750" s="13">
        <v>71.61</v>
      </c>
      <c r="P750" s="13">
        <v>3.2</v>
      </c>
      <c r="Q750" s="13" t="s">
        <v>47</v>
      </c>
      <c r="R750" s="13">
        <v>2025</v>
      </c>
      <c r="S750" s="15" t="str">
        <f t="shared" si="66"/>
        <v>Low Profit</v>
      </c>
      <c r="T750" s="15" t="str">
        <f t="shared" si="67"/>
        <v>Low Sales</v>
      </c>
      <c r="U750" s="15" t="str">
        <f t="shared" si="68"/>
        <v>Needs Improvement</v>
      </c>
      <c r="V750" s="15" t="str">
        <f t="shared" si="69"/>
        <v>Normal Discount</v>
      </c>
      <c r="W750" s="15">
        <f>VLOOKUP(D750,Lookup_Table!$A:$C,2,FALSE)</f>
        <v>0.2</v>
      </c>
      <c r="X750" s="15">
        <f t="shared" si="70"/>
        <v>0.378028823312041</v>
      </c>
      <c r="Y750" s="15" t="str">
        <f>VLOOKUP(D750,Lookup_Table!A:C,3,0)</f>
        <v>Sneha</v>
      </c>
      <c r="Z750" s="15" t="str">
        <f t="shared" si="71"/>
        <v>Achived</v>
      </c>
    </row>
    <row r="751" spans="1:26">
      <c r="A751" s="13" t="s">
        <v>842</v>
      </c>
      <c r="B751" s="14">
        <v>45988</v>
      </c>
      <c r="C751" s="13" t="s">
        <v>55</v>
      </c>
      <c r="D751" s="13" t="s">
        <v>60</v>
      </c>
      <c r="E751" s="13" t="s">
        <v>150</v>
      </c>
      <c r="F751" s="13" t="s">
        <v>30</v>
      </c>
      <c r="G751" s="13" t="s">
        <v>31</v>
      </c>
      <c r="H751" s="13" t="s">
        <v>32</v>
      </c>
      <c r="I751" s="13" t="s">
        <v>52</v>
      </c>
      <c r="J751" s="13">
        <v>2</v>
      </c>
      <c r="K751" s="13">
        <v>353.44</v>
      </c>
      <c r="L751" s="13">
        <v>0.1</v>
      </c>
      <c r="M751" s="13">
        <v>636.19</v>
      </c>
      <c r="N751" s="13">
        <v>395.56</v>
      </c>
      <c r="O751" s="13">
        <v>240.63</v>
      </c>
      <c r="P751" s="13">
        <v>4.8</v>
      </c>
      <c r="Q751" s="13" t="s">
        <v>71</v>
      </c>
      <c r="R751" s="13">
        <v>2025</v>
      </c>
      <c r="S751" s="15" t="str">
        <f t="shared" si="66"/>
        <v>Low Profit</v>
      </c>
      <c r="T751" s="15" t="str">
        <f t="shared" si="67"/>
        <v>Low Sales</v>
      </c>
      <c r="U751" s="15" t="str">
        <f t="shared" si="68"/>
        <v>Good</v>
      </c>
      <c r="V751" s="15" t="str">
        <f t="shared" si="69"/>
        <v>Normal Discount</v>
      </c>
      <c r="W751" s="15">
        <f>VLOOKUP(D751,Lookup_Table!$A:$C,2,FALSE)</f>
        <v>0.15</v>
      </c>
      <c r="X751" s="15">
        <f t="shared" si="70"/>
        <v>0.378236061553938</v>
      </c>
      <c r="Y751" s="15" t="str">
        <f>VLOOKUP(D751,Lookup_Table!A:C,3,0)</f>
        <v>Priya</v>
      </c>
      <c r="Z751" s="15" t="str">
        <f t="shared" si="71"/>
        <v>Achived</v>
      </c>
    </row>
    <row r="752" spans="1:26">
      <c r="A752" s="13" t="s">
        <v>843</v>
      </c>
      <c r="B752" s="14">
        <v>45700</v>
      </c>
      <c r="C752" s="13" t="s">
        <v>55</v>
      </c>
      <c r="D752" s="13" t="s">
        <v>44</v>
      </c>
      <c r="E752" s="13" t="s">
        <v>143</v>
      </c>
      <c r="F752" s="13" t="s">
        <v>62</v>
      </c>
      <c r="G752" s="13" t="s">
        <v>63</v>
      </c>
      <c r="H752" s="13" t="s">
        <v>32</v>
      </c>
      <c r="I752" s="13" t="s">
        <v>96</v>
      </c>
      <c r="J752" s="13">
        <v>1</v>
      </c>
      <c r="K752" s="13">
        <v>366.55</v>
      </c>
      <c r="L752" s="13">
        <v>0.1</v>
      </c>
      <c r="M752" s="13">
        <v>329.9</v>
      </c>
      <c r="N752" s="13">
        <v>204.91</v>
      </c>
      <c r="O752" s="13">
        <v>124.99</v>
      </c>
      <c r="P752" s="13">
        <v>4.2</v>
      </c>
      <c r="Q752" s="13" t="s">
        <v>105</v>
      </c>
      <c r="R752" s="13">
        <v>2025</v>
      </c>
      <c r="S752" s="15" t="str">
        <f t="shared" si="66"/>
        <v>Low Profit</v>
      </c>
      <c r="T752" s="15" t="str">
        <f t="shared" si="67"/>
        <v>Low Sales</v>
      </c>
      <c r="U752" s="15" t="str">
        <f t="shared" si="68"/>
        <v>Good</v>
      </c>
      <c r="V752" s="15" t="str">
        <f t="shared" si="69"/>
        <v>Normal Discount</v>
      </c>
      <c r="W752" s="15">
        <f>VLOOKUP(D752,Lookup_Table!$A:$C,2,FALSE)</f>
        <v>0.18</v>
      </c>
      <c r="X752" s="15">
        <f t="shared" si="70"/>
        <v>0.378872385571385</v>
      </c>
      <c r="Y752" s="15" t="str">
        <f>VLOOKUP(D752,Lookup_Table!A:C,3,0)</f>
        <v>Amit</v>
      </c>
      <c r="Z752" s="15" t="str">
        <f t="shared" si="71"/>
        <v>Achived</v>
      </c>
    </row>
    <row r="753" spans="1:26">
      <c r="A753" s="13" t="s">
        <v>844</v>
      </c>
      <c r="B753" s="14">
        <v>45723</v>
      </c>
      <c r="C753" s="13" t="s">
        <v>55</v>
      </c>
      <c r="D753" s="13" t="s">
        <v>37</v>
      </c>
      <c r="E753" s="13" t="s">
        <v>38</v>
      </c>
      <c r="F753" s="13" t="s">
        <v>67</v>
      </c>
      <c r="G753" s="13" t="s">
        <v>68</v>
      </c>
      <c r="H753" s="13" t="s">
        <v>69</v>
      </c>
      <c r="I753" s="13" t="s">
        <v>46</v>
      </c>
      <c r="J753" s="13">
        <v>2</v>
      </c>
      <c r="K753" s="13">
        <v>317.32</v>
      </c>
      <c r="L753" s="13">
        <v>0</v>
      </c>
      <c r="M753" s="13">
        <v>634.64</v>
      </c>
      <c r="N753" s="13">
        <v>394.11</v>
      </c>
      <c r="O753" s="13">
        <v>240.53</v>
      </c>
      <c r="P753" s="13">
        <v>3.6</v>
      </c>
      <c r="Q753" s="13" t="s">
        <v>94</v>
      </c>
      <c r="R753" s="13">
        <v>2025</v>
      </c>
      <c r="S753" s="15" t="str">
        <f t="shared" si="66"/>
        <v>Low Profit</v>
      </c>
      <c r="T753" s="15" t="str">
        <f t="shared" si="67"/>
        <v>Low Sales</v>
      </c>
      <c r="U753" s="15" t="str">
        <f t="shared" si="68"/>
        <v>Needs Improvement</v>
      </c>
      <c r="V753" s="15" t="str">
        <f t="shared" si="69"/>
        <v>Normal Discount</v>
      </c>
      <c r="W753" s="15">
        <f>VLOOKUP(D753,Lookup_Table!$A:$C,2,FALSE)</f>
        <v>0.16</v>
      </c>
      <c r="X753" s="15">
        <f t="shared" si="70"/>
        <v>0.379002269002899</v>
      </c>
      <c r="Y753" s="15" t="str">
        <f>VLOOKUP(D753,Lookup_Table!A:C,3,0)</f>
        <v>Vikram</v>
      </c>
      <c r="Z753" s="15" t="str">
        <f t="shared" si="71"/>
        <v>Achived</v>
      </c>
    </row>
    <row r="754" spans="1:26">
      <c r="A754" s="13" t="s">
        <v>845</v>
      </c>
      <c r="B754" s="14">
        <v>45687</v>
      </c>
      <c r="C754" s="13" t="s">
        <v>55</v>
      </c>
      <c r="D754" s="13" t="s">
        <v>80</v>
      </c>
      <c r="E754" s="13" t="s">
        <v>115</v>
      </c>
      <c r="F754" s="13" t="s">
        <v>30</v>
      </c>
      <c r="G754" s="13" t="s">
        <v>31</v>
      </c>
      <c r="H754" s="13" t="s">
        <v>32</v>
      </c>
      <c r="I754" s="13" t="s">
        <v>96</v>
      </c>
      <c r="J754" s="13">
        <v>3</v>
      </c>
      <c r="K754" s="13">
        <v>30.3</v>
      </c>
      <c r="L754" s="13">
        <v>0.1</v>
      </c>
      <c r="M754" s="13">
        <v>81.81</v>
      </c>
      <c r="N754" s="13">
        <v>50.74</v>
      </c>
      <c r="O754" s="13">
        <v>31.07</v>
      </c>
      <c r="P754" s="13">
        <v>3.7</v>
      </c>
      <c r="Q754" s="13" t="s">
        <v>64</v>
      </c>
      <c r="R754" s="13">
        <v>2025</v>
      </c>
      <c r="S754" s="15" t="str">
        <f t="shared" si="66"/>
        <v>Low Profit</v>
      </c>
      <c r="T754" s="15" t="str">
        <f t="shared" si="67"/>
        <v>Low Sales</v>
      </c>
      <c r="U754" s="15" t="str">
        <f t="shared" si="68"/>
        <v>Needs Improvement</v>
      </c>
      <c r="V754" s="15" t="str">
        <f t="shared" si="69"/>
        <v>Normal Discount</v>
      </c>
      <c r="W754" s="15">
        <f>VLOOKUP(D754,Lookup_Table!$A:$C,2,FALSE)</f>
        <v>0.12</v>
      </c>
      <c r="X754" s="15">
        <f t="shared" si="70"/>
        <v>0.379782422686713</v>
      </c>
      <c r="Y754" s="15" t="str">
        <f>VLOOKUP(D754,Lookup_Table!A:C,3,0)</f>
        <v>Rahul</v>
      </c>
      <c r="Z754" s="15" t="str">
        <f t="shared" si="71"/>
        <v>Achived</v>
      </c>
    </row>
    <row r="755" spans="1:26">
      <c r="A755" s="13" t="s">
        <v>846</v>
      </c>
      <c r="B755" s="14">
        <v>45823</v>
      </c>
      <c r="C755" s="13" t="s">
        <v>36</v>
      </c>
      <c r="D755" s="13" t="s">
        <v>80</v>
      </c>
      <c r="E755" s="13" t="s">
        <v>115</v>
      </c>
      <c r="F755" s="13" t="s">
        <v>75</v>
      </c>
      <c r="G755" s="13" t="s">
        <v>76</v>
      </c>
      <c r="H755" s="13" t="s">
        <v>77</v>
      </c>
      <c r="I755" s="13" t="s">
        <v>52</v>
      </c>
      <c r="J755" s="13">
        <v>1</v>
      </c>
      <c r="K755" s="13">
        <v>69.4</v>
      </c>
      <c r="L755" s="13">
        <v>0.1</v>
      </c>
      <c r="M755" s="13">
        <v>62.46</v>
      </c>
      <c r="N755" s="13">
        <v>38.73</v>
      </c>
      <c r="O755" s="13">
        <v>23.73</v>
      </c>
      <c r="P755" s="13">
        <v>2.5</v>
      </c>
      <c r="Q755" s="13" t="s">
        <v>58</v>
      </c>
      <c r="R755" s="13">
        <v>2025</v>
      </c>
      <c r="S755" s="15" t="str">
        <f t="shared" si="66"/>
        <v>Low Profit</v>
      </c>
      <c r="T755" s="15" t="str">
        <f t="shared" si="67"/>
        <v>Low Sales</v>
      </c>
      <c r="U755" s="15" t="str">
        <f t="shared" si="68"/>
        <v>Needs Improvement</v>
      </c>
      <c r="V755" s="15" t="str">
        <f t="shared" si="69"/>
        <v>Normal Discount</v>
      </c>
      <c r="W755" s="15">
        <f>VLOOKUP(D755,Lookup_Table!$A:$C,2,FALSE)</f>
        <v>0.12</v>
      </c>
      <c r="X755" s="15">
        <f t="shared" si="70"/>
        <v>0.379923150816523</v>
      </c>
      <c r="Y755" s="15" t="str">
        <f>VLOOKUP(D755,Lookup_Table!A:C,3,0)</f>
        <v>Rahul</v>
      </c>
      <c r="Z755" s="15" t="str">
        <f t="shared" si="71"/>
        <v>Achived</v>
      </c>
    </row>
    <row r="756" spans="1:26">
      <c r="A756" s="13" t="s">
        <v>847</v>
      </c>
      <c r="B756" s="14">
        <v>45903</v>
      </c>
      <c r="C756" s="13" t="s">
        <v>55</v>
      </c>
      <c r="D756" s="13" t="s">
        <v>37</v>
      </c>
      <c r="E756" s="13" t="s">
        <v>38</v>
      </c>
      <c r="F756" s="13" t="s">
        <v>30</v>
      </c>
      <c r="G756" s="13" t="s">
        <v>31</v>
      </c>
      <c r="H756" s="13" t="s">
        <v>32</v>
      </c>
      <c r="I756" s="13" t="s">
        <v>46</v>
      </c>
      <c r="J756" s="13">
        <v>2</v>
      </c>
      <c r="K756" s="13">
        <v>339.14</v>
      </c>
      <c r="L756" s="13">
        <v>0</v>
      </c>
      <c r="M756" s="13">
        <v>678.28</v>
      </c>
      <c r="N756" s="13">
        <v>420.58</v>
      </c>
      <c r="O756" s="13">
        <v>257.7</v>
      </c>
      <c r="P756" s="13">
        <v>2.8</v>
      </c>
      <c r="Q756" s="13" t="s">
        <v>53</v>
      </c>
      <c r="R756" s="13">
        <v>2025</v>
      </c>
      <c r="S756" s="15" t="str">
        <f t="shared" si="66"/>
        <v>Low Profit</v>
      </c>
      <c r="T756" s="15" t="str">
        <f t="shared" si="67"/>
        <v>Low Sales</v>
      </c>
      <c r="U756" s="15" t="str">
        <f t="shared" si="68"/>
        <v>Needs Improvement</v>
      </c>
      <c r="V756" s="15" t="str">
        <f t="shared" si="69"/>
        <v>Normal Discount</v>
      </c>
      <c r="W756" s="15">
        <f>VLOOKUP(D756,Lookup_Table!$A:$C,2,FALSE)</f>
        <v>0.16</v>
      </c>
      <c r="X756" s="15">
        <f t="shared" si="70"/>
        <v>0.379931591673055</v>
      </c>
      <c r="Y756" s="15" t="str">
        <f>VLOOKUP(D756,Lookup_Table!A:C,3,0)</f>
        <v>Vikram</v>
      </c>
      <c r="Z756" s="15" t="str">
        <f t="shared" si="71"/>
        <v>Achived</v>
      </c>
    </row>
    <row r="757" spans="1:26">
      <c r="A757" s="13" t="s">
        <v>848</v>
      </c>
      <c r="B757" s="14">
        <v>45949</v>
      </c>
      <c r="C757" s="13" t="s">
        <v>27</v>
      </c>
      <c r="D757" s="13" t="s">
        <v>60</v>
      </c>
      <c r="E757" s="13" t="s">
        <v>127</v>
      </c>
      <c r="F757" s="13" t="s">
        <v>98</v>
      </c>
      <c r="G757" s="13" t="s">
        <v>99</v>
      </c>
      <c r="H757" s="13" t="s">
        <v>77</v>
      </c>
      <c r="I757" s="13" t="s">
        <v>46</v>
      </c>
      <c r="J757" s="13">
        <v>5</v>
      </c>
      <c r="K757" s="13">
        <v>447.56</v>
      </c>
      <c r="L757" s="13">
        <v>0.05</v>
      </c>
      <c r="M757" s="13">
        <v>2125.91</v>
      </c>
      <c r="N757" s="13">
        <v>1316.8</v>
      </c>
      <c r="O757" s="13">
        <v>809.11</v>
      </c>
      <c r="P757" s="13">
        <v>2.7</v>
      </c>
      <c r="Q757" s="13" t="s">
        <v>87</v>
      </c>
      <c r="R757" s="13">
        <v>2025</v>
      </c>
      <c r="S757" s="15" t="str">
        <f t="shared" si="66"/>
        <v>High Profit</v>
      </c>
      <c r="T757" s="15" t="str">
        <f t="shared" si="67"/>
        <v>High Sales</v>
      </c>
      <c r="U757" s="15" t="str">
        <f t="shared" si="68"/>
        <v>Needs Improvement</v>
      </c>
      <c r="V757" s="15" t="str">
        <f t="shared" si="69"/>
        <v>Normal Discount</v>
      </c>
      <c r="W757" s="15">
        <f>VLOOKUP(D757,Lookup_Table!$A:$C,2,FALSE)</f>
        <v>0.15</v>
      </c>
      <c r="X757" s="15">
        <f t="shared" si="70"/>
        <v>0.380594662991378</v>
      </c>
      <c r="Y757" s="15" t="str">
        <f>VLOOKUP(D757,Lookup_Table!A:C,3,0)</f>
        <v>Priya</v>
      </c>
      <c r="Z757" s="15" t="str">
        <f t="shared" si="71"/>
        <v>Achived</v>
      </c>
    </row>
    <row r="758" spans="1:26">
      <c r="A758" s="13" t="s">
        <v>849</v>
      </c>
      <c r="B758" s="14">
        <v>45834</v>
      </c>
      <c r="C758" s="13" t="s">
        <v>55</v>
      </c>
      <c r="D758" s="13" t="s">
        <v>28</v>
      </c>
      <c r="E758" s="13" t="s">
        <v>90</v>
      </c>
      <c r="F758" s="13" t="s">
        <v>50</v>
      </c>
      <c r="G758" s="13" t="s">
        <v>51</v>
      </c>
      <c r="H758" s="13" t="s">
        <v>32</v>
      </c>
      <c r="I758" s="13" t="s">
        <v>33</v>
      </c>
      <c r="J758" s="13">
        <v>1</v>
      </c>
      <c r="K758" s="13">
        <v>73.26</v>
      </c>
      <c r="L758" s="13">
        <v>0.05</v>
      </c>
      <c r="M758" s="13">
        <v>69.6</v>
      </c>
      <c r="N758" s="13">
        <v>43.1</v>
      </c>
      <c r="O758" s="13">
        <v>26.5</v>
      </c>
      <c r="P758" s="13">
        <v>2.8</v>
      </c>
      <c r="Q758" s="13" t="s">
        <v>58</v>
      </c>
      <c r="R758" s="13">
        <v>2025</v>
      </c>
      <c r="S758" s="15" t="str">
        <f t="shared" si="66"/>
        <v>Low Profit</v>
      </c>
      <c r="T758" s="15" t="str">
        <f t="shared" si="67"/>
        <v>Low Sales</v>
      </c>
      <c r="U758" s="15" t="str">
        <f t="shared" si="68"/>
        <v>Needs Improvement</v>
      </c>
      <c r="V758" s="15" t="str">
        <f t="shared" si="69"/>
        <v>Normal Discount</v>
      </c>
      <c r="W758" s="15">
        <f>VLOOKUP(D758,Lookup_Table!$A:$C,2,FALSE)</f>
        <v>0.2</v>
      </c>
      <c r="X758" s="15">
        <f t="shared" si="70"/>
        <v>0.380747126436782</v>
      </c>
      <c r="Y758" s="15" t="str">
        <f>VLOOKUP(D758,Lookup_Table!A:C,3,0)</f>
        <v>Sneha</v>
      </c>
      <c r="Z758" s="15" t="str">
        <f t="shared" si="71"/>
        <v>Achived</v>
      </c>
    </row>
    <row r="759" spans="1:26">
      <c r="A759" s="13" t="s">
        <v>850</v>
      </c>
      <c r="B759" s="14">
        <v>45863</v>
      </c>
      <c r="C759" s="13" t="s">
        <v>27</v>
      </c>
      <c r="D759" s="13" t="s">
        <v>80</v>
      </c>
      <c r="E759" s="13" t="s">
        <v>191</v>
      </c>
      <c r="F759" s="13" t="s">
        <v>67</v>
      </c>
      <c r="G759" s="13" t="s">
        <v>68</v>
      </c>
      <c r="H759" s="13" t="s">
        <v>69</v>
      </c>
      <c r="I759" s="13" t="s">
        <v>52</v>
      </c>
      <c r="J759" s="13">
        <v>3</v>
      </c>
      <c r="K759" s="13">
        <v>21.22</v>
      </c>
      <c r="L759" s="13">
        <v>0.1</v>
      </c>
      <c r="M759" s="13">
        <v>57.29</v>
      </c>
      <c r="N759" s="13">
        <v>35.46</v>
      </c>
      <c r="O759" s="13">
        <v>21.83</v>
      </c>
      <c r="P759" s="13">
        <v>3.9</v>
      </c>
      <c r="Q759" s="13" t="s">
        <v>56</v>
      </c>
      <c r="R759" s="13">
        <v>2025</v>
      </c>
      <c r="S759" s="15" t="str">
        <f t="shared" si="66"/>
        <v>Low Profit</v>
      </c>
      <c r="T759" s="15" t="str">
        <f t="shared" si="67"/>
        <v>Low Sales</v>
      </c>
      <c r="U759" s="15" t="str">
        <f t="shared" si="68"/>
        <v>Needs Improvement</v>
      </c>
      <c r="V759" s="15" t="str">
        <f t="shared" si="69"/>
        <v>Normal Discount</v>
      </c>
      <c r="W759" s="15">
        <f>VLOOKUP(D759,Lookup_Table!$A:$C,2,FALSE)</f>
        <v>0.12</v>
      </c>
      <c r="X759" s="15">
        <f t="shared" si="70"/>
        <v>0.381043812183627</v>
      </c>
      <c r="Y759" s="15" t="str">
        <f>VLOOKUP(D759,Lookup_Table!A:C,3,0)</f>
        <v>Rahul</v>
      </c>
      <c r="Z759" s="15" t="str">
        <f t="shared" si="71"/>
        <v>Achived</v>
      </c>
    </row>
    <row r="760" spans="1:26">
      <c r="A760" s="13" t="s">
        <v>851</v>
      </c>
      <c r="B760" s="14">
        <v>45658</v>
      </c>
      <c r="C760" s="13" t="s">
        <v>36</v>
      </c>
      <c r="D760" s="13" t="s">
        <v>37</v>
      </c>
      <c r="E760" s="13" t="s">
        <v>86</v>
      </c>
      <c r="F760" s="13" t="s">
        <v>62</v>
      </c>
      <c r="G760" s="13" t="s">
        <v>63</v>
      </c>
      <c r="H760" s="13" t="s">
        <v>32</v>
      </c>
      <c r="I760" s="13" t="s">
        <v>33</v>
      </c>
      <c r="J760" s="13">
        <v>3</v>
      </c>
      <c r="K760" s="13">
        <v>64.53</v>
      </c>
      <c r="L760" s="13">
        <v>0.1</v>
      </c>
      <c r="M760" s="13">
        <v>174.23</v>
      </c>
      <c r="N760" s="13">
        <v>107.84</v>
      </c>
      <c r="O760" s="13">
        <v>66.39</v>
      </c>
      <c r="P760" s="13">
        <v>4.1</v>
      </c>
      <c r="Q760" s="13" t="s">
        <v>64</v>
      </c>
      <c r="R760" s="13">
        <v>2025</v>
      </c>
      <c r="S760" s="15" t="str">
        <f t="shared" si="66"/>
        <v>Low Profit</v>
      </c>
      <c r="T760" s="15" t="str">
        <f t="shared" si="67"/>
        <v>Low Sales</v>
      </c>
      <c r="U760" s="15" t="str">
        <f t="shared" si="68"/>
        <v>Good</v>
      </c>
      <c r="V760" s="15" t="str">
        <f t="shared" si="69"/>
        <v>Normal Discount</v>
      </c>
      <c r="W760" s="15">
        <f>VLOOKUP(D760,Lookup_Table!$A:$C,2,FALSE)</f>
        <v>0.16</v>
      </c>
      <c r="X760" s="15">
        <f t="shared" si="70"/>
        <v>0.381048039947196</v>
      </c>
      <c r="Y760" s="15" t="str">
        <f>VLOOKUP(D760,Lookup_Table!A:C,3,0)</f>
        <v>Vikram</v>
      </c>
      <c r="Z760" s="15" t="str">
        <f t="shared" si="71"/>
        <v>Achived</v>
      </c>
    </row>
    <row r="761" spans="1:26">
      <c r="A761" s="13" t="s">
        <v>852</v>
      </c>
      <c r="B761" s="14">
        <v>45867</v>
      </c>
      <c r="C761" s="13" t="s">
        <v>27</v>
      </c>
      <c r="D761" s="13" t="s">
        <v>44</v>
      </c>
      <c r="E761" s="13" t="s">
        <v>104</v>
      </c>
      <c r="F761" s="13" t="s">
        <v>30</v>
      </c>
      <c r="G761" s="13" t="s">
        <v>31</v>
      </c>
      <c r="H761" s="13" t="s">
        <v>32</v>
      </c>
      <c r="I761" s="13" t="s">
        <v>52</v>
      </c>
      <c r="J761" s="13">
        <v>1</v>
      </c>
      <c r="K761" s="13">
        <v>1442.9</v>
      </c>
      <c r="L761" s="13">
        <v>0</v>
      </c>
      <c r="M761" s="13">
        <v>1442.9</v>
      </c>
      <c r="N761" s="13">
        <v>892.58</v>
      </c>
      <c r="O761" s="13">
        <v>550.32</v>
      </c>
      <c r="P761" s="13">
        <v>4.3</v>
      </c>
      <c r="Q761" s="13" t="s">
        <v>56</v>
      </c>
      <c r="R761" s="13">
        <v>2025</v>
      </c>
      <c r="S761" s="15" t="str">
        <f t="shared" si="66"/>
        <v>High Profit</v>
      </c>
      <c r="T761" s="15" t="str">
        <f t="shared" si="67"/>
        <v>High Sales</v>
      </c>
      <c r="U761" s="15" t="str">
        <f t="shared" si="68"/>
        <v>Good</v>
      </c>
      <c r="V761" s="15" t="str">
        <f t="shared" si="69"/>
        <v>Normal Discount</v>
      </c>
      <c r="W761" s="15">
        <f>VLOOKUP(D761,Lookup_Table!$A:$C,2,FALSE)</f>
        <v>0.18</v>
      </c>
      <c r="X761" s="15">
        <f t="shared" si="70"/>
        <v>0.381398572319634</v>
      </c>
      <c r="Y761" s="15" t="str">
        <f>VLOOKUP(D761,Lookup_Table!A:C,3,0)</f>
        <v>Amit</v>
      </c>
      <c r="Z761" s="15" t="str">
        <f t="shared" si="71"/>
        <v>Achived</v>
      </c>
    </row>
    <row r="762" spans="1:26">
      <c r="A762" s="13" t="s">
        <v>853</v>
      </c>
      <c r="B762" s="14">
        <v>45847</v>
      </c>
      <c r="C762" s="13" t="s">
        <v>55</v>
      </c>
      <c r="D762" s="13" t="s">
        <v>44</v>
      </c>
      <c r="E762" s="13" t="s">
        <v>45</v>
      </c>
      <c r="F762" s="13" t="s">
        <v>62</v>
      </c>
      <c r="G762" s="13" t="s">
        <v>63</v>
      </c>
      <c r="H762" s="13" t="s">
        <v>32</v>
      </c>
      <c r="I762" s="13" t="s">
        <v>96</v>
      </c>
      <c r="J762" s="13">
        <v>3</v>
      </c>
      <c r="K762" s="13">
        <v>1060.26</v>
      </c>
      <c r="L762" s="13">
        <v>0</v>
      </c>
      <c r="M762" s="13">
        <v>3180.78</v>
      </c>
      <c r="N762" s="13">
        <v>1967.09</v>
      </c>
      <c r="O762" s="13">
        <v>1213.69</v>
      </c>
      <c r="P762" s="13">
        <v>3.2</v>
      </c>
      <c r="Q762" s="13" t="s">
        <v>56</v>
      </c>
      <c r="R762" s="13">
        <v>2025</v>
      </c>
      <c r="S762" s="15" t="str">
        <f t="shared" si="66"/>
        <v>High Profit</v>
      </c>
      <c r="T762" s="15" t="str">
        <f t="shared" si="67"/>
        <v>High Sales</v>
      </c>
      <c r="U762" s="15" t="str">
        <f t="shared" si="68"/>
        <v>Needs Improvement</v>
      </c>
      <c r="V762" s="15" t="str">
        <f t="shared" si="69"/>
        <v>Normal Discount</v>
      </c>
      <c r="W762" s="15">
        <f>VLOOKUP(D762,Lookup_Table!$A:$C,2,FALSE)</f>
        <v>0.18</v>
      </c>
      <c r="X762" s="15">
        <f t="shared" si="70"/>
        <v>0.381569929388389</v>
      </c>
      <c r="Y762" s="15" t="str">
        <f>VLOOKUP(D762,Lookup_Table!A:C,3,0)</f>
        <v>Amit</v>
      </c>
      <c r="Z762" s="15" t="str">
        <f t="shared" si="71"/>
        <v>Achived</v>
      </c>
    </row>
    <row r="763" spans="1:26">
      <c r="A763" s="13" t="s">
        <v>854</v>
      </c>
      <c r="B763" s="14">
        <v>45691</v>
      </c>
      <c r="C763" s="13" t="s">
        <v>55</v>
      </c>
      <c r="D763" s="13" t="s">
        <v>37</v>
      </c>
      <c r="E763" s="13" t="s">
        <v>93</v>
      </c>
      <c r="F763" s="13" t="s">
        <v>116</v>
      </c>
      <c r="G763" s="13" t="s">
        <v>117</v>
      </c>
      <c r="H763" s="13" t="s">
        <v>32</v>
      </c>
      <c r="I763" s="13" t="s">
        <v>33</v>
      </c>
      <c r="J763" s="13">
        <v>6</v>
      </c>
      <c r="K763" s="13">
        <v>310.45</v>
      </c>
      <c r="L763" s="13">
        <v>0</v>
      </c>
      <c r="M763" s="13">
        <v>1862.7</v>
      </c>
      <c r="N763" s="13">
        <v>1151.63</v>
      </c>
      <c r="O763" s="13">
        <v>711.07</v>
      </c>
      <c r="P763" s="13">
        <v>2.6</v>
      </c>
      <c r="Q763" s="13" t="s">
        <v>105</v>
      </c>
      <c r="R763" s="13">
        <v>2025</v>
      </c>
      <c r="S763" s="15" t="str">
        <f t="shared" si="66"/>
        <v>High Profit</v>
      </c>
      <c r="T763" s="15" t="str">
        <f t="shared" si="67"/>
        <v>High Sales</v>
      </c>
      <c r="U763" s="15" t="str">
        <f t="shared" si="68"/>
        <v>Needs Improvement</v>
      </c>
      <c r="V763" s="15" t="str">
        <f t="shared" si="69"/>
        <v>Normal Discount</v>
      </c>
      <c r="W763" s="15">
        <f>VLOOKUP(D763,Lookup_Table!$A:$C,2,FALSE)</f>
        <v>0.16</v>
      </c>
      <c r="X763" s="15">
        <f t="shared" si="70"/>
        <v>0.381741557953508</v>
      </c>
      <c r="Y763" s="15" t="str">
        <f>VLOOKUP(D763,Lookup_Table!A:C,3,0)</f>
        <v>Vikram</v>
      </c>
      <c r="Z763" s="15" t="str">
        <f t="shared" si="71"/>
        <v>Achived</v>
      </c>
    </row>
    <row r="764" spans="1:26">
      <c r="A764" s="13" t="s">
        <v>855</v>
      </c>
      <c r="B764" s="14">
        <v>45783</v>
      </c>
      <c r="C764" s="13" t="s">
        <v>55</v>
      </c>
      <c r="D764" s="13" t="s">
        <v>80</v>
      </c>
      <c r="E764" s="13" t="s">
        <v>115</v>
      </c>
      <c r="F764" s="13" t="s">
        <v>30</v>
      </c>
      <c r="G764" s="13" t="s">
        <v>31</v>
      </c>
      <c r="H764" s="13" t="s">
        <v>32</v>
      </c>
      <c r="I764" s="13" t="s">
        <v>52</v>
      </c>
      <c r="J764" s="13">
        <v>5</v>
      </c>
      <c r="K764" s="13">
        <v>27.35</v>
      </c>
      <c r="L764" s="13">
        <v>0</v>
      </c>
      <c r="M764" s="13">
        <v>136.75</v>
      </c>
      <c r="N764" s="13">
        <v>84.45</v>
      </c>
      <c r="O764" s="13">
        <v>52.3</v>
      </c>
      <c r="P764" s="13">
        <v>4.9</v>
      </c>
      <c r="Q764" s="13" t="s">
        <v>42</v>
      </c>
      <c r="R764" s="13">
        <v>2025</v>
      </c>
      <c r="S764" s="15" t="str">
        <f t="shared" si="66"/>
        <v>Low Profit</v>
      </c>
      <c r="T764" s="15" t="str">
        <f t="shared" si="67"/>
        <v>Low Sales</v>
      </c>
      <c r="U764" s="15" t="str">
        <f t="shared" si="68"/>
        <v>Good</v>
      </c>
      <c r="V764" s="15" t="str">
        <f t="shared" si="69"/>
        <v>Normal Discount</v>
      </c>
      <c r="W764" s="15">
        <f>VLOOKUP(D764,Lookup_Table!$A:$C,2,FALSE)</f>
        <v>0.12</v>
      </c>
      <c r="X764" s="15">
        <f t="shared" si="70"/>
        <v>0.382449725776965</v>
      </c>
      <c r="Y764" s="15" t="str">
        <f>VLOOKUP(D764,Lookup_Table!A:C,3,0)</f>
        <v>Rahul</v>
      </c>
      <c r="Z764" s="15" t="str">
        <f t="shared" si="71"/>
        <v>Achived</v>
      </c>
    </row>
    <row r="765" spans="1:26">
      <c r="A765" s="13" t="s">
        <v>856</v>
      </c>
      <c r="B765" s="14">
        <v>45753</v>
      </c>
      <c r="C765" s="13" t="s">
        <v>55</v>
      </c>
      <c r="D765" s="13" t="s">
        <v>28</v>
      </c>
      <c r="E765" s="13" t="s">
        <v>90</v>
      </c>
      <c r="F765" s="13" t="s">
        <v>67</v>
      </c>
      <c r="G765" s="13" t="s">
        <v>68</v>
      </c>
      <c r="H765" s="13" t="s">
        <v>69</v>
      </c>
      <c r="I765" s="13" t="s">
        <v>52</v>
      </c>
      <c r="J765" s="13">
        <v>2</v>
      </c>
      <c r="K765" s="13">
        <v>163.16</v>
      </c>
      <c r="L765" s="13">
        <v>0.15</v>
      </c>
      <c r="M765" s="13">
        <v>277.37</v>
      </c>
      <c r="N765" s="13">
        <v>171.24</v>
      </c>
      <c r="O765" s="13">
        <v>106.13</v>
      </c>
      <c r="P765" s="13">
        <v>3.9</v>
      </c>
      <c r="Q765" s="13" t="s">
        <v>84</v>
      </c>
      <c r="R765" s="13">
        <v>2025</v>
      </c>
      <c r="S765" s="15" t="str">
        <f t="shared" si="66"/>
        <v>Low Profit</v>
      </c>
      <c r="T765" s="15" t="str">
        <f t="shared" si="67"/>
        <v>Low Sales</v>
      </c>
      <c r="U765" s="15" t="str">
        <f t="shared" si="68"/>
        <v>Needs Improvement</v>
      </c>
      <c r="V765" s="15" t="str">
        <f t="shared" si="69"/>
        <v>High Discount</v>
      </c>
      <c r="W765" s="15">
        <f>VLOOKUP(D765,Lookup_Table!$A:$C,2,FALSE)</f>
        <v>0.2</v>
      </c>
      <c r="X765" s="15">
        <f t="shared" si="70"/>
        <v>0.382629700400187</v>
      </c>
      <c r="Y765" s="15" t="str">
        <f>VLOOKUP(D765,Lookup_Table!A:C,3,0)</f>
        <v>Sneha</v>
      </c>
      <c r="Z765" s="15" t="str">
        <f t="shared" si="71"/>
        <v>Achived</v>
      </c>
    </row>
    <row r="766" spans="1:26">
      <c r="A766" s="13" t="s">
        <v>857</v>
      </c>
      <c r="B766" s="14">
        <v>46003</v>
      </c>
      <c r="C766" s="13" t="s">
        <v>36</v>
      </c>
      <c r="D766" s="13" t="s">
        <v>44</v>
      </c>
      <c r="E766" s="13" t="s">
        <v>143</v>
      </c>
      <c r="F766" s="13" t="s">
        <v>116</v>
      </c>
      <c r="G766" s="13" t="s">
        <v>117</v>
      </c>
      <c r="H766" s="13" t="s">
        <v>32</v>
      </c>
      <c r="I766" s="13" t="s">
        <v>46</v>
      </c>
      <c r="J766" s="13">
        <v>4</v>
      </c>
      <c r="K766" s="13">
        <v>507.37</v>
      </c>
      <c r="L766" s="13">
        <v>0</v>
      </c>
      <c r="M766" s="13">
        <v>2029.48</v>
      </c>
      <c r="N766" s="13">
        <v>1252.14</v>
      </c>
      <c r="O766" s="13">
        <v>777.34</v>
      </c>
      <c r="P766" s="13">
        <v>3.8</v>
      </c>
      <c r="Q766" s="13" t="s">
        <v>34</v>
      </c>
      <c r="R766" s="13">
        <v>2025</v>
      </c>
      <c r="S766" s="15" t="str">
        <f t="shared" si="66"/>
        <v>High Profit</v>
      </c>
      <c r="T766" s="15" t="str">
        <f t="shared" si="67"/>
        <v>High Sales</v>
      </c>
      <c r="U766" s="15" t="str">
        <f t="shared" si="68"/>
        <v>Needs Improvement</v>
      </c>
      <c r="V766" s="15" t="str">
        <f t="shared" si="69"/>
        <v>Normal Discount</v>
      </c>
      <c r="W766" s="15">
        <f>VLOOKUP(D766,Lookup_Table!$A:$C,2,FALSE)</f>
        <v>0.18</v>
      </c>
      <c r="X766" s="15">
        <f t="shared" si="70"/>
        <v>0.383024222953663</v>
      </c>
      <c r="Y766" s="15" t="str">
        <f>VLOOKUP(D766,Lookup_Table!A:C,3,0)</f>
        <v>Amit</v>
      </c>
      <c r="Z766" s="15" t="str">
        <f t="shared" si="71"/>
        <v>Achived</v>
      </c>
    </row>
    <row r="767" spans="1:26">
      <c r="A767" s="13" t="s">
        <v>858</v>
      </c>
      <c r="B767" s="14">
        <v>45963</v>
      </c>
      <c r="C767" s="13" t="s">
        <v>27</v>
      </c>
      <c r="D767" s="13" t="s">
        <v>37</v>
      </c>
      <c r="E767" s="13" t="s">
        <v>93</v>
      </c>
      <c r="F767" s="13" t="s">
        <v>82</v>
      </c>
      <c r="G767" s="13" t="s">
        <v>83</v>
      </c>
      <c r="H767" s="13" t="s">
        <v>77</v>
      </c>
      <c r="I767" s="13" t="s">
        <v>46</v>
      </c>
      <c r="J767" s="13">
        <v>5</v>
      </c>
      <c r="K767" s="13">
        <v>250.68</v>
      </c>
      <c r="L767" s="13">
        <v>0.15</v>
      </c>
      <c r="M767" s="13">
        <v>1065.39</v>
      </c>
      <c r="N767" s="13">
        <v>657.27</v>
      </c>
      <c r="O767" s="13">
        <v>408.12</v>
      </c>
      <c r="P767" s="13">
        <v>3</v>
      </c>
      <c r="Q767" s="13" t="s">
        <v>71</v>
      </c>
      <c r="R767" s="13">
        <v>2025</v>
      </c>
      <c r="S767" s="15" t="str">
        <f t="shared" si="66"/>
        <v>Low Profit</v>
      </c>
      <c r="T767" s="15" t="str">
        <f t="shared" si="67"/>
        <v>High Sales</v>
      </c>
      <c r="U767" s="15" t="str">
        <f t="shared" si="68"/>
        <v>Needs Improvement</v>
      </c>
      <c r="V767" s="15" t="str">
        <f t="shared" si="69"/>
        <v>High Discount</v>
      </c>
      <c r="W767" s="15">
        <f>VLOOKUP(D767,Lookup_Table!$A:$C,2,FALSE)</f>
        <v>0.16</v>
      </c>
      <c r="X767" s="15">
        <f t="shared" si="70"/>
        <v>0.383070988088869</v>
      </c>
      <c r="Y767" s="15" t="str">
        <f>VLOOKUP(D767,Lookup_Table!A:C,3,0)</f>
        <v>Vikram</v>
      </c>
      <c r="Z767" s="15" t="str">
        <f t="shared" si="71"/>
        <v>Achived</v>
      </c>
    </row>
    <row r="768" spans="1:26">
      <c r="A768" s="13" t="s">
        <v>859</v>
      </c>
      <c r="B768" s="14">
        <v>45767</v>
      </c>
      <c r="C768" s="13" t="s">
        <v>55</v>
      </c>
      <c r="D768" s="13" t="s">
        <v>80</v>
      </c>
      <c r="E768" s="13" t="s">
        <v>81</v>
      </c>
      <c r="F768" s="13" t="s">
        <v>67</v>
      </c>
      <c r="G768" s="13" t="s">
        <v>68</v>
      </c>
      <c r="H768" s="13" t="s">
        <v>69</v>
      </c>
      <c r="I768" s="13" t="s">
        <v>33</v>
      </c>
      <c r="J768" s="13">
        <v>4</v>
      </c>
      <c r="K768" s="13">
        <v>54.86</v>
      </c>
      <c r="L768" s="13">
        <v>0.05</v>
      </c>
      <c r="M768" s="13">
        <v>208.47</v>
      </c>
      <c r="N768" s="13">
        <v>128.38</v>
      </c>
      <c r="O768" s="13">
        <v>80.09</v>
      </c>
      <c r="P768" s="13">
        <v>2.6</v>
      </c>
      <c r="Q768" s="13" t="s">
        <v>84</v>
      </c>
      <c r="R768" s="13">
        <v>2025</v>
      </c>
      <c r="S768" s="15" t="str">
        <f t="shared" si="66"/>
        <v>Low Profit</v>
      </c>
      <c r="T768" s="15" t="str">
        <f t="shared" si="67"/>
        <v>Low Sales</v>
      </c>
      <c r="U768" s="15" t="str">
        <f t="shared" si="68"/>
        <v>Needs Improvement</v>
      </c>
      <c r="V768" s="15" t="str">
        <f t="shared" si="69"/>
        <v>Normal Discount</v>
      </c>
      <c r="W768" s="15">
        <f>VLOOKUP(D768,Lookup_Table!$A:$C,2,FALSE)</f>
        <v>0.12</v>
      </c>
      <c r="X768" s="15">
        <f t="shared" si="70"/>
        <v>0.384179977934475</v>
      </c>
      <c r="Y768" s="15" t="str">
        <f>VLOOKUP(D768,Lookup_Table!A:C,3,0)</f>
        <v>Rahul</v>
      </c>
      <c r="Z768" s="15" t="str">
        <f t="shared" si="71"/>
        <v>Achived</v>
      </c>
    </row>
    <row r="769" spans="1:26">
      <c r="A769" s="13" t="s">
        <v>860</v>
      </c>
      <c r="B769" s="14">
        <v>45659</v>
      </c>
      <c r="C769" s="13" t="s">
        <v>27</v>
      </c>
      <c r="D769" s="13" t="s">
        <v>80</v>
      </c>
      <c r="E769" s="13" t="s">
        <v>191</v>
      </c>
      <c r="F769" s="13" t="s">
        <v>62</v>
      </c>
      <c r="G769" s="13" t="s">
        <v>63</v>
      </c>
      <c r="H769" s="13" t="s">
        <v>32</v>
      </c>
      <c r="I769" s="13" t="s">
        <v>52</v>
      </c>
      <c r="J769" s="13">
        <v>1</v>
      </c>
      <c r="K769" s="13">
        <v>34.52</v>
      </c>
      <c r="L769" s="13">
        <v>0.1</v>
      </c>
      <c r="M769" s="13">
        <v>31.07</v>
      </c>
      <c r="N769" s="13">
        <v>19.13</v>
      </c>
      <c r="O769" s="13">
        <v>11.94</v>
      </c>
      <c r="P769" s="13">
        <v>4.8</v>
      </c>
      <c r="Q769" s="13" t="s">
        <v>64</v>
      </c>
      <c r="R769" s="13">
        <v>2025</v>
      </c>
      <c r="S769" s="15" t="str">
        <f t="shared" si="66"/>
        <v>Low Profit</v>
      </c>
      <c r="T769" s="15" t="str">
        <f t="shared" si="67"/>
        <v>Low Sales</v>
      </c>
      <c r="U769" s="15" t="str">
        <f t="shared" si="68"/>
        <v>Good</v>
      </c>
      <c r="V769" s="15" t="str">
        <f t="shared" si="69"/>
        <v>Normal Discount</v>
      </c>
      <c r="W769" s="15">
        <f>VLOOKUP(D769,Lookup_Table!$A:$C,2,FALSE)</f>
        <v>0.12</v>
      </c>
      <c r="X769" s="15">
        <f t="shared" si="70"/>
        <v>0.384293530737045</v>
      </c>
      <c r="Y769" s="15" t="str">
        <f>VLOOKUP(D769,Lookup_Table!A:C,3,0)</f>
        <v>Rahul</v>
      </c>
      <c r="Z769" s="15" t="str">
        <f t="shared" si="71"/>
        <v>Achived</v>
      </c>
    </row>
    <row r="770" spans="1:26">
      <c r="A770" s="13" t="s">
        <v>861</v>
      </c>
      <c r="B770" s="14">
        <v>45832</v>
      </c>
      <c r="C770" s="13" t="s">
        <v>55</v>
      </c>
      <c r="D770" s="13" t="s">
        <v>28</v>
      </c>
      <c r="E770" s="13" t="s">
        <v>29</v>
      </c>
      <c r="F770" s="13" t="s">
        <v>98</v>
      </c>
      <c r="G770" s="13" t="s">
        <v>99</v>
      </c>
      <c r="H770" s="13" t="s">
        <v>77</v>
      </c>
      <c r="I770" s="13" t="s">
        <v>52</v>
      </c>
      <c r="J770" s="13">
        <v>5</v>
      </c>
      <c r="K770" s="13">
        <v>44.55</v>
      </c>
      <c r="L770" s="13">
        <v>0.15</v>
      </c>
      <c r="M770" s="13">
        <v>189.34</v>
      </c>
      <c r="N770" s="13">
        <v>116.45</v>
      </c>
      <c r="O770" s="13">
        <v>72.89</v>
      </c>
      <c r="P770" s="13">
        <v>3</v>
      </c>
      <c r="Q770" s="13" t="s">
        <v>58</v>
      </c>
      <c r="R770" s="13">
        <v>2025</v>
      </c>
      <c r="S770" s="15" t="str">
        <f t="shared" ref="S770:S833" si="72">IF(O770&gt;500,"High Profit","Low Profit")</f>
        <v>Low Profit</v>
      </c>
      <c r="T770" s="15" t="str">
        <f t="shared" ref="T770:T833" si="73">IF(M770&gt;1000,"High Sales","Low Sales")</f>
        <v>Low Sales</v>
      </c>
      <c r="U770" s="15" t="str">
        <f t="shared" ref="U770:U833" si="74">IF(P770&gt;=4,"Good","Needs Improvement")</f>
        <v>Needs Improvement</v>
      </c>
      <c r="V770" s="15" t="str">
        <f t="shared" ref="V770:V833" si="75">IF(L770&gt;=15%,"High Discount","Normal Discount")</f>
        <v>High Discount</v>
      </c>
      <c r="W770" s="15">
        <f>VLOOKUP(D770,Lookup_Table!$A:$C,2,FALSE)</f>
        <v>0.2</v>
      </c>
      <c r="X770" s="15">
        <f t="shared" ref="X770:X833" si="76">O770/M770</f>
        <v>0.384968839125383</v>
      </c>
      <c r="Y770" s="15" t="str">
        <f>VLOOKUP(D770,Lookup_Table!A:C,3,0)</f>
        <v>Sneha</v>
      </c>
      <c r="Z770" s="15" t="str">
        <f t="shared" ref="Z770:Z833" si="77">IF(X770&gt;=W770,"Achived","Not Achieved")</f>
        <v>Achived</v>
      </c>
    </row>
    <row r="771" spans="1:26">
      <c r="A771" s="13" t="s">
        <v>862</v>
      </c>
      <c r="B771" s="14">
        <v>45965</v>
      </c>
      <c r="C771" s="13" t="s">
        <v>27</v>
      </c>
      <c r="D771" s="13" t="s">
        <v>37</v>
      </c>
      <c r="E771" s="13" t="s">
        <v>86</v>
      </c>
      <c r="F771" s="13" t="s">
        <v>111</v>
      </c>
      <c r="G771" s="13" t="s">
        <v>76</v>
      </c>
      <c r="H771" s="13" t="s">
        <v>77</v>
      </c>
      <c r="I771" s="13" t="s">
        <v>52</v>
      </c>
      <c r="J771" s="13">
        <v>7</v>
      </c>
      <c r="K771" s="13">
        <v>221.72</v>
      </c>
      <c r="L771" s="13">
        <v>0.05</v>
      </c>
      <c r="M771" s="13">
        <v>1474.44</v>
      </c>
      <c r="N771" s="13">
        <v>906.2</v>
      </c>
      <c r="O771" s="13">
        <v>568.24</v>
      </c>
      <c r="P771" s="13">
        <v>2.6</v>
      </c>
      <c r="Q771" s="13" t="s">
        <v>71</v>
      </c>
      <c r="R771" s="13">
        <v>2025</v>
      </c>
      <c r="S771" s="15" t="str">
        <f t="shared" si="72"/>
        <v>High Profit</v>
      </c>
      <c r="T771" s="15" t="str">
        <f t="shared" si="73"/>
        <v>High Sales</v>
      </c>
      <c r="U771" s="15" t="str">
        <f t="shared" si="74"/>
        <v>Needs Improvement</v>
      </c>
      <c r="V771" s="15" t="str">
        <f t="shared" si="75"/>
        <v>Normal Discount</v>
      </c>
      <c r="W771" s="15">
        <f>VLOOKUP(D771,Lookup_Table!$A:$C,2,FALSE)</f>
        <v>0.16</v>
      </c>
      <c r="X771" s="15">
        <f t="shared" si="76"/>
        <v>0.385393776620276</v>
      </c>
      <c r="Y771" s="15" t="str">
        <f>VLOOKUP(D771,Lookup_Table!A:C,3,0)</f>
        <v>Vikram</v>
      </c>
      <c r="Z771" s="15" t="str">
        <f t="shared" si="77"/>
        <v>Achived</v>
      </c>
    </row>
    <row r="772" spans="1:26">
      <c r="A772" s="13" t="s">
        <v>863</v>
      </c>
      <c r="B772" s="14">
        <v>45832</v>
      </c>
      <c r="C772" s="13" t="s">
        <v>55</v>
      </c>
      <c r="D772" s="13" t="s">
        <v>28</v>
      </c>
      <c r="E772" s="13" t="s">
        <v>49</v>
      </c>
      <c r="F772" s="13" t="s">
        <v>67</v>
      </c>
      <c r="G772" s="13" t="s">
        <v>68</v>
      </c>
      <c r="H772" s="13" t="s">
        <v>69</v>
      </c>
      <c r="I772" s="13" t="s">
        <v>33</v>
      </c>
      <c r="J772" s="13">
        <v>7</v>
      </c>
      <c r="K772" s="13">
        <v>72.02</v>
      </c>
      <c r="L772" s="13">
        <v>0</v>
      </c>
      <c r="M772" s="13">
        <v>504.14</v>
      </c>
      <c r="N772" s="13">
        <v>309.83</v>
      </c>
      <c r="O772" s="13">
        <v>194.31</v>
      </c>
      <c r="P772" s="13">
        <v>4.4</v>
      </c>
      <c r="Q772" s="13" t="s">
        <v>58</v>
      </c>
      <c r="R772" s="13">
        <v>2025</v>
      </c>
      <c r="S772" s="15" t="str">
        <f t="shared" si="72"/>
        <v>Low Profit</v>
      </c>
      <c r="T772" s="15" t="str">
        <f t="shared" si="73"/>
        <v>Low Sales</v>
      </c>
      <c r="U772" s="15" t="str">
        <f t="shared" si="74"/>
        <v>Good</v>
      </c>
      <c r="V772" s="15" t="str">
        <f t="shared" si="75"/>
        <v>Normal Discount</v>
      </c>
      <c r="W772" s="15">
        <f>VLOOKUP(D772,Lookup_Table!$A:$C,2,FALSE)</f>
        <v>0.2</v>
      </c>
      <c r="X772" s="15">
        <f t="shared" si="76"/>
        <v>0.385428650771611</v>
      </c>
      <c r="Y772" s="15" t="str">
        <f>VLOOKUP(D772,Lookup_Table!A:C,3,0)</f>
        <v>Sneha</v>
      </c>
      <c r="Z772" s="15" t="str">
        <f t="shared" si="77"/>
        <v>Achived</v>
      </c>
    </row>
    <row r="773" spans="1:26">
      <c r="A773" s="13" t="s">
        <v>864</v>
      </c>
      <c r="B773" s="14">
        <v>45936</v>
      </c>
      <c r="C773" s="13" t="s">
        <v>55</v>
      </c>
      <c r="D773" s="13" t="s">
        <v>28</v>
      </c>
      <c r="E773" s="13" t="s">
        <v>49</v>
      </c>
      <c r="F773" s="13" t="s">
        <v>39</v>
      </c>
      <c r="G773" s="13" t="s">
        <v>40</v>
      </c>
      <c r="H773" s="13" t="s">
        <v>41</v>
      </c>
      <c r="I773" s="13" t="s">
        <v>52</v>
      </c>
      <c r="J773" s="13">
        <v>1</v>
      </c>
      <c r="K773" s="13">
        <v>178.7</v>
      </c>
      <c r="L773" s="13">
        <v>0.2</v>
      </c>
      <c r="M773" s="13">
        <v>142.96</v>
      </c>
      <c r="N773" s="13">
        <v>87.83</v>
      </c>
      <c r="O773" s="13">
        <v>55.13</v>
      </c>
      <c r="P773" s="13">
        <v>2.8</v>
      </c>
      <c r="Q773" s="13" t="s">
        <v>87</v>
      </c>
      <c r="R773" s="13">
        <v>2025</v>
      </c>
      <c r="S773" s="15" t="str">
        <f t="shared" si="72"/>
        <v>Low Profit</v>
      </c>
      <c r="T773" s="15" t="str">
        <f t="shared" si="73"/>
        <v>Low Sales</v>
      </c>
      <c r="U773" s="15" t="str">
        <f t="shared" si="74"/>
        <v>Needs Improvement</v>
      </c>
      <c r="V773" s="15" t="str">
        <f t="shared" si="75"/>
        <v>High Discount</v>
      </c>
      <c r="W773" s="15">
        <f>VLOOKUP(D773,Lookup_Table!$A:$C,2,FALSE)</f>
        <v>0.2</v>
      </c>
      <c r="X773" s="15">
        <f t="shared" si="76"/>
        <v>0.385632344711808</v>
      </c>
      <c r="Y773" s="15" t="str">
        <f>VLOOKUP(D773,Lookup_Table!A:C,3,0)</f>
        <v>Sneha</v>
      </c>
      <c r="Z773" s="15" t="str">
        <f t="shared" si="77"/>
        <v>Achived</v>
      </c>
    </row>
    <row r="774" spans="1:26">
      <c r="A774" s="13" t="s">
        <v>865</v>
      </c>
      <c r="B774" s="14">
        <v>45984</v>
      </c>
      <c r="C774" s="13" t="s">
        <v>27</v>
      </c>
      <c r="D774" s="13" t="s">
        <v>28</v>
      </c>
      <c r="E774" s="13" t="s">
        <v>90</v>
      </c>
      <c r="F774" s="13" t="s">
        <v>39</v>
      </c>
      <c r="G774" s="13" t="s">
        <v>40</v>
      </c>
      <c r="H774" s="13" t="s">
        <v>41</v>
      </c>
      <c r="I774" s="13" t="s">
        <v>96</v>
      </c>
      <c r="J774" s="13">
        <v>4</v>
      </c>
      <c r="K774" s="13">
        <v>108.88</v>
      </c>
      <c r="L774" s="13">
        <v>0</v>
      </c>
      <c r="M774" s="13">
        <v>435.52</v>
      </c>
      <c r="N774" s="13">
        <v>267.35</v>
      </c>
      <c r="O774" s="13">
        <v>168.17</v>
      </c>
      <c r="P774" s="13">
        <v>2.9</v>
      </c>
      <c r="Q774" s="13" t="s">
        <v>71</v>
      </c>
      <c r="R774" s="13">
        <v>2025</v>
      </c>
      <c r="S774" s="15" t="str">
        <f t="shared" si="72"/>
        <v>Low Profit</v>
      </c>
      <c r="T774" s="15" t="str">
        <f t="shared" si="73"/>
        <v>Low Sales</v>
      </c>
      <c r="U774" s="15" t="str">
        <f t="shared" si="74"/>
        <v>Needs Improvement</v>
      </c>
      <c r="V774" s="15" t="str">
        <f t="shared" si="75"/>
        <v>Normal Discount</v>
      </c>
      <c r="W774" s="15">
        <f>VLOOKUP(D774,Lookup_Table!$A:$C,2,FALSE)</f>
        <v>0.2</v>
      </c>
      <c r="X774" s="15">
        <f t="shared" si="76"/>
        <v>0.386136113152094</v>
      </c>
      <c r="Y774" s="15" t="str">
        <f>VLOOKUP(D774,Lookup_Table!A:C,3,0)</f>
        <v>Sneha</v>
      </c>
      <c r="Z774" s="15" t="str">
        <f t="shared" si="77"/>
        <v>Achived</v>
      </c>
    </row>
    <row r="775" spans="1:26">
      <c r="A775" s="13" t="s">
        <v>866</v>
      </c>
      <c r="B775" s="14">
        <v>46022</v>
      </c>
      <c r="C775" s="13" t="s">
        <v>55</v>
      </c>
      <c r="D775" s="13" t="s">
        <v>60</v>
      </c>
      <c r="E775" s="13" t="s">
        <v>127</v>
      </c>
      <c r="F775" s="13" t="s">
        <v>30</v>
      </c>
      <c r="G775" s="13" t="s">
        <v>31</v>
      </c>
      <c r="H775" s="13" t="s">
        <v>32</v>
      </c>
      <c r="I775" s="13" t="s">
        <v>52</v>
      </c>
      <c r="J775" s="13">
        <v>7</v>
      </c>
      <c r="K775" s="13">
        <v>334.28</v>
      </c>
      <c r="L775" s="13">
        <v>0.05</v>
      </c>
      <c r="M775" s="13">
        <v>2222.96</v>
      </c>
      <c r="N775" s="13">
        <v>1363.48</v>
      </c>
      <c r="O775" s="13">
        <v>859.48</v>
      </c>
      <c r="P775" s="13">
        <v>4.7</v>
      </c>
      <c r="Q775" s="13" t="s">
        <v>34</v>
      </c>
      <c r="R775" s="13">
        <v>2025</v>
      </c>
      <c r="S775" s="15" t="str">
        <f t="shared" si="72"/>
        <v>High Profit</v>
      </c>
      <c r="T775" s="15" t="str">
        <f t="shared" si="73"/>
        <v>High Sales</v>
      </c>
      <c r="U775" s="15" t="str">
        <f t="shared" si="74"/>
        <v>Good</v>
      </c>
      <c r="V775" s="15" t="str">
        <f t="shared" si="75"/>
        <v>Normal Discount</v>
      </c>
      <c r="W775" s="15">
        <f>VLOOKUP(D775,Lookup_Table!$A:$C,2,FALSE)</f>
        <v>0.15</v>
      </c>
      <c r="X775" s="15">
        <f t="shared" si="76"/>
        <v>0.386637636304747</v>
      </c>
      <c r="Y775" s="15" t="str">
        <f>VLOOKUP(D775,Lookup_Table!A:C,3,0)</f>
        <v>Priya</v>
      </c>
      <c r="Z775" s="15" t="str">
        <f t="shared" si="77"/>
        <v>Achived</v>
      </c>
    </row>
    <row r="776" spans="1:26">
      <c r="A776" s="13" t="s">
        <v>867</v>
      </c>
      <c r="B776" s="14">
        <v>45932</v>
      </c>
      <c r="C776" s="13" t="s">
        <v>55</v>
      </c>
      <c r="D776" s="13" t="s">
        <v>44</v>
      </c>
      <c r="E776" s="13" t="s">
        <v>143</v>
      </c>
      <c r="F776" s="13" t="s">
        <v>75</v>
      </c>
      <c r="G776" s="13" t="s">
        <v>76</v>
      </c>
      <c r="H776" s="13" t="s">
        <v>77</v>
      </c>
      <c r="I776" s="13" t="s">
        <v>46</v>
      </c>
      <c r="J776" s="13">
        <v>5</v>
      </c>
      <c r="K776" s="13">
        <v>992.77</v>
      </c>
      <c r="L776" s="13">
        <v>0.1</v>
      </c>
      <c r="M776" s="13">
        <v>4467.46</v>
      </c>
      <c r="N776" s="13">
        <v>2739.5</v>
      </c>
      <c r="O776" s="13">
        <v>1727.96</v>
      </c>
      <c r="P776" s="13">
        <v>3.6</v>
      </c>
      <c r="Q776" s="13" t="s">
        <v>87</v>
      </c>
      <c r="R776" s="13">
        <v>2025</v>
      </c>
      <c r="S776" s="15" t="str">
        <f t="shared" si="72"/>
        <v>High Profit</v>
      </c>
      <c r="T776" s="15" t="str">
        <f t="shared" si="73"/>
        <v>High Sales</v>
      </c>
      <c r="U776" s="15" t="str">
        <f t="shared" si="74"/>
        <v>Needs Improvement</v>
      </c>
      <c r="V776" s="15" t="str">
        <f t="shared" si="75"/>
        <v>Normal Discount</v>
      </c>
      <c r="W776" s="15">
        <f>VLOOKUP(D776,Lookup_Table!$A:$C,2,FALSE)</f>
        <v>0.18</v>
      </c>
      <c r="X776" s="15">
        <f t="shared" si="76"/>
        <v>0.386788018247505</v>
      </c>
      <c r="Y776" s="15" t="str">
        <f>VLOOKUP(D776,Lookup_Table!A:C,3,0)</f>
        <v>Amit</v>
      </c>
      <c r="Z776" s="15" t="str">
        <f t="shared" si="77"/>
        <v>Achived</v>
      </c>
    </row>
    <row r="777" spans="1:26">
      <c r="A777" s="13" t="s">
        <v>868</v>
      </c>
      <c r="B777" s="14">
        <v>45866</v>
      </c>
      <c r="C777" s="13" t="s">
        <v>27</v>
      </c>
      <c r="D777" s="13" t="s">
        <v>28</v>
      </c>
      <c r="E777" s="13" t="s">
        <v>29</v>
      </c>
      <c r="F777" s="13" t="s">
        <v>62</v>
      </c>
      <c r="G777" s="13" t="s">
        <v>63</v>
      </c>
      <c r="H777" s="13" t="s">
        <v>32</v>
      </c>
      <c r="I777" s="13" t="s">
        <v>52</v>
      </c>
      <c r="J777" s="13">
        <v>2</v>
      </c>
      <c r="K777" s="13">
        <v>159.46</v>
      </c>
      <c r="L777" s="13">
        <v>0</v>
      </c>
      <c r="M777" s="13">
        <v>318.92</v>
      </c>
      <c r="N777" s="13">
        <v>195.55</v>
      </c>
      <c r="O777" s="13">
        <v>123.37</v>
      </c>
      <c r="P777" s="13">
        <v>2.6</v>
      </c>
      <c r="Q777" s="13" t="s">
        <v>56</v>
      </c>
      <c r="R777" s="13">
        <v>2025</v>
      </c>
      <c r="S777" s="15" t="str">
        <f t="shared" si="72"/>
        <v>Low Profit</v>
      </c>
      <c r="T777" s="15" t="str">
        <f t="shared" si="73"/>
        <v>Low Sales</v>
      </c>
      <c r="U777" s="15" t="str">
        <f t="shared" si="74"/>
        <v>Needs Improvement</v>
      </c>
      <c r="V777" s="15" t="str">
        <f t="shared" si="75"/>
        <v>Normal Discount</v>
      </c>
      <c r="W777" s="15">
        <f>VLOOKUP(D777,Lookup_Table!$A:$C,2,FALSE)</f>
        <v>0.2</v>
      </c>
      <c r="X777" s="15">
        <f t="shared" si="76"/>
        <v>0.386836824281952</v>
      </c>
      <c r="Y777" s="15" t="str">
        <f>VLOOKUP(D777,Lookup_Table!A:C,3,0)</f>
        <v>Sneha</v>
      </c>
      <c r="Z777" s="15" t="str">
        <f t="shared" si="77"/>
        <v>Achived</v>
      </c>
    </row>
    <row r="778" spans="1:26">
      <c r="A778" s="13" t="s">
        <v>869</v>
      </c>
      <c r="B778" s="14">
        <v>46013</v>
      </c>
      <c r="C778" s="13" t="s">
        <v>55</v>
      </c>
      <c r="D778" s="13" t="s">
        <v>60</v>
      </c>
      <c r="E778" s="13" t="s">
        <v>150</v>
      </c>
      <c r="F778" s="13" t="s">
        <v>82</v>
      </c>
      <c r="G778" s="13" t="s">
        <v>83</v>
      </c>
      <c r="H778" s="13" t="s">
        <v>77</v>
      </c>
      <c r="I778" s="13" t="s">
        <v>96</v>
      </c>
      <c r="J778" s="13">
        <v>7</v>
      </c>
      <c r="K778" s="13">
        <v>217.18</v>
      </c>
      <c r="L778" s="13">
        <v>0.1</v>
      </c>
      <c r="M778" s="13">
        <v>1368.23</v>
      </c>
      <c r="N778" s="13">
        <v>838.88</v>
      </c>
      <c r="O778" s="13">
        <v>529.35</v>
      </c>
      <c r="P778" s="13">
        <v>4.7</v>
      </c>
      <c r="Q778" s="13" t="s">
        <v>34</v>
      </c>
      <c r="R778" s="13">
        <v>2025</v>
      </c>
      <c r="S778" s="15" t="str">
        <f t="shared" si="72"/>
        <v>High Profit</v>
      </c>
      <c r="T778" s="15" t="str">
        <f t="shared" si="73"/>
        <v>High Sales</v>
      </c>
      <c r="U778" s="15" t="str">
        <f t="shared" si="74"/>
        <v>Good</v>
      </c>
      <c r="V778" s="15" t="str">
        <f t="shared" si="75"/>
        <v>Normal Discount</v>
      </c>
      <c r="W778" s="15">
        <f>VLOOKUP(D778,Lookup_Table!$A:$C,2,FALSE)</f>
        <v>0.15</v>
      </c>
      <c r="X778" s="15">
        <f t="shared" si="76"/>
        <v>0.386886707644183</v>
      </c>
      <c r="Y778" s="15" t="str">
        <f>VLOOKUP(D778,Lookup_Table!A:C,3,0)</f>
        <v>Priya</v>
      </c>
      <c r="Z778" s="15" t="str">
        <f t="shared" si="77"/>
        <v>Achived</v>
      </c>
    </row>
    <row r="779" spans="1:26">
      <c r="A779" s="13" t="s">
        <v>870</v>
      </c>
      <c r="B779" s="14">
        <v>45702</v>
      </c>
      <c r="C779" s="13" t="s">
        <v>55</v>
      </c>
      <c r="D779" s="13" t="s">
        <v>80</v>
      </c>
      <c r="E779" s="13" t="s">
        <v>115</v>
      </c>
      <c r="F779" s="13" t="s">
        <v>62</v>
      </c>
      <c r="G779" s="13" t="s">
        <v>63</v>
      </c>
      <c r="H779" s="13" t="s">
        <v>32</v>
      </c>
      <c r="I779" s="13" t="s">
        <v>52</v>
      </c>
      <c r="J779" s="13">
        <v>2</v>
      </c>
      <c r="K779" s="13">
        <v>50.33</v>
      </c>
      <c r="L779" s="13">
        <v>0</v>
      </c>
      <c r="M779" s="13">
        <v>100.66</v>
      </c>
      <c r="N779" s="13">
        <v>61.71</v>
      </c>
      <c r="O779" s="13">
        <v>38.95</v>
      </c>
      <c r="P779" s="13">
        <v>2.9</v>
      </c>
      <c r="Q779" s="13" t="s">
        <v>105</v>
      </c>
      <c r="R779" s="13">
        <v>2025</v>
      </c>
      <c r="S779" s="15" t="str">
        <f t="shared" si="72"/>
        <v>Low Profit</v>
      </c>
      <c r="T779" s="15" t="str">
        <f t="shared" si="73"/>
        <v>Low Sales</v>
      </c>
      <c r="U779" s="15" t="str">
        <f t="shared" si="74"/>
        <v>Needs Improvement</v>
      </c>
      <c r="V779" s="15" t="str">
        <f t="shared" si="75"/>
        <v>Normal Discount</v>
      </c>
      <c r="W779" s="15">
        <f>VLOOKUP(D779,Lookup_Table!$A:$C,2,FALSE)</f>
        <v>0.12</v>
      </c>
      <c r="X779" s="15">
        <f t="shared" si="76"/>
        <v>0.386946155374528</v>
      </c>
      <c r="Y779" s="15" t="str">
        <f>VLOOKUP(D779,Lookup_Table!A:C,3,0)</f>
        <v>Rahul</v>
      </c>
      <c r="Z779" s="15" t="str">
        <f t="shared" si="77"/>
        <v>Achived</v>
      </c>
    </row>
    <row r="780" spans="1:26">
      <c r="A780" s="13" t="s">
        <v>871</v>
      </c>
      <c r="B780" s="14">
        <v>45903</v>
      </c>
      <c r="C780" s="13" t="s">
        <v>27</v>
      </c>
      <c r="D780" s="13" t="s">
        <v>37</v>
      </c>
      <c r="E780" s="13" t="s">
        <v>109</v>
      </c>
      <c r="F780" s="13" t="s">
        <v>50</v>
      </c>
      <c r="G780" s="13" t="s">
        <v>51</v>
      </c>
      <c r="H780" s="13" t="s">
        <v>32</v>
      </c>
      <c r="I780" s="13" t="s">
        <v>33</v>
      </c>
      <c r="J780" s="13">
        <v>2</v>
      </c>
      <c r="K780" s="13">
        <v>299.81</v>
      </c>
      <c r="L780" s="13">
        <v>0</v>
      </c>
      <c r="M780" s="13">
        <v>599.62</v>
      </c>
      <c r="N780" s="13">
        <v>367.58</v>
      </c>
      <c r="O780" s="13">
        <v>232.04</v>
      </c>
      <c r="P780" s="13">
        <v>4.3</v>
      </c>
      <c r="Q780" s="13" t="s">
        <v>53</v>
      </c>
      <c r="R780" s="13">
        <v>2025</v>
      </c>
      <c r="S780" s="15" t="str">
        <f t="shared" si="72"/>
        <v>Low Profit</v>
      </c>
      <c r="T780" s="15" t="str">
        <f t="shared" si="73"/>
        <v>Low Sales</v>
      </c>
      <c r="U780" s="15" t="str">
        <f t="shared" si="74"/>
        <v>Good</v>
      </c>
      <c r="V780" s="15" t="str">
        <f t="shared" si="75"/>
        <v>Normal Discount</v>
      </c>
      <c r="W780" s="15">
        <f>VLOOKUP(D780,Lookup_Table!$A:$C,2,FALSE)</f>
        <v>0.16</v>
      </c>
      <c r="X780" s="15">
        <f t="shared" si="76"/>
        <v>0.386978419665788</v>
      </c>
      <c r="Y780" s="15" t="str">
        <f>VLOOKUP(D780,Lookup_Table!A:C,3,0)</f>
        <v>Vikram</v>
      </c>
      <c r="Z780" s="15" t="str">
        <f t="shared" si="77"/>
        <v>Achived</v>
      </c>
    </row>
    <row r="781" spans="1:26">
      <c r="A781" s="13" t="s">
        <v>872</v>
      </c>
      <c r="B781" s="14">
        <v>45679</v>
      </c>
      <c r="C781" s="13" t="s">
        <v>55</v>
      </c>
      <c r="D781" s="13" t="s">
        <v>44</v>
      </c>
      <c r="E781" s="13" t="s">
        <v>45</v>
      </c>
      <c r="F781" s="13" t="s">
        <v>67</v>
      </c>
      <c r="G781" s="13" t="s">
        <v>68</v>
      </c>
      <c r="H781" s="13" t="s">
        <v>69</v>
      </c>
      <c r="I781" s="13" t="s">
        <v>52</v>
      </c>
      <c r="J781" s="13">
        <v>4</v>
      </c>
      <c r="K781" s="13">
        <v>619.23</v>
      </c>
      <c r="L781" s="13">
        <v>0</v>
      </c>
      <c r="M781" s="13">
        <v>2476.92</v>
      </c>
      <c r="N781" s="13">
        <v>1517.91</v>
      </c>
      <c r="O781" s="13">
        <v>959.01</v>
      </c>
      <c r="P781" s="13">
        <v>3.8</v>
      </c>
      <c r="Q781" s="13" t="s">
        <v>64</v>
      </c>
      <c r="R781" s="13">
        <v>2025</v>
      </c>
      <c r="S781" s="15" t="str">
        <f t="shared" si="72"/>
        <v>High Profit</v>
      </c>
      <c r="T781" s="15" t="str">
        <f t="shared" si="73"/>
        <v>High Sales</v>
      </c>
      <c r="U781" s="15" t="str">
        <f t="shared" si="74"/>
        <v>Needs Improvement</v>
      </c>
      <c r="V781" s="15" t="str">
        <f t="shared" si="75"/>
        <v>Normal Discount</v>
      </c>
      <c r="W781" s="15">
        <f>VLOOKUP(D781,Lookup_Table!$A:$C,2,FALSE)</f>
        <v>0.18</v>
      </c>
      <c r="X781" s="15">
        <f t="shared" si="76"/>
        <v>0.387178431277554</v>
      </c>
      <c r="Y781" s="15" t="str">
        <f>VLOOKUP(D781,Lookup_Table!A:C,3,0)</f>
        <v>Amit</v>
      </c>
      <c r="Z781" s="15" t="str">
        <f t="shared" si="77"/>
        <v>Achived</v>
      </c>
    </row>
    <row r="782" spans="1:26">
      <c r="A782" s="13" t="s">
        <v>873</v>
      </c>
      <c r="B782" s="14">
        <v>45877</v>
      </c>
      <c r="C782" s="13" t="s">
        <v>27</v>
      </c>
      <c r="D782" s="13" t="s">
        <v>37</v>
      </c>
      <c r="E782" s="13" t="s">
        <v>38</v>
      </c>
      <c r="F782" s="13" t="s">
        <v>111</v>
      </c>
      <c r="G782" s="13" t="s">
        <v>76</v>
      </c>
      <c r="H782" s="13" t="s">
        <v>77</v>
      </c>
      <c r="I782" s="13" t="s">
        <v>33</v>
      </c>
      <c r="J782" s="13">
        <v>6</v>
      </c>
      <c r="K782" s="13">
        <v>445.49</v>
      </c>
      <c r="L782" s="13">
        <v>0</v>
      </c>
      <c r="M782" s="13">
        <v>2672.94</v>
      </c>
      <c r="N782" s="13">
        <v>1637.43</v>
      </c>
      <c r="O782" s="13">
        <v>1035.51</v>
      </c>
      <c r="P782" s="13">
        <v>2.7</v>
      </c>
      <c r="Q782" s="13" t="s">
        <v>47</v>
      </c>
      <c r="R782" s="13">
        <v>2025</v>
      </c>
      <c r="S782" s="15" t="str">
        <f t="shared" si="72"/>
        <v>High Profit</v>
      </c>
      <c r="T782" s="15" t="str">
        <f t="shared" si="73"/>
        <v>High Sales</v>
      </c>
      <c r="U782" s="15" t="str">
        <f t="shared" si="74"/>
        <v>Needs Improvement</v>
      </c>
      <c r="V782" s="15" t="str">
        <f t="shared" si="75"/>
        <v>Normal Discount</v>
      </c>
      <c r="W782" s="15">
        <f>VLOOKUP(D782,Lookup_Table!$A:$C,2,FALSE)</f>
        <v>0.16</v>
      </c>
      <c r="X782" s="15">
        <f t="shared" si="76"/>
        <v>0.387404880019754</v>
      </c>
      <c r="Y782" s="15" t="str">
        <f>VLOOKUP(D782,Lookup_Table!A:C,3,0)</f>
        <v>Vikram</v>
      </c>
      <c r="Z782" s="15" t="str">
        <f t="shared" si="77"/>
        <v>Achived</v>
      </c>
    </row>
    <row r="783" spans="1:26">
      <c r="A783" s="13" t="s">
        <v>874</v>
      </c>
      <c r="B783" s="14">
        <v>45890</v>
      </c>
      <c r="C783" s="13" t="s">
        <v>55</v>
      </c>
      <c r="D783" s="13" t="s">
        <v>80</v>
      </c>
      <c r="E783" s="13" t="s">
        <v>115</v>
      </c>
      <c r="F783" s="13" t="s">
        <v>111</v>
      </c>
      <c r="G783" s="13" t="s">
        <v>76</v>
      </c>
      <c r="H783" s="13" t="s">
        <v>77</v>
      </c>
      <c r="I783" s="13" t="s">
        <v>96</v>
      </c>
      <c r="J783" s="13">
        <v>2</v>
      </c>
      <c r="K783" s="13">
        <v>30.06</v>
      </c>
      <c r="L783" s="13">
        <v>0.05</v>
      </c>
      <c r="M783" s="13">
        <v>57.11</v>
      </c>
      <c r="N783" s="13">
        <v>34.98</v>
      </c>
      <c r="O783" s="13">
        <v>22.13</v>
      </c>
      <c r="P783" s="13">
        <v>2.6</v>
      </c>
      <c r="Q783" s="13" t="s">
        <v>47</v>
      </c>
      <c r="R783" s="13">
        <v>2025</v>
      </c>
      <c r="S783" s="15" t="str">
        <f t="shared" si="72"/>
        <v>Low Profit</v>
      </c>
      <c r="T783" s="15" t="str">
        <f t="shared" si="73"/>
        <v>Low Sales</v>
      </c>
      <c r="U783" s="15" t="str">
        <f t="shared" si="74"/>
        <v>Needs Improvement</v>
      </c>
      <c r="V783" s="15" t="str">
        <f t="shared" si="75"/>
        <v>Normal Discount</v>
      </c>
      <c r="W783" s="15">
        <f>VLOOKUP(D783,Lookup_Table!$A:$C,2,FALSE)</f>
        <v>0.12</v>
      </c>
      <c r="X783" s="15">
        <f t="shared" si="76"/>
        <v>0.387497811241464</v>
      </c>
      <c r="Y783" s="15" t="str">
        <f>VLOOKUP(D783,Lookup_Table!A:C,3,0)</f>
        <v>Rahul</v>
      </c>
      <c r="Z783" s="15" t="str">
        <f t="shared" si="77"/>
        <v>Achived</v>
      </c>
    </row>
    <row r="784" spans="1:26">
      <c r="A784" s="13" t="s">
        <v>875</v>
      </c>
      <c r="B784" s="14">
        <v>46007</v>
      </c>
      <c r="C784" s="13" t="s">
        <v>27</v>
      </c>
      <c r="D784" s="13" t="s">
        <v>37</v>
      </c>
      <c r="E784" s="13" t="s">
        <v>109</v>
      </c>
      <c r="F784" s="13" t="s">
        <v>30</v>
      </c>
      <c r="G784" s="13" t="s">
        <v>31</v>
      </c>
      <c r="H784" s="13" t="s">
        <v>32</v>
      </c>
      <c r="I784" s="13" t="s">
        <v>46</v>
      </c>
      <c r="J784" s="13">
        <v>3</v>
      </c>
      <c r="K784" s="13">
        <v>223.88</v>
      </c>
      <c r="L784" s="13">
        <v>0</v>
      </c>
      <c r="M784" s="13">
        <v>671.64</v>
      </c>
      <c r="N784" s="13">
        <v>411.28</v>
      </c>
      <c r="O784" s="13">
        <v>260.36</v>
      </c>
      <c r="P784" s="13">
        <v>4</v>
      </c>
      <c r="Q784" s="13" t="s">
        <v>34</v>
      </c>
      <c r="R784" s="13">
        <v>2025</v>
      </c>
      <c r="S784" s="15" t="str">
        <f t="shared" si="72"/>
        <v>Low Profit</v>
      </c>
      <c r="T784" s="15" t="str">
        <f t="shared" si="73"/>
        <v>Low Sales</v>
      </c>
      <c r="U784" s="15" t="str">
        <f t="shared" si="74"/>
        <v>Good</v>
      </c>
      <c r="V784" s="15" t="str">
        <f t="shared" si="75"/>
        <v>Normal Discount</v>
      </c>
      <c r="W784" s="15">
        <f>VLOOKUP(D784,Lookup_Table!$A:$C,2,FALSE)</f>
        <v>0.16</v>
      </c>
      <c r="X784" s="15">
        <f t="shared" si="76"/>
        <v>0.387648144839497</v>
      </c>
      <c r="Y784" s="15" t="str">
        <f>VLOOKUP(D784,Lookup_Table!A:C,3,0)</f>
        <v>Vikram</v>
      </c>
      <c r="Z784" s="15" t="str">
        <f t="shared" si="77"/>
        <v>Achived</v>
      </c>
    </row>
    <row r="785" spans="1:26">
      <c r="A785" s="13" t="s">
        <v>876</v>
      </c>
      <c r="B785" s="14">
        <v>45940</v>
      </c>
      <c r="C785" s="13" t="s">
        <v>36</v>
      </c>
      <c r="D785" s="13" t="s">
        <v>60</v>
      </c>
      <c r="E785" s="13" t="s">
        <v>61</v>
      </c>
      <c r="F785" s="13" t="s">
        <v>82</v>
      </c>
      <c r="G785" s="13" t="s">
        <v>83</v>
      </c>
      <c r="H785" s="13" t="s">
        <v>77</v>
      </c>
      <c r="I785" s="13" t="s">
        <v>33</v>
      </c>
      <c r="J785" s="13">
        <v>3</v>
      </c>
      <c r="K785" s="13">
        <v>159.71</v>
      </c>
      <c r="L785" s="13">
        <v>0.1</v>
      </c>
      <c r="M785" s="13">
        <v>431.22</v>
      </c>
      <c r="N785" s="13">
        <v>263.85</v>
      </c>
      <c r="O785" s="13">
        <v>167.37</v>
      </c>
      <c r="P785" s="13">
        <v>4.3</v>
      </c>
      <c r="Q785" s="13" t="s">
        <v>87</v>
      </c>
      <c r="R785" s="13">
        <v>2025</v>
      </c>
      <c r="S785" s="15" t="str">
        <f t="shared" si="72"/>
        <v>Low Profit</v>
      </c>
      <c r="T785" s="15" t="str">
        <f t="shared" si="73"/>
        <v>Low Sales</v>
      </c>
      <c r="U785" s="15" t="str">
        <f t="shared" si="74"/>
        <v>Good</v>
      </c>
      <c r="V785" s="15" t="str">
        <f t="shared" si="75"/>
        <v>Normal Discount</v>
      </c>
      <c r="W785" s="15">
        <f>VLOOKUP(D785,Lookup_Table!$A:$C,2,FALSE)</f>
        <v>0.15</v>
      </c>
      <c r="X785" s="15">
        <f t="shared" si="76"/>
        <v>0.388131348267706</v>
      </c>
      <c r="Y785" s="15" t="str">
        <f>VLOOKUP(D785,Lookup_Table!A:C,3,0)</f>
        <v>Priya</v>
      </c>
      <c r="Z785" s="15" t="str">
        <f t="shared" si="77"/>
        <v>Achived</v>
      </c>
    </row>
    <row r="786" spans="1:26">
      <c r="A786" s="13" t="s">
        <v>877</v>
      </c>
      <c r="B786" s="14">
        <v>46012</v>
      </c>
      <c r="C786" s="13" t="s">
        <v>36</v>
      </c>
      <c r="D786" s="13" t="s">
        <v>28</v>
      </c>
      <c r="E786" s="13" t="s">
        <v>49</v>
      </c>
      <c r="F786" s="13" t="s">
        <v>30</v>
      </c>
      <c r="G786" s="13" t="s">
        <v>31</v>
      </c>
      <c r="H786" s="13" t="s">
        <v>32</v>
      </c>
      <c r="I786" s="13" t="s">
        <v>33</v>
      </c>
      <c r="J786" s="13">
        <v>7</v>
      </c>
      <c r="K786" s="13">
        <v>73.55</v>
      </c>
      <c r="L786" s="13">
        <v>0.15</v>
      </c>
      <c r="M786" s="13">
        <v>437.62</v>
      </c>
      <c r="N786" s="13">
        <v>267.63</v>
      </c>
      <c r="O786" s="13">
        <v>169.99</v>
      </c>
      <c r="P786" s="13">
        <v>4.7</v>
      </c>
      <c r="Q786" s="13" t="s">
        <v>34</v>
      </c>
      <c r="R786" s="13">
        <v>2025</v>
      </c>
      <c r="S786" s="15" t="str">
        <f t="shared" si="72"/>
        <v>Low Profit</v>
      </c>
      <c r="T786" s="15" t="str">
        <f t="shared" si="73"/>
        <v>Low Sales</v>
      </c>
      <c r="U786" s="15" t="str">
        <f t="shared" si="74"/>
        <v>Good</v>
      </c>
      <c r="V786" s="15" t="str">
        <f t="shared" si="75"/>
        <v>High Discount</v>
      </c>
      <c r="W786" s="15">
        <f>VLOOKUP(D786,Lookup_Table!$A:$C,2,FALSE)</f>
        <v>0.2</v>
      </c>
      <c r="X786" s="15">
        <f t="shared" si="76"/>
        <v>0.388442027329647</v>
      </c>
      <c r="Y786" s="15" t="str">
        <f>VLOOKUP(D786,Lookup_Table!A:C,3,0)</f>
        <v>Sneha</v>
      </c>
      <c r="Z786" s="15" t="str">
        <f t="shared" si="77"/>
        <v>Achived</v>
      </c>
    </row>
    <row r="787" spans="1:26">
      <c r="A787" s="13" t="s">
        <v>878</v>
      </c>
      <c r="B787" s="14">
        <v>45997</v>
      </c>
      <c r="C787" s="13" t="s">
        <v>55</v>
      </c>
      <c r="D787" s="13" t="s">
        <v>28</v>
      </c>
      <c r="E787" s="13" t="s">
        <v>73</v>
      </c>
      <c r="F787" s="13" t="s">
        <v>75</v>
      </c>
      <c r="G787" s="13" t="s">
        <v>76</v>
      </c>
      <c r="H787" s="13" t="s">
        <v>77</v>
      </c>
      <c r="I787" s="13" t="s">
        <v>33</v>
      </c>
      <c r="J787" s="13">
        <v>5</v>
      </c>
      <c r="K787" s="13">
        <v>43.35</v>
      </c>
      <c r="L787" s="13">
        <v>0.1</v>
      </c>
      <c r="M787" s="13">
        <v>195.08</v>
      </c>
      <c r="N787" s="13">
        <v>119.08</v>
      </c>
      <c r="O787" s="13">
        <v>76</v>
      </c>
      <c r="P787" s="13">
        <v>5</v>
      </c>
      <c r="Q787" s="13" t="s">
        <v>34</v>
      </c>
      <c r="R787" s="13">
        <v>2025</v>
      </c>
      <c r="S787" s="15" t="str">
        <f t="shared" si="72"/>
        <v>Low Profit</v>
      </c>
      <c r="T787" s="15" t="str">
        <f t="shared" si="73"/>
        <v>Low Sales</v>
      </c>
      <c r="U787" s="15" t="str">
        <f t="shared" si="74"/>
        <v>Good</v>
      </c>
      <c r="V787" s="15" t="str">
        <f t="shared" si="75"/>
        <v>Normal Discount</v>
      </c>
      <c r="W787" s="15">
        <f>VLOOKUP(D787,Lookup_Table!$A:$C,2,FALSE)</f>
        <v>0.2</v>
      </c>
      <c r="X787" s="15">
        <f t="shared" si="76"/>
        <v>0.389583760508509</v>
      </c>
      <c r="Y787" s="15" t="str">
        <f>VLOOKUP(D787,Lookup_Table!A:C,3,0)</f>
        <v>Sneha</v>
      </c>
      <c r="Z787" s="15" t="str">
        <f t="shared" si="77"/>
        <v>Achived</v>
      </c>
    </row>
    <row r="788" spans="1:26">
      <c r="A788" s="13" t="s">
        <v>879</v>
      </c>
      <c r="B788" s="14">
        <v>45847</v>
      </c>
      <c r="C788" s="13" t="s">
        <v>27</v>
      </c>
      <c r="D788" s="13" t="s">
        <v>60</v>
      </c>
      <c r="E788" s="13" t="s">
        <v>61</v>
      </c>
      <c r="F788" s="13" t="s">
        <v>39</v>
      </c>
      <c r="G788" s="13" t="s">
        <v>40</v>
      </c>
      <c r="H788" s="13" t="s">
        <v>41</v>
      </c>
      <c r="I788" s="13" t="s">
        <v>52</v>
      </c>
      <c r="J788" s="13">
        <v>6</v>
      </c>
      <c r="K788" s="13">
        <v>558.78</v>
      </c>
      <c r="L788" s="13">
        <v>0.1</v>
      </c>
      <c r="M788" s="13">
        <v>3017.41</v>
      </c>
      <c r="N788" s="13">
        <v>1841.13</v>
      </c>
      <c r="O788" s="13">
        <v>1176.28</v>
      </c>
      <c r="P788" s="13">
        <v>3.8</v>
      </c>
      <c r="Q788" s="13" t="s">
        <v>56</v>
      </c>
      <c r="R788" s="13">
        <v>2025</v>
      </c>
      <c r="S788" s="15" t="str">
        <f t="shared" si="72"/>
        <v>High Profit</v>
      </c>
      <c r="T788" s="15" t="str">
        <f t="shared" si="73"/>
        <v>High Sales</v>
      </c>
      <c r="U788" s="15" t="str">
        <f t="shared" si="74"/>
        <v>Needs Improvement</v>
      </c>
      <c r="V788" s="15" t="str">
        <f t="shared" si="75"/>
        <v>Normal Discount</v>
      </c>
      <c r="W788" s="15">
        <f>VLOOKUP(D788,Lookup_Table!$A:$C,2,FALSE)</f>
        <v>0.15</v>
      </c>
      <c r="X788" s="15">
        <f t="shared" si="76"/>
        <v>0.389831014015331</v>
      </c>
      <c r="Y788" s="15" t="str">
        <f>VLOOKUP(D788,Lookup_Table!A:C,3,0)</f>
        <v>Priya</v>
      </c>
      <c r="Z788" s="15" t="str">
        <f t="shared" si="77"/>
        <v>Achived</v>
      </c>
    </row>
    <row r="789" spans="1:26">
      <c r="A789" s="13" t="s">
        <v>880</v>
      </c>
      <c r="B789" s="14">
        <v>45780</v>
      </c>
      <c r="C789" s="13" t="s">
        <v>27</v>
      </c>
      <c r="D789" s="13" t="s">
        <v>44</v>
      </c>
      <c r="E789" s="13" t="s">
        <v>143</v>
      </c>
      <c r="F789" s="13" t="s">
        <v>50</v>
      </c>
      <c r="G789" s="13" t="s">
        <v>51</v>
      </c>
      <c r="H789" s="13" t="s">
        <v>32</v>
      </c>
      <c r="I789" s="13" t="s">
        <v>96</v>
      </c>
      <c r="J789" s="13">
        <v>3</v>
      </c>
      <c r="K789" s="13">
        <v>512.96</v>
      </c>
      <c r="L789" s="13">
        <v>0.15</v>
      </c>
      <c r="M789" s="13">
        <v>1308.05</v>
      </c>
      <c r="N789" s="13">
        <v>798.09</v>
      </c>
      <c r="O789" s="13">
        <v>509.96</v>
      </c>
      <c r="P789" s="13">
        <v>3.4</v>
      </c>
      <c r="Q789" s="13" t="s">
        <v>42</v>
      </c>
      <c r="R789" s="13">
        <v>2025</v>
      </c>
      <c r="S789" s="15" t="str">
        <f t="shared" si="72"/>
        <v>High Profit</v>
      </c>
      <c r="T789" s="15" t="str">
        <f t="shared" si="73"/>
        <v>High Sales</v>
      </c>
      <c r="U789" s="15" t="str">
        <f t="shared" si="74"/>
        <v>Needs Improvement</v>
      </c>
      <c r="V789" s="15" t="str">
        <f t="shared" si="75"/>
        <v>High Discount</v>
      </c>
      <c r="W789" s="15">
        <f>VLOOKUP(D789,Lookup_Table!$A:$C,2,FALSE)</f>
        <v>0.18</v>
      </c>
      <c r="X789" s="15">
        <f t="shared" si="76"/>
        <v>0.389862772829785</v>
      </c>
      <c r="Y789" s="15" t="str">
        <f>VLOOKUP(D789,Lookup_Table!A:C,3,0)</f>
        <v>Amit</v>
      </c>
      <c r="Z789" s="15" t="str">
        <f t="shared" si="77"/>
        <v>Achived</v>
      </c>
    </row>
    <row r="790" spans="1:26">
      <c r="A790" s="13" t="s">
        <v>881</v>
      </c>
      <c r="B790" s="14">
        <v>45847</v>
      </c>
      <c r="C790" s="13" t="s">
        <v>27</v>
      </c>
      <c r="D790" s="13" t="s">
        <v>80</v>
      </c>
      <c r="E790" s="13" t="s">
        <v>115</v>
      </c>
      <c r="F790" s="13" t="s">
        <v>50</v>
      </c>
      <c r="G790" s="13" t="s">
        <v>51</v>
      </c>
      <c r="H790" s="13" t="s">
        <v>32</v>
      </c>
      <c r="I790" s="13" t="s">
        <v>52</v>
      </c>
      <c r="J790" s="13">
        <v>5</v>
      </c>
      <c r="K790" s="13">
        <v>62.66</v>
      </c>
      <c r="L790" s="13">
        <v>0.15</v>
      </c>
      <c r="M790" s="13">
        <v>266.3</v>
      </c>
      <c r="N790" s="13">
        <v>162.46</v>
      </c>
      <c r="O790" s="13">
        <v>103.84</v>
      </c>
      <c r="P790" s="13">
        <v>2.7</v>
      </c>
      <c r="Q790" s="13" t="s">
        <v>56</v>
      </c>
      <c r="R790" s="13">
        <v>2025</v>
      </c>
      <c r="S790" s="15" t="str">
        <f t="shared" si="72"/>
        <v>Low Profit</v>
      </c>
      <c r="T790" s="15" t="str">
        <f t="shared" si="73"/>
        <v>Low Sales</v>
      </c>
      <c r="U790" s="15" t="str">
        <f t="shared" si="74"/>
        <v>Needs Improvement</v>
      </c>
      <c r="V790" s="15" t="str">
        <f t="shared" si="75"/>
        <v>High Discount</v>
      </c>
      <c r="W790" s="15">
        <f>VLOOKUP(D790,Lookup_Table!$A:$C,2,FALSE)</f>
        <v>0.12</v>
      </c>
      <c r="X790" s="15">
        <f t="shared" si="76"/>
        <v>0.389936162223057</v>
      </c>
      <c r="Y790" s="15" t="str">
        <f>VLOOKUP(D790,Lookup_Table!A:C,3,0)</f>
        <v>Rahul</v>
      </c>
      <c r="Z790" s="15" t="str">
        <f t="shared" si="77"/>
        <v>Achived</v>
      </c>
    </row>
    <row r="791" spans="1:26">
      <c r="A791" s="13" t="s">
        <v>882</v>
      </c>
      <c r="B791" s="14">
        <v>45689</v>
      </c>
      <c r="C791" s="13" t="s">
        <v>36</v>
      </c>
      <c r="D791" s="13" t="s">
        <v>37</v>
      </c>
      <c r="E791" s="13" t="s">
        <v>38</v>
      </c>
      <c r="F791" s="13" t="s">
        <v>39</v>
      </c>
      <c r="G791" s="13" t="s">
        <v>40</v>
      </c>
      <c r="H791" s="13" t="s">
        <v>41</v>
      </c>
      <c r="I791" s="13" t="s">
        <v>52</v>
      </c>
      <c r="J791" s="13">
        <v>5</v>
      </c>
      <c r="K791" s="13">
        <v>235.22</v>
      </c>
      <c r="L791" s="13">
        <v>0.1</v>
      </c>
      <c r="M791" s="13">
        <v>1058.49</v>
      </c>
      <c r="N791" s="13">
        <v>645.54</v>
      </c>
      <c r="O791" s="13">
        <v>412.95</v>
      </c>
      <c r="P791" s="13">
        <v>3.1</v>
      </c>
      <c r="Q791" s="13" t="s">
        <v>105</v>
      </c>
      <c r="R791" s="13">
        <v>2025</v>
      </c>
      <c r="S791" s="15" t="str">
        <f t="shared" si="72"/>
        <v>Low Profit</v>
      </c>
      <c r="T791" s="15" t="str">
        <f t="shared" si="73"/>
        <v>High Sales</v>
      </c>
      <c r="U791" s="15" t="str">
        <f t="shared" si="74"/>
        <v>Needs Improvement</v>
      </c>
      <c r="V791" s="15" t="str">
        <f t="shared" si="75"/>
        <v>Normal Discount</v>
      </c>
      <c r="W791" s="15">
        <f>VLOOKUP(D791,Lookup_Table!$A:$C,2,FALSE)</f>
        <v>0.16</v>
      </c>
      <c r="X791" s="15">
        <f t="shared" si="76"/>
        <v>0.390131224669104</v>
      </c>
      <c r="Y791" s="15" t="str">
        <f>VLOOKUP(D791,Lookup_Table!A:C,3,0)</f>
        <v>Vikram</v>
      </c>
      <c r="Z791" s="15" t="str">
        <f t="shared" si="77"/>
        <v>Achived</v>
      </c>
    </row>
    <row r="792" spans="1:26">
      <c r="A792" s="13" t="s">
        <v>883</v>
      </c>
      <c r="B792" s="14">
        <v>45837</v>
      </c>
      <c r="C792" s="13" t="s">
        <v>55</v>
      </c>
      <c r="D792" s="13" t="s">
        <v>28</v>
      </c>
      <c r="E792" s="13" t="s">
        <v>90</v>
      </c>
      <c r="F792" s="13" t="s">
        <v>82</v>
      </c>
      <c r="G792" s="13" t="s">
        <v>83</v>
      </c>
      <c r="H792" s="13" t="s">
        <v>77</v>
      </c>
      <c r="I792" s="13" t="s">
        <v>96</v>
      </c>
      <c r="J792" s="13">
        <v>4</v>
      </c>
      <c r="K792" s="13">
        <v>106.53</v>
      </c>
      <c r="L792" s="13">
        <v>0.15</v>
      </c>
      <c r="M792" s="13">
        <v>362.2</v>
      </c>
      <c r="N792" s="13">
        <v>220.83</v>
      </c>
      <c r="O792" s="13">
        <v>141.37</v>
      </c>
      <c r="P792" s="13">
        <v>5</v>
      </c>
      <c r="Q792" s="13" t="s">
        <v>58</v>
      </c>
      <c r="R792" s="13">
        <v>2025</v>
      </c>
      <c r="S792" s="15" t="str">
        <f t="shared" si="72"/>
        <v>Low Profit</v>
      </c>
      <c r="T792" s="15" t="str">
        <f t="shared" si="73"/>
        <v>Low Sales</v>
      </c>
      <c r="U792" s="15" t="str">
        <f t="shared" si="74"/>
        <v>Good</v>
      </c>
      <c r="V792" s="15" t="str">
        <f t="shared" si="75"/>
        <v>High Discount</v>
      </c>
      <c r="W792" s="15">
        <f>VLOOKUP(D792,Lookup_Table!$A:$C,2,FALSE)</f>
        <v>0.2</v>
      </c>
      <c r="X792" s="15">
        <f t="shared" si="76"/>
        <v>0.390309221424627</v>
      </c>
      <c r="Y792" s="15" t="str">
        <f>VLOOKUP(D792,Lookup_Table!A:C,3,0)</f>
        <v>Sneha</v>
      </c>
      <c r="Z792" s="15" t="str">
        <f t="shared" si="77"/>
        <v>Achived</v>
      </c>
    </row>
    <row r="793" spans="1:26">
      <c r="A793" s="13" t="s">
        <v>884</v>
      </c>
      <c r="B793" s="14">
        <v>45912</v>
      </c>
      <c r="C793" s="13" t="s">
        <v>27</v>
      </c>
      <c r="D793" s="13" t="s">
        <v>37</v>
      </c>
      <c r="E793" s="13" t="s">
        <v>93</v>
      </c>
      <c r="F793" s="13" t="s">
        <v>75</v>
      </c>
      <c r="G793" s="13" t="s">
        <v>76</v>
      </c>
      <c r="H793" s="13" t="s">
        <v>77</v>
      </c>
      <c r="I793" s="13" t="s">
        <v>46</v>
      </c>
      <c r="J793" s="13">
        <v>6</v>
      </c>
      <c r="K793" s="13">
        <v>397.16</v>
      </c>
      <c r="L793" s="13">
        <v>0.15</v>
      </c>
      <c r="M793" s="13">
        <v>2025.52</v>
      </c>
      <c r="N793" s="13">
        <v>1234.43</v>
      </c>
      <c r="O793" s="13">
        <v>791.09</v>
      </c>
      <c r="P793" s="13">
        <v>4.5</v>
      </c>
      <c r="Q793" s="13" t="s">
        <v>53</v>
      </c>
      <c r="R793" s="13">
        <v>2025</v>
      </c>
      <c r="S793" s="15" t="str">
        <f t="shared" si="72"/>
        <v>High Profit</v>
      </c>
      <c r="T793" s="15" t="str">
        <f t="shared" si="73"/>
        <v>High Sales</v>
      </c>
      <c r="U793" s="15" t="str">
        <f t="shared" si="74"/>
        <v>Good</v>
      </c>
      <c r="V793" s="15" t="str">
        <f t="shared" si="75"/>
        <v>High Discount</v>
      </c>
      <c r="W793" s="15">
        <f>VLOOKUP(D793,Lookup_Table!$A:$C,2,FALSE)</f>
        <v>0.16</v>
      </c>
      <c r="X793" s="15">
        <f t="shared" si="76"/>
        <v>0.390561436075674</v>
      </c>
      <c r="Y793" s="15" t="str">
        <f>VLOOKUP(D793,Lookup_Table!A:C,3,0)</f>
        <v>Vikram</v>
      </c>
      <c r="Z793" s="15" t="str">
        <f t="shared" si="77"/>
        <v>Achived</v>
      </c>
    </row>
    <row r="794" spans="1:26">
      <c r="A794" s="13" t="s">
        <v>885</v>
      </c>
      <c r="B794" s="14">
        <v>45721</v>
      </c>
      <c r="C794" s="13" t="s">
        <v>55</v>
      </c>
      <c r="D794" s="13" t="s">
        <v>60</v>
      </c>
      <c r="E794" s="13" t="s">
        <v>66</v>
      </c>
      <c r="F794" s="13" t="s">
        <v>98</v>
      </c>
      <c r="G794" s="13" t="s">
        <v>99</v>
      </c>
      <c r="H794" s="13" t="s">
        <v>77</v>
      </c>
      <c r="I794" s="13" t="s">
        <v>33</v>
      </c>
      <c r="J794" s="13">
        <v>4</v>
      </c>
      <c r="K794" s="13">
        <v>715.69</v>
      </c>
      <c r="L794" s="13">
        <v>0.15</v>
      </c>
      <c r="M794" s="13">
        <v>2433.35</v>
      </c>
      <c r="N794" s="13">
        <v>1482.23</v>
      </c>
      <c r="O794" s="13">
        <v>951.12</v>
      </c>
      <c r="P794" s="13">
        <v>2.6</v>
      </c>
      <c r="Q794" s="13" t="s">
        <v>94</v>
      </c>
      <c r="R794" s="13">
        <v>2025</v>
      </c>
      <c r="S794" s="15" t="str">
        <f t="shared" si="72"/>
        <v>High Profit</v>
      </c>
      <c r="T794" s="15" t="str">
        <f t="shared" si="73"/>
        <v>High Sales</v>
      </c>
      <c r="U794" s="15" t="str">
        <f t="shared" si="74"/>
        <v>Needs Improvement</v>
      </c>
      <c r="V794" s="15" t="str">
        <f t="shared" si="75"/>
        <v>High Discount</v>
      </c>
      <c r="W794" s="15">
        <f>VLOOKUP(D794,Lookup_Table!$A:$C,2,FALSE)</f>
        <v>0.15</v>
      </c>
      <c r="X794" s="15">
        <f t="shared" si="76"/>
        <v>0.390868555694824</v>
      </c>
      <c r="Y794" s="15" t="str">
        <f>VLOOKUP(D794,Lookup_Table!A:C,3,0)</f>
        <v>Priya</v>
      </c>
      <c r="Z794" s="15" t="str">
        <f t="shared" si="77"/>
        <v>Achived</v>
      </c>
    </row>
    <row r="795" spans="1:26">
      <c r="A795" s="13" t="s">
        <v>886</v>
      </c>
      <c r="B795" s="14">
        <v>45747</v>
      </c>
      <c r="C795" s="13" t="s">
        <v>55</v>
      </c>
      <c r="D795" s="13" t="s">
        <v>37</v>
      </c>
      <c r="E795" s="13" t="s">
        <v>109</v>
      </c>
      <c r="F795" s="13" t="s">
        <v>67</v>
      </c>
      <c r="G795" s="13" t="s">
        <v>68</v>
      </c>
      <c r="H795" s="13" t="s">
        <v>69</v>
      </c>
      <c r="I795" s="13" t="s">
        <v>52</v>
      </c>
      <c r="J795" s="13">
        <v>2</v>
      </c>
      <c r="K795" s="13">
        <v>228.47</v>
      </c>
      <c r="L795" s="13">
        <v>0.1</v>
      </c>
      <c r="M795" s="13">
        <v>411.25</v>
      </c>
      <c r="N795" s="13">
        <v>250.45</v>
      </c>
      <c r="O795" s="13">
        <v>160.8</v>
      </c>
      <c r="P795" s="13">
        <v>4.1</v>
      </c>
      <c r="Q795" s="13" t="s">
        <v>94</v>
      </c>
      <c r="R795" s="13">
        <v>2025</v>
      </c>
      <c r="S795" s="15" t="str">
        <f t="shared" si="72"/>
        <v>Low Profit</v>
      </c>
      <c r="T795" s="15" t="str">
        <f t="shared" si="73"/>
        <v>Low Sales</v>
      </c>
      <c r="U795" s="15" t="str">
        <f t="shared" si="74"/>
        <v>Good</v>
      </c>
      <c r="V795" s="15" t="str">
        <f t="shared" si="75"/>
        <v>Normal Discount</v>
      </c>
      <c r="W795" s="15">
        <f>VLOOKUP(D795,Lookup_Table!$A:$C,2,FALSE)</f>
        <v>0.16</v>
      </c>
      <c r="X795" s="15">
        <f t="shared" si="76"/>
        <v>0.391003039513678</v>
      </c>
      <c r="Y795" s="15" t="str">
        <f>VLOOKUP(D795,Lookup_Table!A:C,3,0)</f>
        <v>Vikram</v>
      </c>
      <c r="Z795" s="15" t="str">
        <f t="shared" si="77"/>
        <v>Achived</v>
      </c>
    </row>
    <row r="796" spans="1:26">
      <c r="A796" s="13" t="s">
        <v>887</v>
      </c>
      <c r="B796" s="14">
        <v>45775</v>
      </c>
      <c r="C796" s="13" t="s">
        <v>36</v>
      </c>
      <c r="D796" s="13" t="s">
        <v>37</v>
      </c>
      <c r="E796" s="13" t="s">
        <v>109</v>
      </c>
      <c r="F796" s="13" t="s">
        <v>111</v>
      </c>
      <c r="G796" s="13" t="s">
        <v>76</v>
      </c>
      <c r="H796" s="13" t="s">
        <v>77</v>
      </c>
      <c r="I796" s="13" t="s">
        <v>52</v>
      </c>
      <c r="J796" s="13">
        <v>7</v>
      </c>
      <c r="K796" s="13">
        <v>208.93</v>
      </c>
      <c r="L796" s="13">
        <v>0.05</v>
      </c>
      <c r="M796" s="13">
        <v>1389.38</v>
      </c>
      <c r="N796" s="13">
        <v>846.04</v>
      </c>
      <c r="O796" s="13">
        <v>543.34</v>
      </c>
      <c r="P796" s="13">
        <v>3.7</v>
      </c>
      <c r="Q796" s="13" t="s">
        <v>84</v>
      </c>
      <c r="R796" s="13">
        <v>2025</v>
      </c>
      <c r="S796" s="15" t="str">
        <f t="shared" si="72"/>
        <v>High Profit</v>
      </c>
      <c r="T796" s="15" t="str">
        <f t="shared" si="73"/>
        <v>High Sales</v>
      </c>
      <c r="U796" s="15" t="str">
        <f t="shared" si="74"/>
        <v>Needs Improvement</v>
      </c>
      <c r="V796" s="15" t="str">
        <f t="shared" si="75"/>
        <v>Normal Discount</v>
      </c>
      <c r="W796" s="15">
        <f>VLOOKUP(D796,Lookup_Table!$A:$C,2,FALSE)</f>
        <v>0.16</v>
      </c>
      <c r="X796" s="15">
        <f t="shared" si="76"/>
        <v>0.391066518878924</v>
      </c>
      <c r="Y796" s="15" t="str">
        <f>VLOOKUP(D796,Lookup_Table!A:C,3,0)</f>
        <v>Vikram</v>
      </c>
      <c r="Z796" s="15" t="str">
        <f t="shared" si="77"/>
        <v>Achived</v>
      </c>
    </row>
    <row r="797" spans="1:26">
      <c r="A797" s="13" t="s">
        <v>888</v>
      </c>
      <c r="B797" s="14">
        <v>45721</v>
      </c>
      <c r="C797" s="13" t="s">
        <v>27</v>
      </c>
      <c r="D797" s="13" t="s">
        <v>37</v>
      </c>
      <c r="E797" s="13" t="s">
        <v>93</v>
      </c>
      <c r="F797" s="13" t="s">
        <v>62</v>
      </c>
      <c r="G797" s="13" t="s">
        <v>63</v>
      </c>
      <c r="H797" s="13" t="s">
        <v>32</v>
      </c>
      <c r="I797" s="13" t="s">
        <v>96</v>
      </c>
      <c r="J797" s="13">
        <v>1</v>
      </c>
      <c r="K797" s="13">
        <v>446.55</v>
      </c>
      <c r="L797" s="13">
        <v>0.2</v>
      </c>
      <c r="M797" s="13">
        <v>357.24</v>
      </c>
      <c r="N797" s="13">
        <v>217.51</v>
      </c>
      <c r="O797" s="13">
        <v>139.73</v>
      </c>
      <c r="P797" s="13">
        <v>3.9</v>
      </c>
      <c r="Q797" s="13" t="s">
        <v>94</v>
      </c>
      <c r="R797" s="13">
        <v>2025</v>
      </c>
      <c r="S797" s="15" t="str">
        <f t="shared" si="72"/>
        <v>Low Profit</v>
      </c>
      <c r="T797" s="15" t="str">
        <f t="shared" si="73"/>
        <v>Low Sales</v>
      </c>
      <c r="U797" s="15" t="str">
        <f t="shared" si="74"/>
        <v>Needs Improvement</v>
      </c>
      <c r="V797" s="15" t="str">
        <f t="shared" si="75"/>
        <v>High Discount</v>
      </c>
      <c r="W797" s="15">
        <f>VLOOKUP(D797,Lookup_Table!$A:$C,2,FALSE)</f>
        <v>0.16</v>
      </c>
      <c r="X797" s="15">
        <f t="shared" si="76"/>
        <v>0.391137610569925</v>
      </c>
      <c r="Y797" s="15" t="str">
        <f>VLOOKUP(D797,Lookup_Table!A:C,3,0)</f>
        <v>Vikram</v>
      </c>
      <c r="Z797" s="15" t="str">
        <f t="shared" si="77"/>
        <v>Achived</v>
      </c>
    </row>
    <row r="798" spans="1:26">
      <c r="A798" s="13" t="s">
        <v>889</v>
      </c>
      <c r="B798" s="14">
        <v>45865</v>
      </c>
      <c r="C798" s="13" t="s">
        <v>27</v>
      </c>
      <c r="D798" s="13" t="s">
        <v>28</v>
      </c>
      <c r="E798" s="13" t="s">
        <v>29</v>
      </c>
      <c r="F798" s="13" t="s">
        <v>50</v>
      </c>
      <c r="G798" s="13" t="s">
        <v>51</v>
      </c>
      <c r="H798" s="13" t="s">
        <v>32</v>
      </c>
      <c r="I798" s="13" t="s">
        <v>46</v>
      </c>
      <c r="J798" s="13">
        <v>5</v>
      </c>
      <c r="K798" s="13">
        <v>44.22</v>
      </c>
      <c r="L798" s="13">
        <v>0.1</v>
      </c>
      <c r="M798" s="13">
        <v>198.99</v>
      </c>
      <c r="N798" s="13">
        <v>121.03</v>
      </c>
      <c r="O798" s="13">
        <v>77.96</v>
      </c>
      <c r="P798" s="13">
        <v>3</v>
      </c>
      <c r="Q798" s="13" t="s">
        <v>56</v>
      </c>
      <c r="R798" s="13">
        <v>2025</v>
      </c>
      <c r="S798" s="15" t="str">
        <f t="shared" si="72"/>
        <v>Low Profit</v>
      </c>
      <c r="T798" s="15" t="str">
        <f t="shared" si="73"/>
        <v>Low Sales</v>
      </c>
      <c r="U798" s="15" t="str">
        <f t="shared" si="74"/>
        <v>Needs Improvement</v>
      </c>
      <c r="V798" s="15" t="str">
        <f t="shared" si="75"/>
        <v>Normal Discount</v>
      </c>
      <c r="W798" s="15">
        <f>VLOOKUP(D798,Lookup_Table!$A:$C,2,FALSE)</f>
        <v>0.2</v>
      </c>
      <c r="X798" s="15">
        <f t="shared" si="76"/>
        <v>0.39177848133072</v>
      </c>
      <c r="Y798" s="15" t="str">
        <f>VLOOKUP(D798,Lookup_Table!A:C,3,0)</f>
        <v>Sneha</v>
      </c>
      <c r="Z798" s="15" t="str">
        <f t="shared" si="77"/>
        <v>Achived</v>
      </c>
    </row>
    <row r="799" spans="1:26">
      <c r="A799" s="13" t="s">
        <v>890</v>
      </c>
      <c r="B799" s="14">
        <v>45986</v>
      </c>
      <c r="C799" s="13" t="s">
        <v>27</v>
      </c>
      <c r="D799" s="13" t="s">
        <v>80</v>
      </c>
      <c r="E799" s="13" t="s">
        <v>115</v>
      </c>
      <c r="F799" s="13" t="s">
        <v>98</v>
      </c>
      <c r="G799" s="13" t="s">
        <v>99</v>
      </c>
      <c r="H799" s="13" t="s">
        <v>77</v>
      </c>
      <c r="I799" s="13" t="s">
        <v>52</v>
      </c>
      <c r="J799" s="13">
        <v>3</v>
      </c>
      <c r="K799" s="13">
        <v>45.38</v>
      </c>
      <c r="L799" s="13">
        <v>0</v>
      </c>
      <c r="M799" s="13">
        <v>136.14</v>
      </c>
      <c r="N799" s="13">
        <v>82.79</v>
      </c>
      <c r="O799" s="13">
        <v>53.35</v>
      </c>
      <c r="P799" s="13">
        <v>4.6</v>
      </c>
      <c r="Q799" s="13" t="s">
        <v>71</v>
      </c>
      <c r="R799" s="13">
        <v>2025</v>
      </c>
      <c r="S799" s="15" t="str">
        <f t="shared" si="72"/>
        <v>Low Profit</v>
      </c>
      <c r="T799" s="15" t="str">
        <f t="shared" si="73"/>
        <v>Low Sales</v>
      </c>
      <c r="U799" s="15" t="str">
        <f t="shared" si="74"/>
        <v>Good</v>
      </c>
      <c r="V799" s="15" t="str">
        <f t="shared" si="75"/>
        <v>Normal Discount</v>
      </c>
      <c r="W799" s="15">
        <f>VLOOKUP(D799,Lookup_Table!$A:$C,2,FALSE)</f>
        <v>0.12</v>
      </c>
      <c r="X799" s="15">
        <f t="shared" si="76"/>
        <v>0.391876009989717</v>
      </c>
      <c r="Y799" s="15" t="str">
        <f>VLOOKUP(D799,Lookup_Table!A:C,3,0)</f>
        <v>Rahul</v>
      </c>
      <c r="Z799" s="15" t="str">
        <f t="shared" si="77"/>
        <v>Achived</v>
      </c>
    </row>
    <row r="800" spans="1:26">
      <c r="A800" s="13" t="s">
        <v>891</v>
      </c>
      <c r="B800" s="14">
        <v>45747</v>
      </c>
      <c r="C800" s="13" t="s">
        <v>55</v>
      </c>
      <c r="D800" s="13" t="s">
        <v>28</v>
      </c>
      <c r="E800" s="13" t="s">
        <v>29</v>
      </c>
      <c r="F800" s="13" t="s">
        <v>67</v>
      </c>
      <c r="G800" s="13" t="s">
        <v>68</v>
      </c>
      <c r="H800" s="13" t="s">
        <v>69</v>
      </c>
      <c r="I800" s="13" t="s">
        <v>52</v>
      </c>
      <c r="J800" s="13">
        <v>3</v>
      </c>
      <c r="K800" s="13">
        <v>103.36</v>
      </c>
      <c r="L800" s="13">
        <v>0.05</v>
      </c>
      <c r="M800" s="13">
        <v>294.58</v>
      </c>
      <c r="N800" s="13">
        <v>179.14</v>
      </c>
      <c r="O800" s="13">
        <v>115.44</v>
      </c>
      <c r="P800" s="13">
        <v>3.5</v>
      </c>
      <c r="Q800" s="13" t="s">
        <v>94</v>
      </c>
      <c r="R800" s="13">
        <v>2025</v>
      </c>
      <c r="S800" s="15" t="str">
        <f t="shared" si="72"/>
        <v>Low Profit</v>
      </c>
      <c r="T800" s="15" t="str">
        <f t="shared" si="73"/>
        <v>Low Sales</v>
      </c>
      <c r="U800" s="15" t="str">
        <f t="shared" si="74"/>
        <v>Needs Improvement</v>
      </c>
      <c r="V800" s="15" t="str">
        <f t="shared" si="75"/>
        <v>Normal Discount</v>
      </c>
      <c r="W800" s="15">
        <f>VLOOKUP(D800,Lookup_Table!$A:$C,2,FALSE)</f>
        <v>0.2</v>
      </c>
      <c r="X800" s="15">
        <f t="shared" si="76"/>
        <v>0.391879964695499</v>
      </c>
      <c r="Y800" s="15" t="str">
        <f>VLOOKUP(D800,Lookup_Table!A:C,3,0)</f>
        <v>Sneha</v>
      </c>
      <c r="Z800" s="15" t="str">
        <f t="shared" si="77"/>
        <v>Achived</v>
      </c>
    </row>
    <row r="801" spans="1:26">
      <c r="A801" s="13" t="s">
        <v>892</v>
      </c>
      <c r="B801" s="14">
        <v>45803</v>
      </c>
      <c r="C801" s="13" t="s">
        <v>55</v>
      </c>
      <c r="D801" s="13" t="s">
        <v>44</v>
      </c>
      <c r="E801" s="13" t="s">
        <v>143</v>
      </c>
      <c r="F801" s="13" t="s">
        <v>39</v>
      </c>
      <c r="G801" s="13" t="s">
        <v>40</v>
      </c>
      <c r="H801" s="13" t="s">
        <v>41</v>
      </c>
      <c r="I801" s="13" t="s">
        <v>46</v>
      </c>
      <c r="J801" s="13">
        <v>6</v>
      </c>
      <c r="K801" s="13">
        <v>267.82</v>
      </c>
      <c r="L801" s="13">
        <v>0.15</v>
      </c>
      <c r="M801" s="13">
        <v>1365.88</v>
      </c>
      <c r="N801" s="13">
        <v>830.5</v>
      </c>
      <c r="O801" s="13">
        <v>535.38</v>
      </c>
      <c r="P801" s="13">
        <v>2.7</v>
      </c>
      <c r="Q801" s="13" t="s">
        <v>42</v>
      </c>
      <c r="R801" s="13">
        <v>2025</v>
      </c>
      <c r="S801" s="15" t="str">
        <f t="shared" si="72"/>
        <v>High Profit</v>
      </c>
      <c r="T801" s="15" t="str">
        <f t="shared" si="73"/>
        <v>High Sales</v>
      </c>
      <c r="U801" s="15" t="str">
        <f t="shared" si="74"/>
        <v>Needs Improvement</v>
      </c>
      <c r="V801" s="15" t="str">
        <f t="shared" si="75"/>
        <v>High Discount</v>
      </c>
      <c r="W801" s="15">
        <f>VLOOKUP(D801,Lookup_Table!$A:$C,2,FALSE)</f>
        <v>0.18</v>
      </c>
      <c r="X801" s="15">
        <f t="shared" si="76"/>
        <v>0.391967083491961</v>
      </c>
      <c r="Y801" s="15" t="str">
        <f>VLOOKUP(D801,Lookup_Table!A:C,3,0)</f>
        <v>Amit</v>
      </c>
      <c r="Z801" s="15" t="str">
        <f t="shared" si="77"/>
        <v>Achived</v>
      </c>
    </row>
    <row r="802" spans="1:26">
      <c r="A802" s="13" t="s">
        <v>893</v>
      </c>
      <c r="B802" s="14">
        <v>45785</v>
      </c>
      <c r="C802" s="13" t="s">
        <v>27</v>
      </c>
      <c r="D802" s="13" t="s">
        <v>60</v>
      </c>
      <c r="E802" s="13" t="s">
        <v>66</v>
      </c>
      <c r="F802" s="13" t="s">
        <v>98</v>
      </c>
      <c r="G802" s="13" t="s">
        <v>99</v>
      </c>
      <c r="H802" s="13" t="s">
        <v>77</v>
      </c>
      <c r="I802" s="13" t="s">
        <v>52</v>
      </c>
      <c r="J802" s="13">
        <v>5</v>
      </c>
      <c r="K802" s="13">
        <v>153.11</v>
      </c>
      <c r="L802" s="13">
        <v>0.1</v>
      </c>
      <c r="M802" s="13">
        <v>689</v>
      </c>
      <c r="N802" s="13">
        <v>418.64</v>
      </c>
      <c r="O802" s="13">
        <v>270.36</v>
      </c>
      <c r="P802" s="13">
        <v>4.6</v>
      </c>
      <c r="Q802" s="13" t="s">
        <v>42</v>
      </c>
      <c r="R802" s="13">
        <v>2025</v>
      </c>
      <c r="S802" s="15" t="str">
        <f t="shared" si="72"/>
        <v>Low Profit</v>
      </c>
      <c r="T802" s="15" t="str">
        <f t="shared" si="73"/>
        <v>Low Sales</v>
      </c>
      <c r="U802" s="15" t="str">
        <f t="shared" si="74"/>
        <v>Good</v>
      </c>
      <c r="V802" s="15" t="str">
        <f t="shared" si="75"/>
        <v>Normal Discount</v>
      </c>
      <c r="W802" s="15">
        <f>VLOOKUP(D802,Lookup_Table!$A:$C,2,FALSE)</f>
        <v>0.15</v>
      </c>
      <c r="X802" s="15">
        <f t="shared" si="76"/>
        <v>0.392394775036285</v>
      </c>
      <c r="Y802" s="15" t="str">
        <f>VLOOKUP(D802,Lookup_Table!A:C,3,0)</f>
        <v>Priya</v>
      </c>
      <c r="Z802" s="15" t="str">
        <f t="shared" si="77"/>
        <v>Achived</v>
      </c>
    </row>
    <row r="803" spans="1:26">
      <c r="A803" s="13" t="s">
        <v>894</v>
      </c>
      <c r="B803" s="14">
        <v>45960</v>
      </c>
      <c r="C803" s="13" t="s">
        <v>27</v>
      </c>
      <c r="D803" s="13" t="s">
        <v>44</v>
      </c>
      <c r="E803" s="13" t="s">
        <v>45</v>
      </c>
      <c r="F803" s="13" t="s">
        <v>116</v>
      </c>
      <c r="G803" s="13" t="s">
        <v>117</v>
      </c>
      <c r="H803" s="13" t="s">
        <v>32</v>
      </c>
      <c r="I803" s="13" t="s">
        <v>46</v>
      </c>
      <c r="J803" s="13">
        <v>5</v>
      </c>
      <c r="K803" s="13">
        <v>135.76</v>
      </c>
      <c r="L803" s="13">
        <v>0</v>
      </c>
      <c r="M803" s="13">
        <v>678.8</v>
      </c>
      <c r="N803" s="13">
        <v>412.41</v>
      </c>
      <c r="O803" s="13">
        <v>266.39</v>
      </c>
      <c r="P803" s="13">
        <v>4</v>
      </c>
      <c r="Q803" s="13" t="s">
        <v>87</v>
      </c>
      <c r="R803" s="13">
        <v>2025</v>
      </c>
      <c r="S803" s="15" t="str">
        <f t="shared" si="72"/>
        <v>Low Profit</v>
      </c>
      <c r="T803" s="15" t="str">
        <f t="shared" si="73"/>
        <v>Low Sales</v>
      </c>
      <c r="U803" s="15" t="str">
        <f t="shared" si="74"/>
        <v>Good</v>
      </c>
      <c r="V803" s="15" t="str">
        <f t="shared" si="75"/>
        <v>Normal Discount</v>
      </c>
      <c r="W803" s="15">
        <f>VLOOKUP(D803,Lookup_Table!$A:$C,2,FALSE)</f>
        <v>0.18</v>
      </c>
      <c r="X803" s="15">
        <f t="shared" si="76"/>
        <v>0.392442545668827</v>
      </c>
      <c r="Y803" s="15" t="str">
        <f>VLOOKUP(D803,Lookup_Table!A:C,3,0)</f>
        <v>Amit</v>
      </c>
      <c r="Z803" s="15" t="str">
        <f t="shared" si="77"/>
        <v>Achived</v>
      </c>
    </row>
    <row r="804" spans="1:26">
      <c r="A804" s="13" t="s">
        <v>895</v>
      </c>
      <c r="B804" s="14">
        <v>45962</v>
      </c>
      <c r="C804" s="13" t="s">
        <v>55</v>
      </c>
      <c r="D804" s="13" t="s">
        <v>28</v>
      </c>
      <c r="E804" s="13" t="s">
        <v>73</v>
      </c>
      <c r="F804" s="13" t="s">
        <v>39</v>
      </c>
      <c r="G804" s="13" t="s">
        <v>40</v>
      </c>
      <c r="H804" s="13" t="s">
        <v>41</v>
      </c>
      <c r="I804" s="13" t="s">
        <v>52</v>
      </c>
      <c r="J804" s="13">
        <v>7</v>
      </c>
      <c r="K804" s="13">
        <v>152.38</v>
      </c>
      <c r="L804" s="13">
        <v>0.1</v>
      </c>
      <c r="M804" s="13">
        <v>959.99</v>
      </c>
      <c r="N804" s="13">
        <v>583.15</v>
      </c>
      <c r="O804" s="13">
        <v>376.84</v>
      </c>
      <c r="P804" s="13">
        <v>3.1</v>
      </c>
      <c r="Q804" s="13" t="s">
        <v>71</v>
      </c>
      <c r="R804" s="13">
        <v>2025</v>
      </c>
      <c r="S804" s="15" t="str">
        <f t="shared" si="72"/>
        <v>Low Profit</v>
      </c>
      <c r="T804" s="15" t="str">
        <f t="shared" si="73"/>
        <v>Low Sales</v>
      </c>
      <c r="U804" s="15" t="str">
        <f t="shared" si="74"/>
        <v>Needs Improvement</v>
      </c>
      <c r="V804" s="15" t="str">
        <f t="shared" si="75"/>
        <v>Normal Discount</v>
      </c>
      <c r="W804" s="15">
        <f>VLOOKUP(D804,Lookup_Table!$A:$C,2,FALSE)</f>
        <v>0.2</v>
      </c>
      <c r="X804" s="15">
        <f t="shared" si="76"/>
        <v>0.392545755684955</v>
      </c>
      <c r="Y804" s="15" t="str">
        <f>VLOOKUP(D804,Lookup_Table!A:C,3,0)</f>
        <v>Sneha</v>
      </c>
      <c r="Z804" s="15" t="str">
        <f t="shared" si="77"/>
        <v>Achived</v>
      </c>
    </row>
    <row r="805" spans="1:26">
      <c r="A805" s="13" t="s">
        <v>896</v>
      </c>
      <c r="B805" s="14">
        <v>45858</v>
      </c>
      <c r="C805" s="13" t="s">
        <v>55</v>
      </c>
      <c r="D805" s="13" t="s">
        <v>44</v>
      </c>
      <c r="E805" s="13" t="s">
        <v>45</v>
      </c>
      <c r="F805" s="13" t="s">
        <v>116</v>
      </c>
      <c r="G805" s="13" t="s">
        <v>117</v>
      </c>
      <c r="H805" s="13" t="s">
        <v>32</v>
      </c>
      <c r="I805" s="13" t="s">
        <v>52</v>
      </c>
      <c r="J805" s="13">
        <v>5</v>
      </c>
      <c r="K805" s="13">
        <v>679.51</v>
      </c>
      <c r="L805" s="13">
        <v>0.2</v>
      </c>
      <c r="M805" s="13">
        <v>2718.04</v>
      </c>
      <c r="N805" s="13">
        <v>1651.06</v>
      </c>
      <c r="O805" s="13">
        <v>1066.98</v>
      </c>
      <c r="P805" s="13">
        <v>4.1</v>
      </c>
      <c r="Q805" s="13" t="s">
        <v>56</v>
      </c>
      <c r="R805" s="13">
        <v>2025</v>
      </c>
      <c r="S805" s="15" t="str">
        <f t="shared" si="72"/>
        <v>High Profit</v>
      </c>
      <c r="T805" s="15" t="str">
        <f t="shared" si="73"/>
        <v>High Sales</v>
      </c>
      <c r="U805" s="15" t="str">
        <f t="shared" si="74"/>
        <v>Good</v>
      </c>
      <c r="V805" s="15" t="str">
        <f t="shared" si="75"/>
        <v>High Discount</v>
      </c>
      <c r="W805" s="15">
        <f>VLOOKUP(D805,Lookup_Table!$A:$C,2,FALSE)</f>
        <v>0.18</v>
      </c>
      <c r="X805" s="15">
        <f t="shared" si="76"/>
        <v>0.392554929287281</v>
      </c>
      <c r="Y805" s="15" t="str">
        <f>VLOOKUP(D805,Lookup_Table!A:C,3,0)</f>
        <v>Amit</v>
      </c>
      <c r="Z805" s="15" t="str">
        <f t="shared" si="77"/>
        <v>Achived</v>
      </c>
    </row>
    <row r="806" spans="1:26">
      <c r="A806" s="13" t="s">
        <v>897</v>
      </c>
      <c r="B806" s="14">
        <v>46020</v>
      </c>
      <c r="C806" s="13" t="s">
        <v>36</v>
      </c>
      <c r="D806" s="13" t="s">
        <v>44</v>
      </c>
      <c r="E806" s="13" t="s">
        <v>45</v>
      </c>
      <c r="F806" s="13" t="s">
        <v>111</v>
      </c>
      <c r="G806" s="13" t="s">
        <v>76</v>
      </c>
      <c r="H806" s="13" t="s">
        <v>77</v>
      </c>
      <c r="I806" s="13" t="s">
        <v>46</v>
      </c>
      <c r="J806" s="13">
        <v>6</v>
      </c>
      <c r="K806" s="13">
        <v>298.37</v>
      </c>
      <c r="L806" s="13">
        <v>0.1</v>
      </c>
      <c r="M806" s="13">
        <v>1611.2</v>
      </c>
      <c r="N806" s="13">
        <v>978.62</v>
      </c>
      <c r="O806" s="13">
        <v>632.58</v>
      </c>
      <c r="P806" s="13">
        <v>4.2</v>
      </c>
      <c r="Q806" s="13" t="s">
        <v>34</v>
      </c>
      <c r="R806" s="13">
        <v>2025</v>
      </c>
      <c r="S806" s="15" t="str">
        <f t="shared" si="72"/>
        <v>High Profit</v>
      </c>
      <c r="T806" s="15" t="str">
        <f t="shared" si="73"/>
        <v>High Sales</v>
      </c>
      <c r="U806" s="15" t="str">
        <f t="shared" si="74"/>
        <v>Good</v>
      </c>
      <c r="V806" s="15" t="str">
        <f t="shared" si="75"/>
        <v>Normal Discount</v>
      </c>
      <c r="W806" s="15">
        <f>VLOOKUP(D806,Lookup_Table!$A:$C,2,FALSE)</f>
        <v>0.18</v>
      </c>
      <c r="X806" s="15">
        <f t="shared" si="76"/>
        <v>0.392614200595829</v>
      </c>
      <c r="Y806" s="15" t="str">
        <f>VLOOKUP(D806,Lookup_Table!A:C,3,0)</f>
        <v>Amit</v>
      </c>
      <c r="Z806" s="15" t="str">
        <f t="shared" si="77"/>
        <v>Achived</v>
      </c>
    </row>
    <row r="807" spans="1:26">
      <c r="A807" s="13" t="s">
        <v>898</v>
      </c>
      <c r="B807" s="14">
        <v>45793</v>
      </c>
      <c r="C807" s="13" t="s">
        <v>36</v>
      </c>
      <c r="D807" s="13" t="s">
        <v>37</v>
      </c>
      <c r="E807" s="13" t="s">
        <v>86</v>
      </c>
      <c r="F807" s="13" t="s">
        <v>67</v>
      </c>
      <c r="G807" s="13" t="s">
        <v>68</v>
      </c>
      <c r="H807" s="13" t="s">
        <v>69</v>
      </c>
      <c r="I807" s="13" t="s">
        <v>52</v>
      </c>
      <c r="J807" s="13">
        <v>2</v>
      </c>
      <c r="K807" s="13">
        <v>143.74</v>
      </c>
      <c r="L807" s="13">
        <v>0.15</v>
      </c>
      <c r="M807" s="13">
        <v>244.36</v>
      </c>
      <c r="N807" s="13">
        <v>148.36</v>
      </c>
      <c r="O807" s="13">
        <v>96</v>
      </c>
      <c r="P807" s="13">
        <v>3</v>
      </c>
      <c r="Q807" s="13" t="s">
        <v>42</v>
      </c>
      <c r="R807" s="13">
        <v>2025</v>
      </c>
      <c r="S807" s="15" t="str">
        <f t="shared" si="72"/>
        <v>Low Profit</v>
      </c>
      <c r="T807" s="15" t="str">
        <f t="shared" si="73"/>
        <v>Low Sales</v>
      </c>
      <c r="U807" s="15" t="str">
        <f t="shared" si="74"/>
        <v>Needs Improvement</v>
      </c>
      <c r="V807" s="15" t="str">
        <f t="shared" si="75"/>
        <v>High Discount</v>
      </c>
      <c r="W807" s="15">
        <f>VLOOKUP(D807,Lookup_Table!$A:$C,2,FALSE)</f>
        <v>0.16</v>
      </c>
      <c r="X807" s="15">
        <f t="shared" si="76"/>
        <v>0.392862989032575</v>
      </c>
      <c r="Y807" s="15" t="str">
        <f>VLOOKUP(D807,Lookup_Table!A:C,3,0)</f>
        <v>Vikram</v>
      </c>
      <c r="Z807" s="15" t="str">
        <f t="shared" si="77"/>
        <v>Achived</v>
      </c>
    </row>
    <row r="808" spans="1:26">
      <c r="A808" s="13" t="s">
        <v>899</v>
      </c>
      <c r="B808" s="14">
        <v>45740</v>
      </c>
      <c r="C808" s="13" t="s">
        <v>27</v>
      </c>
      <c r="D808" s="13" t="s">
        <v>60</v>
      </c>
      <c r="E808" s="13" t="s">
        <v>66</v>
      </c>
      <c r="F808" s="13" t="s">
        <v>82</v>
      </c>
      <c r="G808" s="13" t="s">
        <v>83</v>
      </c>
      <c r="H808" s="13" t="s">
        <v>77</v>
      </c>
      <c r="I808" s="13" t="s">
        <v>96</v>
      </c>
      <c r="J808" s="13">
        <v>3</v>
      </c>
      <c r="K808" s="13">
        <v>132.76</v>
      </c>
      <c r="L808" s="13">
        <v>0.1</v>
      </c>
      <c r="M808" s="13">
        <v>358.45</v>
      </c>
      <c r="N808" s="13">
        <v>217.49</v>
      </c>
      <c r="O808" s="13">
        <v>140.96</v>
      </c>
      <c r="P808" s="13">
        <v>4.7</v>
      </c>
      <c r="Q808" s="13" t="s">
        <v>94</v>
      </c>
      <c r="R808" s="13">
        <v>2025</v>
      </c>
      <c r="S808" s="15" t="str">
        <f t="shared" si="72"/>
        <v>Low Profit</v>
      </c>
      <c r="T808" s="15" t="str">
        <f t="shared" si="73"/>
        <v>Low Sales</v>
      </c>
      <c r="U808" s="15" t="str">
        <f t="shared" si="74"/>
        <v>Good</v>
      </c>
      <c r="V808" s="15" t="str">
        <f t="shared" si="75"/>
        <v>Normal Discount</v>
      </c>
      <c r="W808" s="15">
        <f>VLOOKUP(D808,Lookup_Table!$A:$C,2,FALSE)</f>
        <v>0.15</v>
      </c>
      <c r="X808" s="15">
        <f t="shared" si="76"/>
        <v>0.393248709722416</v>
      </c>
      <c r="Y808" s="15" t="str">
        <f>VLOOKUP(D808,Lookup_Table!A:C,3,0)</f>
        <v>Priya</v>
      </c>
      <c r="Z808" s="15" t="str">
        <f t="shared" si="77"/>
        <v>Achived</v>
      </c>
    </row>
    <row r="809" spans="1:26">
      <c r="A809" s="13" t="s">
        <v>900</v>
      </c>
      <c r="B809" s="14">
        <v>45675</v>
      </c>
      <c r="C809" s="13" t="s">
        <v>36</v>
      </c>
      <c r="D809" s="13" t="s">
        <v>28</v>
      </c>
      <c r="E809" s="13" t="s">
        <v>90</v>
      </c>
      <c r="F809" s="13" t="s">
        <v>98</v>
      </c>
      <c r="G809" s="13" t="s">
        <v>99</v>
      </c>
      <c r="H809" s="13" t="s">
        <v>77</v>
      </c>
      <c r="I809" s="13" t="s">
        <v>52</v>
      </c>
      <c r="J809" s="13">
        <v>6</v>
      </c>
      <c r="K809" s="13">
        <v>172.65</v>
      </c>
      <c r="L809" s="13">
        <v>0.1</v>
      </c>
      <c r="M809" s="13">
        <v>932.31</v>
      </c>
      <c r="N809" s="13">
        <v>565.65</v>
      </c>
      <c r="O809" s="13">
        <v>366.66</v>
      </c>
      <c r="P809" s="13">
        <v>4</v>
      </c>
      <c r="Q809" s="13" t="s">
        <v>64</v>
      </c>
      <c r="R809" s="13">
        <v>2025</v>
      </c>
      <c r="S809" s="15" t="str">
        <f t="shared" si="72"/>
        <v>Low Profit</v>
      </c>
      <c r="T809" s="15" t="str">
        <f t="shared" si="73"/>
        <v>Low Sales</v>
      </c>
      <c r="U809" s="15" t="str">
        <f t="shared" si="74"/>
        <v>Good</v>
      </c>
      <c r="V809" s="15" t="str">
        <f t="shared" si="75"/>
        <v>Normal Discount</v>
      </c>
      <c r="W809" s="15">
        <f>VLOOKUP(D809,Lookup_Table!$A:$C,2,FALSE)</f>
        <v>0.2</v>
      </c>
      <c r="X809" s="15">
        <f t="shared" si="76"/>
        <v>0.393281204749493</v>
      </c>
      <c r="Y809" s="15" t="str">
        <f>VLOOKUP(D809,Lookup_Table!A:C,3,0)</f>
        <v>Sneha</v>
      </c>
      <c r="Z809" s="15" t="str">
        <f t="shared" si="77"/>
        <v>Achived</v>
      </c>
    </row>
    <row r="810" spans="1:26">
      <c r="A810" s="13" t="s">
        <v>901</v>
      </c>
      <c r="B810" s="14">
        <v>45730</v>
      </c>
      <c r="C810" s="13" t="s">
        <v>55</v>
      </c>
      <c r="D810" s="13" t="s">
        <v>80</v>
      </c>
      <c r="E810" s="13" t="s">
        <v>101</v>
      </c>
      <c r="F810" s="13" t="s">
        <v>67</v>
      </c>
      <c r="G810" s="13" t="s">
        <v>68</v>
      </c>
      <c r="H810" s="13" t="s">
        <v>69</v>
      </c>
      <c r="I810" s="13" t="s">
        <v>96</v>
      </c>
      <c r="J810" s="13">
        <v>4</v>
      </c>
      <c r="K810" s="13">
        <v>72.3</v>
      </c>
      <c r="L810" s="13">
        <v>0.05</v>
      </c>
      <c r="M810" s="13">
        <v>274.74</v>
      </c>
      <c r="N810" s="13">
        <v>166.65</v>
      </c>
      <c r="O810" s="13">
        <v>108.09</v>
      </c>
      <c r="P810" s="13">
        <v>2.7</v>
      </c>
      <c r="Q810" s="13" t="s">
        <v>94</v>
      </c>
      <c r="R810" s="13">
        <v>2025</v>
      </c>
      <c r="S810" s="15" t="str">
        <f t="shared" si="72"/>
        <v>Low Profit</v>
      </c>
      <c r="T810" s="15" t="str">
        <f t="shared" si="73"/>
        <v>Low Sales</v>
      </c>
      <c r="U810" s="15" t="str">
        <f t="shared" si="74"/>
        <v>Needs Improvement</v>
      </c>
      <c r="V810" s="15" t="str">
        <f t="shared" si="75"/>
        <v>Normal Discount</v>
      </c>
      <c r="W810" s="15">
        <f>VLOOKUP(D810,Lookup_Table!$A:$C,2,FALSE)</f>
        <v>0.12</v>
      </c>
      <c r="X810" s="15">
        <f t="shared" si="76"/>
        <v>0.393426512338939</v>
      </c>
      <c r="Y810" s="15" t="str">
        <f>VLOOKUP(D810,Lookup_Table!A:C,3,0)</f>
        <v>Rahul</v>
      </c>
      <c r="Z810" s="15" t="str">
        <f t="shared" si="77"/>
        <v>Achived</v>
      </c>
    </row>
    <row r="811" spans="1:26">
      <c r="A811" s="13" t="s">
        <v>902</v>
      </c>
      <c r="B811" s="14">
        <v>45951</v>
      </c>
      <c r="C811" s="13" t="s">
        <v>55</v>
      </c>
      <c r="D811" s="13" t="s">
        <v>80</v>
      </c>
      <c r="E811" s="13" t="s">
        <v>115</v>
      </c>
      <c r="F811" s="13" t="s">
        <v>39</v>
      </c>
      <c r="G811" s="13" t="s">
        <v>40</v>
      </c>
      <c r="H811" s="13" t="s">
        <v>41</v>
      </c>
      <c r="I811" s="13" t="s">
        <v>46</v>
      </c>
      <c r="J811" s="13">
        <v>5</v>
      </c>
      <c r="K811" s="13">
        <v>50.19</v>
      </c>
      <c r="L811" s="13">
        <v>0</v>
      </c>
      <c r="M811" s="13">
        <v>250.95</v>
      </c>
      <c r="N811" s="13">
        <v>152.17</v>
      </c>
      <c r="O811" s="13">
        <v>98.78</v>
      </c>
      <c r="P811" s="13">
        <v>4.2</v>
      </c>
      <c r="Q811" s="13" t="s">
        <v>87</v>
      </c>
      <c r="R811" s="13">
        <v>2025</v>
      </c>
      <c r="S811" s="15" t="str">
        <f t="shared" si="72"/>
        <v>Low Profit</v>
      </c>
      <c r="T811" s="15" t="str">
        <f t="shared" si="73"/>
        <v>Low Sales</v>
      </c>
      <c r="U811" s="15" t="str">
        <f t="shared" si="74"/>
        <v>Good</v>
      </c>
      <c r="V811" s="15" t="str">
        <f t="shared" si="75"/>
        <v>Normal Discount</v>
      </c>
      <c r="W811" s="15">
        <f>VLOOKUP(D811,Lookup_Table!$A:$C,2,FALSE)</f>
        <v>0.12</v>
      </c>
      <c r="X811" s="15">
        <f t="shared" si="76"/>
        <v>0.393624227933851</v>
      </c>
      <c r="Y811" s="15" t="str">
        <f>VLOOKUP(D811,Lookup_Table!A:C,3,0)</f>
        <v>Rahul</v>
      </c>
      <c r="Z811" s="15" t="str">
        <f t="shared" si="77"/>
        <v>Achived</v>
      </c>
    </row>
    <row r="812" spans="1:26">
      <c r="A812" s="13" t="s">
        <v>903</v>
      </c>
      <c r="B812" s="14">
        <v>45870</v>
      </c>
      <c r="C812" s="13" t="s">
        <v>27</v>
      </c>
      <c r="D812" s="13" t="s">
        <v>80</v>
      </c>
      <c r="E812" s="13" t="s">
        <v>115</v>
      </c>
      <c r="F812" s="13" t="s">
        <v>111</v>
      </c>
      <c r="G812" s="13" t="s">
        <v>76</v>
      </c>
      <c r="H812" s="13" t="s">
        <v>77</v>
      </c>
      <c r="I812" s="13" t="s">
        <v>33</v>
      </c>
      <c r="J812" s="13">
        <v>2</v>
      </c>
      <c r="K812" s="13">
        <v>70.57</v>
      </c>
      <c r="L812" s="13">
        <v>0</v>
      </c>
      <c r="M812" s="13">
        <v>141.14</v>
      </c>
      <c r="N812" s="13">
        <v>85.54</v>
      </c>
      <c r="O812" s="13">
        <v>55.6</v>
      </c>
      <c r="P812" s="13">
        <v>4.2</v>
      </c>
      <c r="Q812" s="13" t="s">
        <v>47</v>
      </c>
      <c r="R812" s="13">
        <v>2025</v>
      </c>
      <c r="S812" s="15" t="str">
        <f t="shared" si="72"/>
        <v>Low Profit</v>
      </c>
      <c r="T812" s="15" t="str">
        <f t="shared" si="73"/>
        <v>Low Sales</v>
      </c>
      <c r="U812" s="15" t="str">
        <f t="shared" si="74"/>
        <v>Good</v>
      </c>
      <c r="V812" s="15" t="str">
        <f t="shared" si="75"/>
        <v>Normal Discount</v>
      </c>
      <c r="W812" s="15">
        <f>VLOOKUP(D812,Lookup_Table!$A:$C,2,FALSE)</f>
        <v>0.12</v>
      </c>
      <c r="X812" s="15">
        <f t="shared" si="76"/>
        <v>0.393935099900808</v>
      </c>
      <c r="Y812" s="15" t="str">
        <f>VLOOKUP(D812,Lookup_Table!A:C,3,0)</f>
        <v>Rahul</v>
      </c>
      <c r="Z812" s="15" t="str">
        <f t="shared" si="77"/>
        <v>Achived</v>
      </c>
    </row>
    <row r="813" spans="1:26">
      <c r="A813" s="13" t="s">
        <v>904</v>
      </c>
      <c r="B813" s="14">
        <v>45820</v>
      </c>
      <c r="C813" s="13" t="s">
        <v>27</v>
      </c>
      <c r="D813" s="13" t="s">
        <v>44</v>
      </c>
      <c r="E813" s="13" t="s">
        <v>143</v>
      </c>
      <c r="F813" s="13" t="s">
        <v>111</v>
      </c>
      <c r="G813" s="13" t="s">
        <v>76</v>
      </c>
      <c r="H813" s="13" t="s">
        <v>77</v>
      </c>
      <c r="I813" s="13" t="s">
        <v>46</v>
      </c>
      <c r="J813" s="13">
        <v>4</v>
      </c>
      <c r="K813" s="13">
        <v>1081.16</v>
      </c>
      <c r="L813" s="13">
        <v>0.15</v>
      </c>
      <c r="M813" s="13">
        <v>3675.94</v>
      </c>
      <c r="N813" s="13">
        <v>2224.22</v>
      </c>
      <c r="O813" s="13">
        <v>1451.72</v>
      </c>
      <c r="P813" s="13">
        <v>3.1</v>
      </c>
      <c r="Q813" s="13" t="s">
        <v>58</v>
      </c>
      <c r="R813" s="13">
        <v>2025</v>
      </c>
      <c r="S813" s="15" t="str">
        <f t="shared" si="72"/>
        <v>High Profit</v>
      </c>
      <c r="T813" s="15" t="str">
        <f t="shared" si="73"/>
        <v>High Sales</v>
      </c>
      <c r="U813" s="15" t="str">
        <f t="shared" si="74"/>
        <v>Needs Improvement</v>
      </c>
      <c r="V813" s="15" t="str">
        <f t="shared" si="75"/>
        <v>High Discount</v>
      </c>
      <c r="W813" s="15">
        <f>VLOOKUP(D813,Lookup_Table!$A:$C,2,FALSE)</f>
        <v>0.18</v>
      </c>
      <c r="X813" s="15">
        <f t="shared" si="76"/>
        <v>0.394924835552267</v>
      </c>
      <c r="Y813" s="15" t="str">
        <f>VLOOKUP(D813,Lookup_Table!A:C,3,0)</f>
        <v>Amit</v>
      </c>
      <c r="Z813" s="15" t="str">
        <f t="shared" si="77"/>
        <v>Achived</v>
      </c>
    </row>
    <row r="814" spans="1:26">
      <c r="A814" s="13" t="s">
        <v>905</v>
      </c>
      <c r="B814" s="14">
        <v>45730</v>
      </c>
      <c r="C814" s="13" t="s">
        <v>55</v>
      </c>
      <c r="D814" s="13" t="s">
        <v>44</v>
      </c>
      <c r="E814" s="13" t="s">
        <v>45</v>
      </c>
      <c r="F814" s="13" t="s">
        <v>62</v>
      </c>
      <c r="G814" s="13" t="s">
        <v>63</v>
      </c>
      <c r="H814" s="13" t="s">
        <v>32</v>
      </c>
      <c r="I814" s="13" t="s">
        <v>33</v>
      </c>
      <c r="J814" s="13">
        <v>6</v>
      </c>
      <c r="K814" s="13">
        <v>910.46</v>
      </c>
      <c r="L814" s="13">
        <v>0</v>
      </c>
      <c r="M814" s="13">
        <v>5462.76</v>
      </c>
      <c r="N814" s="13">
        <v>3304.3</v>
      </c>
      <c r="O814" s="13">
        <v>2158.46</v>
      </c>
      <c r="P814" s="13">
        <v>3.9</v>
      </c>
      <c r="Q814" s="13" t="s">
        <v>94</v>
      </c>
      <c r="R814" s="13">
        <v>2025</v>
      </c>
      <c r="S814" s="15" t="str">
        <f t="shared" si="72"/>
        <v>High Profit</v>
      </c>
      <c r="T814" s="15" t="str">
        <f t="shared" si="73"/>
        <v>High Sales</v>
      </c>
      <c r="U814" s="15" t="str">
        <f t="shared" si="74"/>
        <v>Needs Improvement</v>
      </c>
      <c r="V814" s="15" t="str">
        <f t="shared" si="75"/>
        <v>Normal Discount</v>
      </c>
      <c r="W814" s="15">
        <f>VLOOKUP(D814,Lookup_Table!$A:$C,2,FALSE)</f>
        <v>0.18</v>
      </c>
      <c r="X814" s="15">
        <f t="shared" si="76"/>
        <v>0.395122612012975</v>
      </c>
      <c r="Y814" s="15" t="str">
        <f>VLOOKUP(D814,Lookup_Table!A:C,3,0)</f>
        <v>Amit</v>
      </c>
      <c r="Z814" s="15" t="str">
        <f t="shared" si="77"/>
        <v>Achived</v>
      </c>
    </row>
    <row r="815" spans="1:26">
      <c r="A815" s="13" t="s">
        <v>906</v>
      </c>
      <c r="B815" s="14">
        <v>45809</v>
      </c>
      <c r="C815" s="13" t="s">
        <v>55</v>
      </c>
      <c r="D815" s="13" t="s">
        <v>60</v>
      </c>
      <c r="E815" s="13" t="s">
        <v>61</v>
      </c>
      <c r="F815" s="13" t="s">
        <v>98</v>
      </c>
      <c r="G815" s="13" t="s">
        <v>99</v>
      </c>
      <c r="H815" s="13" t="s">
        <v>77</v>
      </c>
      <c r="I815" s="13" t="s">
        <v>96</v>
      </c>
      <c r="J815" s="13">
        <v>7</v>
      </c>
      <c r="K815" s="13">
        <v>517.95</v>
      </c>
      <c r="L815" s="13">
        <v>0</v>
      </c>
      <c r="M815" s="13">
        <v>3625.65</v>
      </c>
      <c r="N815" s="13">
        <v>2192.75</v>
      </c>
      <c r="O815" s="13">
        <v>1432.9</v>
      </c>
      <c r="P815" s="13">
        <v>3.1</v>
      </c>
      <c r="Q815" s="13" t="s">
        <v>58</v>
      </c>
      <c r="R815" s="13">
        <v>2025</v>
      </c>
      <c r="S815" s="15" t="str">
        <f t="shared" si="72"/>
        <v>High Profit</v>
      </c>
      <c r="T815" s="15" t="str">
        <f t="shared" si="73"/>
        <v>High Sales</v>
      </c>
      <c r="U815" s="15" t="str">
        <f t="shared" si="74"/>
        <v>Needs Improvement</v>
      </c>
      <c r="V815" s="15" t="str">
        <f t="shared" si="75"/>
        <v>Normal Discount</v>
      </c>
      <c r="W815" s="15">
        <f>VLOOKUP(D815,Lookup_Table!$A:$C,2,FALSE)</f>
        <v>0.15</v>
      </c>
      <c r="X815" s="15">
        <f t="shared" si="76"/>
        <v>0.395211893039869</v>
      </c>
      <c r="Y815" s="15" t="str">
        <f>VLOOKUP(D815,Lookup_Table!A:C,3,0)</f>
        <v>Priya</v>
      </c>
      <c r="Z815" s="15" t="str">
        <f t="shared" si="77"/>
        <v>Achived</v>
      </c>
    </row>
    <row r="816" spans="1:26">
      <c r="A816" s="13" t="s">
        <v>907</v>
      </c>
      <c r="B816" s="14">
        <v>45932</v>
      </c>
      <c r="C816" s="13" t="s">
        <v>55</v>
      </c>
      <c r="D816" s="13" t="s">
        <v>28</v>
      </c>
      <c r="E816" s="13" t="s">
        <v>29</v>
      </c>
      <c r="F816" s="13" t="s">
        <v>82</v>
      </c>
      <c r="G816" s="13" t="s">
        <v>83</v>
      </c>
      <c r="H816" s="13" t="s">
        <v>77</v>
      </c>
      <c r="I816" s="13" t="s">
        <v>52</v>
      </c>
      <c r="J816" s="13">
        <v>2</v>
      </c>
      <c r="K816" s="13">
        <v>39.09</v>
      </c>
      <c r="L816" s="13">
        <v>0.15</v>
      </c>
      <c r="M816" s="13">
        <v>66.45</v>
      </c>
      <c r="N816" s="13">
        <v>40.17</v>
      </c>
      <c r="O816" s="13">
        <v>26.28</v>
      </c>
      <c r="P816" s="13">
        <v>3.9</v>
      </c>
      <c r="Q816" s="13" t="s">
        <v>87</v>
      </c>
      <c r="R816" s="13">
        <v>2025</v>
      </c>
      <c r="S816" s="15" t="str">
        <f t="shared" si="72"/>
        <v>Low Profit</v>
      </c>
      <c r="T816" s="15" t="str">
        <f t="shared" si="73"/>
        <v>Low Sales</v>
      </c>
      <c r="U816" s="15" t="str">
        <f t="shared" si="74"/>
        <v>Needs Improvement</v>
      </c>
      <c r="V816" s="15" t="str">
        <f t="shared" si="75"/>
        <v>High Discount</v>
      </c>
      <c r="W816" s="15">
        <f>VLOOKUP(D816,Lookup_Table!$A:$C,2,FALSE)</f>
        <v>0.2</v>
      </c>
      <c r="X816" s="15">
        <f t="shared" si="76"/>
        <v>0.39548532731377</v>
      </c>
      <c r="Y816" s="15" t="str">
        <f>VLOOKUP(D816,Lookup_Table!A:C,3,0)</f>
        <v>Sneha</v>
      </c>
      <c r="Z816" s="15" t="str">
        <f t="shared" si="77"/>
        <v>Achived</v>
      </c>
    </row>
    <row r="817" spans="1:26">
      <c r="A817" s="13" t="s">
        <v>908</v>
      </c>
      <c r="B817" s="14">
        <v>45844</v>
      </c>
      <c r="C817" s="13" t="s">
        <v>55</v>
      </c>
      <c r="D817" s="13" t="s">
        <v>60</v>
      </c>
      <c r="E817" s="13" t="s">
        <v>61</v>
      </c>
      <c r="F817" s="13" t="s">
        <v>30</v>
      </c>
      <c r="G817" s="13" t="s">
        <v>31</v>
      </c>
      <c r="H817" s="13" t="s">
        <v>32</v>
      </c>
      <c r="I817" s="13" t="s">
        <v>52</v>
      </c>
      <c r="J817" s="13">
        <v>7</v>
      </c>
      <c r="K817" s="13">
        <v>217.92</v>
      </c>
      <c r="L817" s="13">
        <v>0.15</v>
      </c>
      <c r="M817" s="13">
        <v>1296.62</v>
      </c>
      <c r="N817" s="13">
        <v>782.71</v>
      </c>
      <c r="O817" s="13">
        <v>513.91</v>
      </c>
      <c r="P817" s="13">
        <v>4.8</v>
      </c>
      <c r="Q817" s="13" t="s">
        <v>56</v>
      </c>
      <c r="R817" s="13">
        <v>2025</v>
      </c>
      <c r="S817" s="15" t="str">
        <f t="shared" si="72"/>
        <v>High Profit</v>
      </c>
      <c r="T817" s="15" t="str">
        <f t="shared" si="73"/>
        <v>High Sales</v>
      </c>
      <c r="U817" s="15" t="str">
        <f t="shared" si="74"/>
        <v>Good</v>
      </c>
      <c r="V817" s="15" t="str">
        <f t="shared" si="75"/>
        <v>High Discount</v>
      </c>
      <c r="W817" s="15">
        <f>VLOOKUP(D817,Lookup_Table!$A:$C,2,FALSE)</f>
        <v>0.15</v>
      </c>
      <c r="X817" s="15">
        <f t="shared" si="76"/>
        <v>0.39634588391356</v>
      </c>
      <c r="Y817" s="15" t="str">
        <f>VLOOKUP(D817,Lookup_Table!A:C,3,0)</f>
        <v>Priya</v>
      </c>
      <c r="Z817" s="15" t="str">
        <f t="shared" si="77"/>
        <v>Achived</v>
      </c>
    </row>
    <row r="818" spans="1:26">
      <c r="A818" s="13" t="s">
        <v>909</v>
      </c>
      <c r="B818" s="14">
        <v>45874</v>
      </c>
      <c r="C818" s="13" t="s">
        <v>27</v>
      </c>
      <c r="D818" s="13" t="s">
        <v>44</v>
      </c>
      <c r="E818" s="13" t="s">
        <v>45</v>
      </c>
      <c r="F818" s="13" t="s">
        <v>67</v>
      </c>
      <c r="G818" s="13" t="s">
        <v>68</v>
      </c>
      <c r="H818" s="13" t="s">
        <v>69</v>
      </c>
      <c r="I818" s="13" t="s">
        <v>46</v>
      </c>
      <c r="J818" s="13">
        <v>2</v>
      </c>
      <c r="K818" s="13">
        <v>1162.34</v>
      </c>
      <c r="L818" s="13">
        <v>0.1</v>
      </c>
      <c r="M818" s="13">
        <v>2092.21</v>
      </c>
      <c r="N818" s="13">
        <v>1261.61</v>
      </c>
      <c r="O818" s="13">
        <v>830.6</v>
      </c>
      <c r="P818" s="13">
        <v>4.3</v>
      </c>
      <c r="Q818" s="13" t="s">
        <v>47</v>
      </c>
      <c r="R818" s="13">
        <v>2025</v>
      </c>
      <c r="S818" s="15" t="str">
        <f t="shared" si="72"/>
        <v>High Profit</v>
      </c>
      <c r="T818" s="15" t="str">
        <f t="shared" si="73"/>
        <v>High Sales</v>
      </c>
      <c r="U818" s="15" t="str">
        <f t="shared" si="74"/>
        <v>Good</v>
      </c>
      <c r="V818" s="15" t="str">
        <f t="shared" si="75"/>
        <v>Normal Discount</v>
      </c>
      <c r="W818" s="15">
        <f>VLOOKUP(D818,Lookup_Table!$A:$C,2,FALSE)</f>
        <v>0.18</v>
      </c>
      <c r="X818" s="15">
        <f t="shared" si="76"/>
        <v>0.396996477409056</v>
      </c>
      <c r="Y818" s="15" t="str">
        <f>VLOOKUP(D818,Lookup_Table!A:C,3,0)</f>
        <v>Amit</v>
      </c>
      <c r="Z818" s="15" t="str">
        <f t="shared" si="77"/>
        <v>Achived</v>
      </c>
    </row>
    <row r="819" spans="1:26">
      <c r="A819" s="13" t="s">
        <v>910</v>
      </c>
      <c r="B819" s="14">
        <v>45735</v>
      </c>
      <c r="C819" s="13" t="s">
        <v>55</v>
      </c>
      <c r="D819" s="13" t="s">
        <v>37</v>
      </c>
      <c r="E819" s="13" t="s">
        <v>38</v>
      </c>
      <c r="F819" s="13" t="s">
        <v>67</v>
      </c>
      <c r="G819" s="13" t="s">
        <v>68</v>
      </c>
      <c r="H819" s="13" t="s">
        <v>69</v>
      </c>
      <c r="I819" s="13" t="s">
        <v>52</v>
      </c>
      <c r="J819" s="13">
        <v>4</v>
      </c>
      <c r="K819" s="13">
        <v>406.14</v>
      </c>
      <c r="L819" s="13">
        <v>0.15</v>
      </c>
      <c r="M819" s="13">
        <v>1380.88</v>
      </c>
      <c r="N819" s="13">
        <v>832.57</v>
      </c>
      <c r="O819" s="13">
        <v>548.31</v>
      </c>
      <c r="P819" s="13">
        <v>3</v>
      </c>
      <c r="Q819" s="13" t="s">
        <v>94</v>
      </c>
      <c r="R819" s="13">
        <v>2025</v>
      </c>
      <c r="S819" s="15" t="str">
        <f t="shared" si="72"/>
        <v>High Profit</v>
      </c>
      <c r="T819" s="15" t="str">
        <f t="shared" si="73"/>
        <v>High Sales</v>
      </c>
      <c r="U819" s="15" t="str">
        <f t="shared" si="74"/>
        <v>Needs Improvement</v>
      </c>
      <c r="V819" s="15" t="str">
        <f t="shared" si="75"/>
        <v>High Discount</v>
      </c>
      <c r="W819" s="15">
        <f>VLOOKUP(D819,Lookup_Table!$A:$C,2,FALSE)</f>
        <v>0.16</v>
      </c>
      <c r="X819" s="15">
        <f t="shared" si="76"/>
        <v>0.397072881061352</v>
      </c>
      <c r="Y819" s="15" t="str">
        <f>VLOOKUP(D819,Lookup_Table!A:C,3,0)</f>
        <v>Vikram</v>
      </c>
      <c r="Z819" s="15" t="str">
        <f t="shared" si="77"/>
        <v>Achived</v>
      </c>
    </row>
    <row r="820" spans="1:26">
      <c r="A820" s="13" t="s">
        <v>911</v>
      </c>
      <c r="B820" s="14">
        <v>45808</v>
      </c>
      <c r="C820" s="13" t="s">
        <v>55</v>
      </c>
      <c r="D820" s="13" t="s">
        <v>60</v>
      </c>
      <c r="E820" s="13" t="s">
        <v>127</v>
      </c>
      <c r="F820" s="13" t="s">
        <v>116</v>
      </c>
      <c r="G820" s="13" t="s">
        <v>117</v>
      </c>
      <c r="H820" s="13" t="s">
        <v>32</v>
      </c>
      <c r="I820" s="13" t="s">
        <v>96</v>
      </c>
      <c r="J820" s="13">
        <v>5</v>
      </c>
      <c r="K820" s="13">
        <v>170.02</v>
      </c>
      <c r="L820" s="13">
        <v>0.1</v>
      </c>
      <c r="M820" s="13">
        <v>765.09</v>
      </c>
      <c r="N820" s="13">
        <v>461.13</v>
      </c>
      <c r="O820" s="13">
        <v>303.96</v>
      </c>
      <c r="P820" s="13">
        <v>3.8</v>
      </c>
      <c r="Q820" s="13" t="s">
        <v>42</v>
      </c>
      <c r="R820" s="13">
        <v>2025</v>
      </c>
      <c r="S820" s="15" t="str">
        <f t="shared" si="72"/>
        <v>Low Profit</v>
      </c>
      <c r="T820" s="15" t="str">
        <f t="shared" si="73"/>
        <v>Low Sales</v>
      </c>
      <c r="U820" s="15" t="str">
        <f t="shared" si="74"/>
        <v>Needs Improvement</v>
      </c>
      <c r="V820" s="15" t="str">
        <f t="shared" si="75"/>
        <v>Normal Discount</v>
      </c>
      <c r="W820" s="15">
        <f>VLOOKUP(D820,Lookup_Table!$A:$C,2,FALSE)</f>
        <v>0.15</v>
      </c>
      <c r="X820" s="15">
        <f t="shared" si="76"/>
        <v>0.39728659373407</v>
      </c>
      <c r="Y820" s="15" t="str">
        <f>VLOOKUP(D820,Lookup_Table!A:C,3,0)</f>
        <v>Priya</v>
      </c>
      <c r="Z820" s="15" t="str">
        <f t="shared" si="77"/>
        <v>Achived</v>
      </c>
    </row>
    <row r="821" spans="1:26">
      <c r="A821" s="13" t="s">
        <v>912</v>
      </c>
      <c r="B821" s="14">
        <v>45787</v>
      </c>
      <c r="C821" s="13" t="s">
        <v>36</v>
      </c>
      <c r="D821" s="13" t="s">
        <v>60</v>
      </c>
      <c r="E821" s="13" t="s">
        <v>61</v>
      </c>
      <c r="F821" s="13" t="s">
        <v>116</v>
      </c>
      <c r="G821" s="13" t="s">
        <v>117</v>
      </c>
      <c r="H821" s="13" t="s">
        <v>32</v>
      </c>
      <c r="I821" s="13" t="s">
        <v>52</v>
      </c>
      <c r="J821" s="13">
        <v>3</v>
      </c>
      <c r="K821" s="13">
        <v>291.56</v>
      </c>
      <c r="L821" s="13">
        <v>0.1</v>
      </c>
      <c r="M821" s="13">
        <v>787.21</v>
      </c>
      <c r="N821" s="13">
        <v>474.24</v>
      </c>
      <c r="O821" s="13">
        <v>312.97</v>
      </c>
      <c r="P821" s="13">
        <v>2.9</v>
      </c>
      <c r="Q821" s="13" t="s">
        <v>42</v>
      </c>
      <c r="R821" s="13">
        <v>2025</v>
      </c>
      <c r="S821" s="15" t="str">
        <f t="shared" si="72"/>
        <v>Low Profit</v>
      </c>
      <c r="T821" s="15" t="str">
        <f t="shared" si="73"/>
        <v>Low Sales</v>
      </c>
      <c r="U821" s="15" t="str">
        <f t="shared" si="74"/>
        <v>Needs Improvement</v>
      </c>
      <c r="V821" s="15" t="str">
        <f t="shared" si="75"/>
        <v>Normal Discount</v>
      </c>
      <c r="W821" s="15">
        <f>VLOOKUP(D821,Lookup_Table!$A:$C,2,FALSE)</f>
        <v>0.15</v>
      </c>
      <c r="X821" s="15">
        <f t="shared" si="76"/>
        <v>0.397568628447301</v>
      </c>
      <c r="Y821" s="15" t="str">
        <f>VLOOKUP(D821,Lookup_Table!A:C,3,0)</f>
        <v>Priya</v>
      </c>
      <c r="Z821" s="15" t="str">
        <f t="shared" si="77"/>
        <v>Achived</v>
      </c>
    </row>
    <row r="822" spans="1:26">
      <c r="A822" s="13" t="s">
        <v>913</v>
      </c>
      <c r="B822" s="14">
        <v>45784</v>
      </c>
      <c r="C822" s="13" t="s">
        <v>55</v>
      </c>
      <c r="D822" s="13" t="s">
        <v>44</v>
      </c>
      <c r="E822" s="13" t="s">
        <v>137</v>
      </c>
      <c r="F822" s="13" t="s">
        <v>67</v>
      </c>
      <c r="G822" s="13" t="s">
        <v>68</v>
      </c>
      <c r="H822" s="13" t="s">
        <v>69</v>
      </c>
      <c r="I822" s="13" t="s">
        <v>52</v>
      </c>
      <c r="J822" s="13">
        <v>2</v>
      </c>
      <c r="K822" s="13">
        <v>848.38</v>
      </c>
      <c r="L822" s="13">
        <v>0</v>
      </c>
      <c r="M822" s="13">
        <v>1696.76</v>
      </c>
      <c r="N822" s="13">
        <v>1021.16</v>
      </c>
      <c r="O822" s="13">
        <v>675.6</v>
      </c>
      <c r="P822" s="13">
        <v>3.1</v>
      </c>
      <c r="Q822" s="13" t="s">
        <v>42</v>
      </c>
      <c r="R822" s="13">
        <v>2025</v>
      </c>
      <c r="S822" s="15" t="str">
        <f t="shared" si="72"/>
        <v>High Profit</v>
      </c>
      <c r="T822" s="15" t="str">
        <f t="shared" si="73"/>
        <v>High Sales</v>
      </c>
      <c r="U822" s="15" t="str">
        <f t="shared" si="74"/>
        <v>Needs Improvement</v>
      </c>
      <c r="V822" s="15" t="str">
        <f t="shared" si="75"/>
        <v>Normal Discount</v>
      </c>
      <c r="W822" s="15">
        <f>VLOOKUP(D822,Lookup_Table!$A:$C,2,FALSE)</f>
        <v>0.18</v>
      </c>
      <c r="X822" s="15">
        <f t="shared" si="76"/>
        <v>0.398170631085127</v>
      </c>
      <c r="Y822" s="15" t="str">
        <f>VLOOKUP(D822,Lookup_Table!A:C,3,0)</f>
        <v>Amit</v>
      </c>
      <c r="Z822" s="15" t="str">
        <f t="shared" si="77"/>
        <v>Achived</v>
      </c>
    </row>
    <row r="823" spans="1:26">
      <c r="A823" s="13" t="s">
        <v>914</v>
      </c>
      <c r="B823" s="14">
        <v>45974</v>
      </c>
      <c r="C823" s="13" t="s">
        <v>55</v>
      </c>
      <c r="D823" s="13" t="s">
        <v>28</v>
      </c>
      <c r="E823" s="13" t="s">
        <v>73</v>
      </c>
      <c r="F823" s="13" t="s">
        <v>67</v>
      </c>
      <c r="G823" s="13" t="s">
        <v>68</v>
      </c>
      <c r="H823" s="13" t="s">
        <v>69</v>
      </c>
      <c r="I823" s="13" t="s">
        <v>46</v>
      </c>
      <c r="J823" s="13">
        <v>3</v>
      </c>
      <c r="K823" s="13">
        <v>170.32</v>
      </c>
      <c r="L823" s="13">
        <v>0.1</v>
      </c>
      <c r="M823" s="13">
        <v>459.86</v>
      </c>
      <c r="N823" s="13">
        <v>276.55</v>
      </c>
      <c r="O823" s="13">
        <v>183.31</v>
      </c>
      <c r="P823" s="13">
        <v>2.9</v>
      </c>
      <c r="Q823" s="13" t="s">
        <v>71</v>
      </c>
      <c r="R823" s="13">
        <v>2025</v>
      </c>
      <c r="S823" s="15" t="str">
        <f t="shared" si="72"/>
        <v>Low Profit</v>
      </c>
      <c r="T823" s="15" t="str">
        <f t="shared" si="73"/>
        <v>Low Sales</v>
      </c>
      <c r="U823" s="15" t="str">
        <f t="shared" si="74"/>
        <v>Needs Improvement</v>
      </c>
      <c r="V823" s="15" t="str">
        <f t="shared" si="75"/>
        <v>Normal Discount</v>
      </c>
      <c r="W823" s="15">
        <f>VLOOKUP(D823,Lookup_Table!$A:$C,2,FALSE)</f>
        <v>0.2</v>
      </c>
      <c r="X823" s="15">
        <f t="shared" si="76"/>
        <v>0.398621319532032</v>
      </c>
      <c r="Y823" s="15" t="str">
        <f>VLOOKUP(D823,Lookup_Table!A:C,3,0)</f>
        <v>Sneha</v>
      </c>
      <c r="Z823" s="15" t="str">
        <f t="shared" si="77"/>
        <v>Achived</v>
      </c>
    </row>
    <row r="824" spans="1:26">
      <c r="A824" s="13" t="s">
        <v>915</v>
      </c>
      <c r="B824" s="14">
        <v>45874</v>
      </c>
      <c r="C824" s="13" t="s">
        <v>27</v>
      </c>
      <c r="D824" s="13" t="s">
        <v>80</v>
      </c>
      <c r="E824" s="13" t="s">
        <v>115</v>
      </c>
      <c r="F824" s="13" t="s">
        <v>50</v>
      </c>
      <c r="G824" s="13" t="s">
        <v>51</v>
      </c>
      <c r="H824" s="13" t="s">
        <v>32</v>
      </c>
      <c r="I824" s="13" t="s">
        <v>52</v>
      </c>
      <c r="J824" s="13">
        <v>7</v>
      </c>
      <c r="K824" s="13">
        <v>9.02</v>
      </c>
      <c r="L824" s="13">
        <v>0</v>
      </c>
      <c r="M824" s="13">
        <v>63.14</v>
      </c>
      <c r="N824" s="13">
        <v>37.96</v>
      </c>
      <c r="O824" s="13">
        <v>25.18</v>
      </c>
      <c r="P824" s="13">
        <v>4.4</v>
      </c>
      <c r="Q824" s="13" t="s">
        <v>47</v>
      </c>
      <c r="R824" s="13">
        <v>2025</v>
      </c>
      <c r="S824" s="15" t="str">
        <f t="shared" si="72"/>
        <v>Low Profit</v>
      </c>
      <c r="T824" s="15" t="str">
        <f t="shared" si="73"/>
        <v>Low Sales</v>
      </c>
      <c r="U824" s="15" t="str">
        <f t="shared" si="74"/>
        <v>Good</v>
      </c>
      <c r="V824" s="15" t="str">
        <f t="shared" si="75"/>
        <v>Normal Discount</v>
      </c>
      <c r="W824" s="15">
        <f>VLOOKUP(D824,Lookup_Table!$A:$C,2,FALSE)</f>
        <v>0.12</v>
      </c>
      <c r="X824" s="15">
        <f t="shared" si="76"/>
        <v>0.398796325625594</v>
      </c>
      <c r="Y824" s="15" t="str">
        <f>VLOOKUP(D824,Lookup_Table!A:C,3,0)</f>
        <v>Rahul</v>
      </c>
      <c r="Z824" s="15" t="str">
        <f t="shared" si="77"/>
        <v>Achived</v>
      </c>
    </row>
    <row r="825" spans="1:26">
      <c r="A825" s="13" t="s">
        <v>916</v>
      </c>
      <c r="B825" s="14">
        <v>45942</v>
      </c>
      <c r="C825" s="13" t="s">
        <v>36</v>
      </c>
      <c r="D825" s="13" t="s">
        <v>60</v>
      </c>
      <c r="E825" s="13" t="s">
        <v>150</v>
      </c>
      <c r="F825" s="13" t="s">
        <v>82</v>
      </c>
      <c r="G825" s="13" t="s">
        <v>83</v>
      </c>
      <c r="H825" s="13" t="s">
        <v>77</v>
      </c>
      <c r="I825" s="13" t="s">
        <v>33</v>
      </c>
      <c r="J825" s="13">
        <v>4</v>
      </c>
      <c r="K825" s="13">
        <v>217.01</v>
      </c>
      <c r="L825" s="13">
        <v>0.1</v>
      </c>
      <c r="M825" s="13">
        <v>781.24</v>
      </c>
      <c r="N825" s="13">
        <v>469.2</v>
      </c>
      <c r="O825" s="13">
        <v>312.04</v>
      </c>
      <c r="P825" s="13">
        <v>2.7</v>
      </c>
      <c r="Q825" s="13" t="s">
        <v>87</v>
      </c>
      <c r="R825" s="13">
        <v>2025</v>
      </c>
      <c r="S825" s="15" t="str">
        <f t="shared" si="72"/>
        <v>Low Profit</v>
      </c>
      <c r="T825" s="15" t="str">
        <f t="shared" si="73"/>
        <v>Low Sales</v>
      </c>
      <c r="U825" s="15" t="str">
        <f t="shared" si="74"/>
        <v>Needs Improvement</v>
      </c>
      <c r="V825" s="15" t="str">
        <f t="shared" si="75"/>
        <v>Normal Discount</v>
      </c>
      <c r="W825" s="15">
        <f>VLOOKUP(D825,Lookup_Table!$A:$C,2,FALSE)</f>
        <v>0.15</v>
      </c>
      <c r="X825" s="15">
        <f t="shared" si="76"/>
        <v>0.3994163125288</v>
      </c>
      <c r="Y825" s="15" t="str">
        <f>VLOOKUP(D825,Lookup_Table!A:C,3,0)</f>
        <v>Priya</v>
      </c>
      <c r="Z825" s="15" t="str">
        <f t="shared" si="77"/>
        <v>Achived</v>
      </c>
    </row>
    <row r="826" spans="1:26">
      <c r="A826" s="13" t="s">
        <v>917</v>
      </c>
      <c r="B826" s="14">
        <v>45742</v>
      </c>
      <c r="C826" s="13" t="s">
        <v>55</v>
      </c>
      <c r="D826" s="13" t="s">
        <v>37</v>
      </c>
      <c r="E826" s="13" t="s">
        <v>38</v>
      </c>
      <c r="F826" s="13" t="s">
        <v>67</v>
      </c>
      <c r="G826" s="13" t="s">
        <v>68</v>
      </c>
      <c r="H826" s="13" t="s">
        <v>69</v>
      </c>
      <c r="I826" s="13" t="s">
        <v>52</v>
      </c>
      <c r="J826" s="13">
        <v>7</v>
      </c>
      <c r="K826" s="13">
        <v>166.38</v>
      </c>
      <c r="L826" s="13">
        <v>0.15</v>
      </c>
      <c r="M826" s="13">
        <v>989.96</v>
      </c>
      <c r="N826" s="13">
        <v>594.5</v>
      </c>
      <c r="O826" s="13">
        <v>395.46</v>
      </c>
      <c r="P826" s="13">
        <v>3</v>
      </c>
      <c r="Q826" s="13" t="s">
        <v>94</v>
      </c>
      <c r="R826" s="13">
        <v>2025</v>
      </c>
      <c r="S826" s="15" t="str">
        <f t="shared" si="72"/>
        <v>Low Profit</v>
      </c>
      <c r="T826" s="15" t="str">
        <f t="shared" si="73"/>
        <v>Low Sales</v>
      </c>
      <c r="U826" s="15" t="str">
        <f t="shared" si="74"/>
        <v>Needs Improvement</v>
      </c>
      <c r="V826" s="15" t="str">
        <f t="shared" si="75"/>
        <v>High Discount</v>
      </c>
      <c r="W826" s="15">
        <f>VLOOKUP(D826,Lookup_Table!$A:$C,2,FALSE)</f>
        <v>0.16</v>
      </c>
      <c r="X826" s="15">
        <f t="shared" si="76"/>
        <v>0.39947068568427</v>
      </c>
      <c r="Y826" s="15" t="str">
        <f>VLOOKUP(D826,Lookup_Table!A:C,3,0)</f>
        <v>Vikram</v>
      </c>
      <c r="Z826" s="15" t="str">
        <f t="shared" si="77"/>
        <v>Achived</v>
      </c>
    </row>
    <row r="827" spans="1:26">
      <c r="A827" s="13" t="s">
        <v>918</v>
      </c>
      <c r="B827" s="14">
        <v>45679</v>
      </c>
      <c r="C827" s="13" t="s">
        <v>55</v>
      </c>
      <c r="D827" s="13" t="s">
        <v>80</v>
      </c>
      <c r="E827" s="13" t="s">
        <v>191</v>
      </c>
      <c r="F827" s="13" t="s">
        <v>75</v>
      </c>
      <c r="G827" s="13" t="s">
        <v>76</v>
      </c>
      <c r="H827" s="13" t="s">
        <v>77</v>
      </c>
      <c r="I827" s="13" t="s">
        <v>52</v>
      </c>
      <c r="J827" s="13">
        <v>3</v>
      </c>
      <c r="K827" s="13">
        <v>67.93</v>
      </c>
      <c r="L827" s="13">
        <v>0.1</v>
      </c>
      <c r="M827" s="13">
        <v>183.41</v>
      </c>
      <c r="N827" s="13">
        <v>110.05</v>
      </c>
      <c r="O827" s="13">
        <v>73.36</v>
      </c>
      <c r="P827" s="13">
        <v>3.5</v>
      </c>
      <c r="Q827" s="13" t="s">
        <v>64</v>
      </c>
      <c r="R827" s="13">
        <v>2025</v>
      </c>
      <c r="S827" s="15" t="str">
        <f t="shared" si="72"/>
        <v>Low Profit</v>
      </c>
      <c r="T827" s="15" t="str">
        <f t="shared" si="73"/>
        <v>Low Sales</v>
      </c>
      <c r="U827" s="15" t="str">
        <f t="shared" si="74"/>
        <v>Needs Improvement</v>
      </c>
      <c r="V827" s="15" t="str">
        <f t="shared" si="75"/>
        <v>Normal Discount</v>
      </c>
      <c r="W827" s="15">
        <f>VLOOKUP(D827,Lookup_Table!$A:$C,2,FALSE)</f>
        <v>0.12</v>
      </c>
      <c r="X827" s="15">
        <f t="shared" si="76"/>
        <v>0.399978190938335</v>
      </c>
      <c r="Y827" s="15" t="str">
        <f>VLOOKUP(D827,Lookup_Table!A:C,3,0)</f>
        <v>Rahul</v>
      </c>
      <c r="Z827" s="15" t="str">
        <f t="shared" si="77"/>
        <v>Achived</v>
      </c>
    </row>
    <row r="828" spans="1:26">
      <c r="A828" s="13" t="s">
        <v>919</v>
      </c>
      <c r="B828" s="14">
        <v>45930</v>
      </c>
      <c r="C828" s="13" t="s">
        <v>27</v>
      </c>
      <c r="D828" s="13" t="s">
        <v>44</v>
      </c>
      <c r="E828" s="13" t="s">
        <v>45</v>
      </c>
      <c r="F828" s="13" t="s">
        <v>50</v>
      </c>
      <c r="G828" s="13" t="s">
        <v>51</v>
      </c>
      <c r="H828" s="13" t="s">
        <v>32</v>
      </c>
      <c r="I828" s="13" t="s">
        <v>46</v>
      </c>
      <c r="J828" s="13">
        <v>2</v>
      </c>
      <c r="K828" s="13">
        <v>420.54</v>
      </c>
      <c r="L828" s="13">
        <v>0.05</v>
      </c>
      <c r="M828" s="13">
        <v>799.03</v>
      </c>
      <c r="N828" s="13">
        <v>478.95</v>
      </c>
      <c r="O828" s="13">
        <v>320.08</v>
      </c>
      <c r="P828" s="13">
        <v>3.8</v>
      </c>
      <c r="Q828" s="13" t="s">
        <v>53</v>
      </c>
      <c r="R828" s="13">
        <v>2025</v>
      </c>
      <c r="S828" s="15" t="str">
        <f t="shared" si="72"/>
        <v>Low Profit</v>
      </c>
      <c r="T828" s="15" t="str">
        <f t="shared" si="73"/>
        <v>Low Sales</v>
      </c>
      <c r="U828" s="15" t="str">
        <f t="shared" si="74"/>
        <v>Needs Improvement</v>
      </c>
      <c r="V828" s="15" t="str">
        <f t="shared" si="75"/>
        <v>Normal Discount</v>
      </c>
      <c r="W828" s="15">
        <f>VLOOKUP(D828,Lookup_Table!$A:$C,2,FALSE)</f>
        <v>0.18</v>
      </c>
      <c r="X828" s="15">
        <f t="shared" si="76"/>
        <v>0.400585710173585</v>
      </c>
      <c r="Y828" s="15" t="str">
        <f>VLOOKUP(D828,Lookup_Table!A:C,3,0)</f>
        <v>Amit</v>
      </c>
      <c r="Z828" s="15" t="str">
        <f t="shared" si="77"/>
        <v>Achived</v>
      </c>
    </row>
    <row r="829" spans="1:26">
      <c r="A829" s="13" t="s">
        <v>920</v>
      </c>
      <c r="B829" s="14">
        <v>45721</v>
      </c>
      <c r="C829" s="13" t="s">
        <v>55</v>
      </c>
      <c r="D829" s="13" t="s">
        <v>60</v>
      </c>
      <c r="E829" s="13" t="s">
        <v>66</v>
      </c>
      <c r="F829" s="13" t="s">
        <v>111</v>
      </c>
      <c r="G829" s="13" t="s">
        <v>76</v>
      </c>
      <c r="H829" s="13" t="s">
        <v>77</v>
      </c>
      <c r="I829" s="13" t="s">
        <v>46</v>
      </c>
      <c r="J829" s="13">
        <v>4</v>
      </c>
      <c r="K829" s="13">
        <v>637.96</v>
      </c>
      <c r="L829" s="13">
        <v>0.05</v>
      </c>
      <c r="M829" s="13">
        <v>2424.25</v>
      </c>
      <c r="N829" s="13">
        <v>1452.99</v>
      </c>
      <c r="O829" s="13">
        <v>971.26</v>
      </c>
      <c r="P829" s="13">
        <v>3.8</v>
      </c>
      <c r="Q829" s="13" t="s">
        <v>94</v>
      </c>
      <c r="R829" s="13">
        <v>2025</v>
      </c>
      <c r="S829" s="15" t="str">
        <f t="shared" si="72"/>
        <v>High Profit</v>
      </c>
      <c r="T829" s="15" t="str">
        <f t="shared" si="73"/>
        <v>High Sales</v>
      </c>
      <c r="U829" s="15" t="str">
        <f t="shared" si="74"/>
        <v>Needs Improvement</v>
      </c>
      <c r="V829" s="15" t="str">
        <f t="shared" si="75"/>
        <v>Normal Discount</v>
      </c>
      <c r="W829" s="15">
        <f>VLOOKUP(D829,Lookup_Table!$A:$C,2,FALSE)</f>
        <v>0.15</v>
      </c>
      <c r="X829" s="15">
        <f t="shared" si="76"/>
        <v>0.400643497989069</v>
      </c>
      <c r="Y829" s="15" t="str">
        <f>VLOOKUP(D829,Lookup_Table!A:C,3,0)</f>
        <v>Priya</v>
      </c>
      <c r="Z829" s="15" t="str">
        <f t="shared" si="77"/>
        <v>Achived</v>
      </c>
    </row>
    <row r="830" spans="1:26">
      <c r="A830" s="13" t="s">
        <v>921</v>
      </c>
      <c r="B830" s="14">
        <v>45985</v>
      </c>
      <c r="C830" s="13" t="s">
        <v>36</v>
      </c>
      <c r="D830" s="13" t="s">
        <v>80</v>
      </c>
      <c r="E830" s="13" t="s">
        <v>115</v>
      </c>
      <c r="F830" s="13" t="s">
        <v>98</v>
      </c>
      <c r="G830" s="13" t="s">
        <v>99</v>
      </c>
      <c r="H830" s="13" t="s">
        <v>77</v>
      </c>
      <c r="I830" s="13" t="s">
        <v>46</v>
      </c>
      <c r="J830" s="13">
        <v>6</v>
      </c>
      <c r="K830" s="13">
        <v>34.1</v>
      </c>
      <c r="L830" s="13">
        <v>0</v>
      </c>
      <c r="M830" s="13">
        <v>204.6</v>
      </c>
      <c r="N830" s="13">
        <v>122.59</v>
      </c>
      <c r="O830" s="13">
        <v>82.01</v>
      </c>
      <c r="P830" s="13">
        <v>3.5</v>
      </c>
      <c r="Q830" s="13" t="s">
        <v>71</v>
      </c>
      <c r="R830" s="13">
        <v>2025</v>
      </c>
      <c r="S830" s="15" t="str">
        <f t="shared" si="72"/>
        <v>Low Profit</v>
      </c>
      <c r="T830" s="15" t="str">
        <f t="shared" si="73"/>
        <v>Low Sales</v>
      </c>
      <c r="U830" s="15" t="str">
        <f t="shared" si="74"/>
        <v>Needs Improvement</v>
      </c>
      <c r="V830" s="15" t="str">
        <f t="shared" si="75"/>
        <v>Normal Discount</v>
      </c>
      <c r="W830" s="15">
        <f>VLOOKUP(D830,Lookup_Table!$A:$C,2,FALSE)</f>
        <v>0.12</v>
      </c>
      <c r="X830" s="15">
        <f t="shared" si="76"/>
        <v>0.400830889540567</v>
      </c>
      <c r="Y830" s="15" t="str">
        <f>VLOOKUP(D830,Lookup_Table!A:C,3,0)</f>
        <v>Rahul</v>
      </c>
      <c r="Z830" s="15" t="str">
        <f t="shared" si="77"/>
        <v>Achived</v>
      </c>
    </row>
    <row r="831" spans="1:26">
      <c r="A831" s="13" t="s">
        <v>922</v>
      </c>
      <c r="B831" s="14">
        <v>45953</v>
      </c>
      <c r="C831" s="13" t="s">
        <v>55</v>
      </c>
      <c r="D831" s="13" t="s">
        <v>28</v>
      </c>
      <c r="E831" s="13" t="s">
        <v>29</v>
      </c>
      <c r="F831" s="13" t="s">
        <v>30</v>
      </c>
      <c r="G831" s="13" t="s">
        <v>31</v>
      </c>
      <c r="H831" s="13" t="s">
        <v>32</v>
      </c>
      <c r="I831" s="13" t="s">
        <v>52</v>
      </c>
      <c r="J831" s="13">
        <v>2</v>
      </c>
      <c r="K831" s="13">
        <v>16.77</v>
      </c>
      <c r="L831" s="13">
        <v>0.1</v>
      </c>
      <c r="M831" s="13">
        <v>30.19</v>
      </c>
      <c r="N831" s="13">
        <v>18.08</v>
      </c>
      <c r="O831" s="13">
        <v>12.11</v>
      </c>
      <c r="P831" s="13">
        <v>4.8</v>
      </c>
      <c r="Q831" s="13" t="s">
        <v>87</v>
      </c>
      <c r="R831" s="13">
        <v>2025</v>
      </c>
      <c r="S831" s="15" t="str">
        <f t="shared" si="72"/>
        <v>Low Profit</v>
      </c>
      <c r="T831" s="15" t="str">
        <f t="shared" si="73"/>
        <v>Low Sales</v>
      </c>
      <c r="U831" s="15" t="str">
        <f t="shared" si="74"/>
        <v>Good</v>
      </c>
      <c r="V831" s="15" t="str">
        <f t="shared" si="75"/>
        <v>Normal Discount</v>
      </c>
      <c r="W831" s="15">
        <f>VLOOKUP(D831,Lookup_Table!$A:$C,2,FALSE)</f>
        <v>0.2</v>
      </c>
      <c r="X831" s="15">
        <f t="shared" si="76"/>
        <v>0.401126200728718</v>
      </c>
      <c r="Y831" s="15" t="str">
        <f>VLOOKUP(D831,Lookup_Table!A:C,3,0)</f>
        <v>Sneha</v>
      </c>
      <c r="Z831" s="15" t="str">
        <f t="shared" si="77"/>
        <v>Achived</v>
      </c>
    </row>
    <row r="832" spans="1:26">
      <c r="A832" s="13" t="s">
        <v>923</v>
      </c>
      <c r="B832" s="14">
        <v>45949</v>
      </c>
      <c r="C832" s="13" t="s">
        <v>36</v>
      </c>
      <c r="D832" s="13" t="s">
        <v>80</v>
      </c>
      <c r="E832" s="13" t="s">
        <v>115</v>
      </c>
      <c r="F832" s="13" t="s">
        <v>111</v>
      </c>
      <c r="G832" s="13" t="s">
        <v>76</v>
      </c>
      <c r="H832" s="13" t="s">
        <v>77</v>
      </c>
      <c r="I832" s="13" t="s">
        <v>96</v>
      </c>
      <c r="J832" s="13">
        <v>2</v>
      </c>
      <c r="K832" s="13">
        <v>11.56</v>
      </c>
      <c r="L832" s="13">
        <v>0.1</v>
      </c>
      <c r="M832" s="13">
        <v>20.81</v>
      </c>
      <c r="N832" s="13">
        <v>12.46</v>
      </c>
      <c r="O832" s="13">
        <v>8.35</v>
      </c>
      <c r="P832" s="13">
        <v>4</v>
      </c>
      <c r="Q832" s="13" t="s">
        <v>87</v>
      </c>
      <c r="R832" s="13">
        <v>2025</v>
      </c>
      <c r="S832" s="15" t="str">
        <f t="shared" si="72"/>
        <v>Low Profit</v>
      </c>
      <c r="T832" s="15" t="str">
        <f t="shared" si="73"/>
        <v>Low Sales</v>
      </c>
      <c r="U832" s="15" t="str">
        <f t="shared" si="74"/>
        <v>Good</v>
      </c>
      <c r="V832" s="15" t="str">
        <f t="shared" si="75"/>
        <v>Normal Discount</v>
      </c>
      <c r="W832" s="15">
        <f>VLOOKUP(D832,Lookup_Table!$A:$C,2,FALSE)</f>
        <v>0.12</v>
      </c>
      <c r="X832" s="15">
        <f t="shared" si="76"/>
        <v>0.401249399327247</v>
      </c>
      <c r="Y832" s="15" t="str">
        <f>VLOOKUP(D832,Lookup_Table!A:C,3,0)</f>
        <v>Rahul</v>
      </c>
      <c r="Z832" s="15" t="str">
        <f t="shared" si="77"/>
        <v>Achived</v>
      </c>
    </row>
    <row r="833" spans="1:26">
      <c r="A833" s="13" t="s">
        <v>924</v>
      </c>
      <c r="B833" s="14">
        <v>45849</v>
      </c>
      <c r="C833" s="13" t="s">
        <v>27</v>
      </c>
      <c r="D833" s="13" t="s">
        <v>44</v>
      </c>
      <c r="E833" s="13" t="s">
        <v>137</v>
      </c>
      <c r="F833" s="13" t="s">
        <v>39</v>
      </c>
      <c r="G833" s="13" t="s">
        <v>40</v>
      </c>
      <c r="H833" s="13" t="s">
        <v>41</v>
      </c>
      <c r="I833" s="13" t="s">
        <v>96</v>
      </c>
      <c r="J833" s="13">
        <v>4</v>
      </c>
      <c r="K833" s="13">
        <v>419.47</v>
      </c>
      <c r="L833" s="13">
        <v>0</v>
      </c>
      <c r="M833" s="13">
        <v>1677.88</v>
      </c>
      <c r="N833" s="13">
        <v>1004.47</v>
      </c>
      <c r="O833" s="13">
        <v>673.41</v>
      </c>
      <c r="P833" s="13">
        <v>3.4</v>
      </c>
      <c r="Q833" s="13" t="s">
        <v>56</v>
      </c>
      <c r="R833" s="13">
        <v>2025</v>
      </c>
      <c r="S833" s="15" t="str">
        <f t="shared" si="72"/>
        <v>High Profit</v>
      </c>
      <c r="T833" s="15" t="str">
        <f t="shared" si="73"/>
        <v>High Sales</v>
      </c>
      <c r="U833" s="15" t="str">
        <f t="shared" si="74"/>
        <v>Needs Improvement</v>
      </c>
      <c r="V833" s="15" t="str">
        <f t="shared" si="75"/>
        <v>Normal Discount</v>
      </c>
      <c r="W833" s="15">
        <f>VLOOKUP(D833,Lookup_Table!$A:$C,2,FALSE)</f>
        <v>0.18</v>
      </c>
      <c r="X833" s="15">
        <f t="shared" si="76"/>
        <v>0.401345745822109</v>
      </c>
      <c r="Y833" s="15" t="str">
        <f>VLOOKUP(D833,Lookup_Table!A:C,3,0)</f>
        <v>Amit</v>
      </c>
      <c r="Z833" s="15" t="str">
        <f t="shared" si="77"/>
        <v>Achived</v>
      </c>
    </row>
    <row r="834" spans="1:26">
      <c r="A834" s="13" t="s">
        <v>925</v>
      </c>
      <c r="B834" s="14">
        <v>45753</v>
      </c>
      <c r="C834" s="13" t="s">
        <v>36</v>
      </c>
      <c r="D834" s="13" t="s">
        <v>44</v>
      </c>
      <c r="E834" s="13" t="s">
        <v>45</v>
      </c>
      <c r="F834" s="13" t="s">
        <v>67</v>
      </c>
      <c r="G834" s="13" t="s">
        <v>68</v>
      </c>
      <c r="H834" s="13" t="s">
        <v>69</v>
      </c>
      <c r="I834" s="13" t="s">
        <v>33</v>
      </c>
      <c r="J834" s="13">
        <v>3</v>
      </c>
      <c r="K834" s="13">
        <v>1398.91</v>
      </c>
      <c r="L834" s="13">
        <v>0.15</v>
      </c>
      <c r="M834" s="13">
        <v>3567.22</v>
      </c>
      <c r="N834" s="13">
        <v>2133.96</v>
      </c>
      <c r="O834" s="13">
        <v>1433.26</v>
      </c>
      <c r="P834" s="13">
        <v>4.4</v>
      </c>
      <c r="Q834" s="13" t="s">
        <v>84</v>
      </c>
      <c r="R834" s="13">
        <v>2025</v>
      </c>
      <c r="S834" s="15" t="str">
        <f t="shared" ref="S834:S897" si="78">IF(O834&gt;500,"High Profit","Low Profit")</f>
        <v>High Profit</v>
      </c>
      <c r="T834" s="15" t="str">
        <f t="shared" ref="T834:T897" si="79">IF(M834&gt;1000,"High Sales","Low Sales")</f>
        <v>High Sales</v>
      </c>
      <c r="U834" s="15" t="str">
        <f t="shared" ref="U834:U897" si="80">IF(P834&gt;=4,"Good","Needs Improvement")</f>
        <v>Good</v>
      </c>
      <c r="V834" s="15" t="str">
        <f t="shared" ref="V834:V897" si="81">IF(L834&gt;=15%,"High Discount","Normal Discount")</f>
        <v>High Discount</v>
      </c>
      <c r="W834" s="15">
        <f>VLOOKUP(D834,Lookup_Table!$A:$C,2,FALSE)</f>
        <v>0.18</v>
      </c>
      <c r="X834" s="15">
        <f t="shared" ref="X834:X897" si="82">O834/M834</f>
        <v>0.401786264934599</v>
      </c>
      <c r="Y834" s="15" t="str">
        <f>VLOOKUP(D834,Lookup_Table!A:C,3,0)</f>
        <v>Amit</v>
      </c>
      <c r="Z834" s="15" t="str">
        <f t="shared" ref="Z834:Z897" si="83">IF(X834&gt;=W834,"Achived","Not Achieved")</f>
        <v>Achived</v>
      </c>
    </row>
    <row r="835" spans="1:26">
      <c r="A835" s="13" t="s">
        <v>926</v>
      </c>
      <c r="B835" s="14">
        <v>45859</v>
      </c>
      <c r="C835" s="13" t="s">
        <v>36</v>
      </c>
      <c r="D835" s="13" t="s">
        <v>28</v>
      </c>
      <c r="E835" s="13" t="s">
        <v>90</v>
      </c>
      <c r="F835" s="13" t="s">
        <v>67</v>
      </c>
      <c r="G835" s="13" t="s">
        <v>68</v>
      </c>
      <c r="H835" s="13" t="s">
        <v>69</v>
      </c>
      <c r="I835" s="13" t="s">
        <v>96</v>
      </c>
      <c r="J835" s="13">
        <v>5</v>
      </c>
      <c r="K835" s="13">
        <v>34.66</v>
      </c>
      <c r="L835" s="13">
        <v>0.05</v>
      </c>
      <c r="M835" s="13">
        <v>164.63</v>
      </c>
      <c r="N835" s="13">
        <v>98.38</v>
      </c>
      <c r="O835" s="13">
        <v>66.25</v>
      </c>
      <c r="P835" s="13">
        <v>4</v>
      </c>
      <c r="Q835" s="13" t="s">
        <v>56</v>
      </c>
      <c r="R835" s="13">
        <v>2025</v>
      </c>
      <c r="S835" s="15" t="str">
        <f t="shared" si="78"/>
        <v>Low Profit</v>
      </c>
      <c r="T835" s="15" t="str">
        <f t="shared" si="79"/>
        <v>Low Sales</v>
      </c>
      <c r="U835" s="15" t="str">
        <f t="shared" si="80"/>
        <v>Good</v>
      </c>
      <c r="V835" s="15" t="str">
        <f t="shared" si="81"/>
        <v>Normal Discount</v>
      </c>
      <c r="W835" s="15">
        <f>VLOOKUP(D835,Lookup_Table!$A:$C,2,FALSE)</f>
        <v>0.2</v>
      </c>
      <c r="X835" s="15">
        <f t="shared" si="82"/>
        <v>0.402417542367734</v>
      </c>
      <c r="Y835" s="15" t="str">
        <f>VLOOKUP(D835,Lookup_Table!A:C,3,0)</f>
        <v>Sneha</v>
      </c>
      <c r="Z835" s="15" t="str">
        <f t="shared" si="83"/>
        <v>Achived</v>
      </c>
    </row>
    <row r="836" spans="1:26">
      <c r="A836" s="13" t="s">
        <v>927</v>
      </c>
      <c r="B836" s="14">
        <v>45797</v>
      </c>
      <c r="C836" s="13" t="s">
        <v>55</v>
      </c>
      <c r="D836" s="13" t="s">
        <v>44</v>
      </c>
      <c r="E836" s="13" t="s">
        <v>137</v>
      </c>
      <c r="F836" s="13" t="s">
        <v>50</v>
      </c>
      <c r="G836" s="13" t="s">
        <v>51</v>
      </c>
      <c r="H836" s="13" t="s">
        <v>32</v>
      </c>
      <c r="I836" s="13" t="s">
        <v>46</v>
      </c>
      <c r="J836" s="13">
        <v>3</v>
      </c>
      <c r="K836" s="13">
        <v>471.3</v>
      </c>
      <c r="L836" s="13">
        <v>0.05</v>
      </c>
      <c r="M836" s="13">
        <v>1343.2</v>
      </c>
      <c r="N836" s="13">
        <v>802.54</v>
      </c>
      <c r="O836" s="13">
        <v>540.66</v>
      </c>
      <c r="P836" s="13">
        <v>4</v>
      </c>
      <c r="Q836" s="13" t="s">
        <v>42</v>
      </c>
      <c r="R836" s="13">
        <v>2025</v>
      </c>
      <c r="S836" s="15" t="str">
        <f t="shared" si="78"/>
        <v>High Profit</v>
      </c>
      <c r="T836" s="15" t="str">
        <f t="shared" si="79"/>
        <v>High Sales</v>
      </c>
      <c r="U836" s="15" t="str">
        <f t="shared" si="80"/>
        <v>Good</v>
      </c>
      <c r="V836" s="15" t="str">
        <f t="shared" si="81"/>
        <v>Normal Discount</v>
      </c>
      <c r="W836" s="15">
        <f>VLOOKUP(D836,Lookup_Table!$A:$C,2,FALSE)</f>
        <v>0.18</v>
      </c>
      <c r="X836" s="15">
        <f t="shared" si="82"/>
        <v>0.402516378796903</v>
      </c>
      <c r="Y836" s="15" t="str">
        <f>VLOOKUP(D836,Lookup_Table!A:C,3,0)</f>
        <v>Amit</v>
      </c>
      <c r="Z836" s="15" t="str">
        <f t="shared" si="83"/>
        <v>Achived</v>
      </c>
    </row>
    <row r="837" spans="1:26">
      <c r="A837" s="13" t="s">
        <v>928</v>
      </c>
      <c r="B837" s="14">
        <v>45991</v>
      </c>
      <c r="C837" s="13" t="s">
        <v>55</v>
      </c>
      <c r="D837" s="13" t="s">
        <v>80</v>
      </c>
      <c r="E837" s="13" t="s">
        <v>115</v>
      </c>
      <c r="F837" s="13" t="s">
        <v>39</v>
      </c>
      <c r="G837" s="13" t="s">
        <v>40</v>
      </c>
      <c r="H837" s="13" t="s">
        <v>41</v>
      </c>
      <c r="I837" s="13" t="s">
        <v>33</v>
      </c>
      <c r="J837" s="13">
        <v>3</v>
      </c>
      <c r="K837" s="13">
        <v>63.5</v>
      </c>
      <c r="L837" s="13">
        <v>0.15</v>
      </c>
      <c r="M837" s="13">
        <v>161.92</v>
      </c>
      <c r="N837" s="13">
        <v>96.74</v>
      </c>
      <c r="O837" s="13">
        <v>65.18</v>
      </c>
      <c r="P837" s="13">
        <v>4.9</v>
      </c>
      <c r="Q837" s="13" t="s">
        <v>71</v>
      </c>
      <c r="R837" s="13">
        <v>2025</v>
      </c>
      <c r="S837" s="15" t="str">
        <f t="shared" si="78"/>
        <v>Low Profit</v>
      </c>
      <c r="T837" s="15" t="str">
        <f t="shared" si="79"/>
        <v>Low Sales</v>
      </c>
      <c r="U837" s="15" t="str">
        <f t="shared" si="80"/>
        <v>Good</v>
      </c>
      <c r="V837" s="15" t="str">
        <f t="shared" si="81"/>
        <v>High Discount</v>
      </c>
      <c r="W837" s="15">
        <f>VLOOKUP(D837,Lookup_Table!$A:$C,2,FALSE)</f>
        <v>0.12</v>
      </c>
      <c r="X837" s="15">
        <f t="shared" si="82"/>
        <v>0.402544466403162</v>
      </c>
      <c r="Y837" s="15" t="str">
        <f>VLOOKUP(D837,Lookup_Table!A:C,3,0)</f>
        <v>Rahul</v>
      </c>
      <c r="Z837" s="15" t="str">
        <f t="shared" si="83"/>
        <v>Achived</v>
      </c>
    </row>
    <row r="838" spans="1:26">
      <c r="A838" s="13" t="s">
        <v>929</v>
      </c>
      <c r="B838" s="14">
        <v>45847</v>
      </c>
      <c r="C838" s="13" t="s">
        <v>55</v>
      </c>
      <c r="D838" s="13" t="s">
        <v>37</v>
      </c>
      <c r="E838" s="13" t="s">
        <v>86</v>
      </c>
      <c r="F838" s="13" t="s">
        <v>98</v>
      </c>
      <c r="G838" s="13" t="s">
        <v>99</v>
      </c>
      <c r="H838" s="13" t="s">
        <v>77</v>
      </c>
      <c r="I838" s="13" t="s">
        <v>33</v>
      </c>
      <c r="J838" s="13">
        <v>6</v>
      </c>
      <c r="K838" s="13">
        <v>71.06</v>
      </c>
      <c r="L838" s="13">
        <v>0.1</v>
      </c>
      <c r="M838" s="13">
        <v>383.72</v>
      </c>
      <c r="N838" s="13">
        <v>229.16</v>
      </c>
      <c r="O838" s="13">
        <v>154.56</v>
      </c>
      <c r="P838" s="13">
        <v>4.5</v>
      </c>
      <c r="Q838" s="13" t="s">
        <v>56</v>
      </c>
      <c r="R838" s="13">
        <v>2025</v>
      </c>
      <c r="S838" s="15" t="str">
        <f t="shared" si="78"/>
        <v>Low Profit</v>
      </c>
      <c r="T838" s="15" t="str">
        <f t="shared" si="79"/>
        <v>Low Sales</v>
      </c>
      <c r="U838" s="15" t="str">
        <f t="shared" si="80"/>
        <v>Good</v>
      </c>
      <c r="V838" s="15" t="str">
        <f t="shared" si="81"/>
        <v>Normal Discount</v>
      </c>
      <c r="W838" s="15">
        <f>VLOOKUP(D838,Lookup_Table!$A:$C,2,FALSE)</f>
        <v>0.16</v>
      </c>
      <c r="X838" s="15">
        <f t="shared" si="82"/>
        <v>0.402793703742312</v>
      </c>
      <c r="Y838" s="15" t="str">
        <f>VLOOKUP(D838,Lookup_Table!A:C,3,0)</f>
        <v>Vikram</v>
      </c>
      <c r="Z838" s="15" t="str">
        <f t="shared" si="83"/>
        <v>Achived</v>
      </c>
    </row>
    <row r="839" spans="1:26">
      <c r="A839" s="13" t="s">
        <v>930</v>
      </c>
      <c r="B839" s="14">
        <v>45856</v>
      </c>
      <c r="C839" s="13" t="s">
        <v>27</v>
      </c>
      <c r="D839" s="13" t="s">
        <v>37</v>
      </c>
      <c r="E839" s="13" t="s">
        <v>109</v>
      </c>
      <c r="F839" s="13" t="s">
        <v>82</v>
      </c>
      <c r="G839" s="13" t="s">
        <v>83</v>
      </c>
      <c r="H839" s="13" t="s">
        <v>77</v>
      </c>
      <c r="I839" s="13" t="s">
        <v>46</v>
      </c>
      <c r="J839" s="13">
        <v>6</v>
      </c>
      <c r="K839" s="13">
        <v>463.26</v>
      </c>
      <c r="L839" s="13">
        <v>0.1</v>
      </c>
      <c r="M839" s="13">
        <v>2501.6</v>
      </c>
      <c r="N839" s="13">
        <v>1493.88</v>
      </c>
      <c r="O839" s="13">
        <v>1007.72</v>
      </c>
      <c r="P839" s="13">
        <v>3.8</v>
      </c>
      <c r="Q839" s="13" t="s">
        <v>56</v>
      </c>
      <c r="R839" s="13">
        <v>2025</v>
      </c>
      <c r="S839" s="15" t="str">
        <f t="shared" si="78"/>
        <v>High Profit</v>
      </c>
      <c r="T839" s="15" t="str">
        <f t="shared" si="79"/>
        <v>High Sales</v>
      </c>
      <c r="U839" s="15" t="str">
        <f t="shared" si="80"/>
        <v>Needs Improvement</v>
      </c>
      <c r="V839" s="15" t="str">
        <f t="shared" si="81"/>
        <v>Normal Discount</v>
      </c>
      <c r="W839" s="15">
        <f>VLOOKUP(D839,Lookup_Table!$A:$C,2,FALSE)</f>
        <v>0.16</v>
      </c>
      <c r="X839" s="15">
        <f t="shared" si="82"/>
        <v>0.402830188679245</v>
      </c>
      <c r="Y839" s="15" t="str">
        <f>VLOOKUP(D839,Lookup_Table!A:C,3,0)</f>
        <v>Vikram</v>
      </c>
      <c r="Z839" s="15" t="str">
        <f t="shared" si="83"/>
        <v>Achived</v>
      </c>
    </row>
    <row r="840" spans="1:26">
      <c r="A840" s="13" t="s">
        <v>931</v>
      </c>
      <c r="B840" s="14">
        <v>45775</v>
      </c>
      <c r="C840" s="13" t="s">
        <v>36</v>
      </c>
      <c r="D840" s="13" t="s">
        <v>80</v>
      </c>
      <c r="E840" s="13" t="s">
        <v>101</v>
      </c>
      <c r="F840" s="13" t="s">
        <v>75</v>
      </c>
      <c r="G840" s="13" t="s">
        <v>76</v>
      </c>
      <c r="H840" s="13" t="s">
        <v>77</v>
      </c>
      <c r="I840" s="13" t="s">
        <v>46</v>
      </c>
      <c r="J840" s="13">
        <v>7</v>
      </c>
      <c r="K840" s="13">
        <v>6.8</v>
      </c>
      <c r="L840" s="13">
        <v>0</v>
      </c>
      <c r="M840" s="13">
        <v>47.6</v>
      </c>
      <c r="N840" s="13">
        <v>28.39</v>
      </c>
      <c r="O840" s="13">
        <v>19.21</v>
      </c>
      <c r="P840" s="13">
        <v>3.6</v>
      </c>
      <c r="Q840" s="13" t="s">
        <v>84</v>
      </c>
      <c r="R840" s="13">
        <v>2025</v>
      </c>
      <c r="S840" s="15" t="str">
        <f t="shared" si="78"/>
        <v>Low Profit</v>
      </c>
      <c r="T840" s="15" t="str">
        <f t="shared" si="79"/>
        <v>Low Sales</v>
      </c>
      <c r="U840" s="15" t="str">
        <f t="shared" si="80"/>
        <v>Needs Improvement</v>
      </c>
      <c r="V840" s="15" t="str">
        <f t="shared" si="81"/>
        <v>Normal Discount</v>
      </c>
      <c r="W840" s="15">
        <f>VLOOKUP(D840,Lookup_Table!$A:$C,2,FALSE)</f>
        <v>0.12</v>
      </c>
      <c r="X840" s="15">
        <f t="shared" si="82"/>
        <v>0.403571428571429</v>
      </c>
      <c r="Y840" s="15" t="str">
        <f>VLOOKUP(D840,Lookup_Table!A:C,3,0)</f>
        <v>Rahul</v>
      </c>
      <c r="Z840" s="15" t="str">
        <f t="shared" si="83"/>
        <v>Achived</v>
      </c>
    </row>
    <row r="841" spans="1:26">
      <c r="A841" s="13" t="s">
        <v>932</v>
      </c>
      <c r="B841" s="14">
        <v>45901</v>
      </c>
      <c r="C841" s="13" t="s">
        <v>27</v>
      </c>
      <c r="D841" s="13" t="s">
        <v>60</v>
      </c>
      <c r="E841" s="13" t="s">
        <v>66</v>
      </c>
      <c r="F841" s="13" t="s">
        <v>50</v>
      </c>
      <c r="G841" s="13" t="s">
        <v>51</v>
      </c>
      <c r="H841" s="13" t="s">
        <v>32</v>
      </c>
      <c r="I841" s="13" t="s">
        <v>33</v>
      </c>
      <c r="J841" s="13">
        <v>1</v>
      </c>
      <c r="K841" s="13">
        <v>856.88</v>
      </c>
      <c r="L841" s="13">
        <v>0</v>
      </c>
      <c r="M841" s="13">
        <v>856.88</v>
      </c>
      <c r="N841" s="13">
        <v>510.42</v>
      </c>
      <c r="O841" s="13">
        <v>346.46</v>
      </c>
      <c r="P841" s="13">
        <v>4.5</v>
      </c>
      <c r="Q841" s="13" t="s">
        <v>53</v>
      </c>
      <c r="R841" s="13">
        <v>2025</v>
      </c>
      <c r="S841" s="15" t="str">
        <f t="shared" si="78"/>
        <v>Low Profit</v>
      </c>
      <c r="T841" s="15" t="str">
        <f t="shared" si="79"/>
        <v>Low Sales</v>
      </c>
      <c r="U841" s="15" t="str">
        <f t="shared" si="80"/>
        <v>Good</v>
      </c>
      <c r="V841" s="15" t="str">
        <f t="shared" si="81"/>
        <v>Normal Discount</v>
      </c>
      <c r="W841" s="15">
        <f>VLOOKUP(D841,Lookup_Table!$A:$C,2,FALSE)</f>
        <v>0.15</v>
      </c>
      <c r="X841" s="15">
        <f t="shared" si="82"/>
        <v>0.404327327046961</v>
      </c>
      <c r="Y841" s="15" t="str">
        <f>VLOOKUP(D841,Lookup_Table!A:C,3,0)</f>
        <v>Priya</v>
      </c>
      <c r="Z841" s="15" t="str">
        <f t="shared" si="83"/>
        <v>Achived</v>
      </c>
    </row>
    <row r="842" spans="1:26">
      <c r="A842" s="13" t="s">
        <v>933</v>
      </c>
      <c r="B842" s="14">
        <v>45904</v>
      </c>
      <c r="C842" s="13" t="s">
        <v>36</v>
      </c>
      <c r="D842" s="13" t="s">
        <v>44</v>
      </c>
      <c r="E842" s="13" t="s">
        <v>137</v>
      </c>
      <c r="F842" s="13" t="s">
        <v>82</v>
      </c>
      <c r="G842" s="13" t="s">
        <v>83</v>
      </c>
      <c r="H842" s="13" t="s">
        <v>77</v>
      </c>
      <c r="I842" s="13" t="s">
        <v>52</v>
      </c>
      <c r="J842" s="13">
        <v>7</v>
      </c>
      <c r="K842" s="13">
        <v>865.93</v>
      </c>
      <c r="L842" s="13">
        <v>0</v>
      </c>
      <c r="M842" s="13">
        <v>6061.51</v>
      </c>
      <c r="N842" s="13">
        <v>3607.71</v>
      </c>
      <c r="O842" s="13">
        <v>2453.8</v>
      </c>
      <c r="P842" s="13">
        <v>4.3</v>
      </c>
      <c r="Q842" s="13" t="s">
        <v>53</v>
      </c>
      <c r="R842" s="13">
        <v>2025</v>
      </c>
      <c r="S842" s="15" t="str">
        <f t="shared" si="78"/>
        <v>High Profit</v>
      </c>
      <c r="T842" s="15" t="str">
        <f t="shared" si="79"/>
        <v>High Sales</v>
      </c>
      <c r="U842" s="15" t="str">
        <f t="shared" si="80"/>
        <v>Good</v>
      </c>
      <c r="V842" s="15" t="str">
        <f t="shared" si="81"/>
        <v>Normal Discount</v>
      </c>
      <c r="W842" s="15">
        <f>VLOOKUP(D842,Lookup_Table!$A:$C,2,FALSE)</f>
        <v>0.18</v>
      </c>
      <c r="X842" s="15">
        <f t="shared" si="82"/>
        <v>0.404816621600888</v>
      </c>
      <c r="Y842" s="15" t="str">
        <f>VLOOKUP(D842,Lookup_Table!A:C,3,0)</f>
        <v>Amit</v>
      </c>
      <c r="Z842" s="15" t="str">
        <f t="shared" si="83"/>
        <v>Achived</v>
      </c>
    </row>
    <row r="843" spans="1:26">
      <c r="A843" s="13" t="s">
        <v>934</v>
      </c>
      <c r="B843" s="14">
        <v>45818</v>
      </c>
      <c r="C843" s="13" t="s">
        <v>55</v>
      </c>
      <c r="D843" s="13" t="s">
        <v>28</v>
      </c>
      <c r="E843" s="13" t="s">
        <v>90</v>
      </c>
      <c r="F843" s="13" t="s">
        <v>75</v>
      </c>
      <c r="G843" s="13" t="s">
        <v>76</v>
      </c>
      <c r="H843" s="13" t="s">
        <v>77</v>
      </c>
      <c r="I843" s="13" t="s">
        <v>33</v>
      </c>
      <c r="J843" s="13">
        <v>3</v>
      </c>
      <c r="K843" s="13">
        <v>99.23</v>
      </c>
      <c r="L843" s="13">
        <v>0.1</v>
      </c>
      <c r="M843" s="13">
        <v>267.92</v>
      </c>
      <c r="N843" s="13">
        <v>159.45</v>
      </c>
      <c r="O843" s="13">
        <v>108.47</v>
      </c>
      <c r="P843" s="13">
        <v>3.2</v>
      </c>
      <c r="Q843" s="13" t="s">
        <v>58</v>
      </c>
      <c r="R843" s="13">
        <v>2025</v>
      </c>
      <c r="S843" s="15" t="str">
        <f t="shared" si="78"/>
        <v>Low Profit</v>
      </c>
      <c r="T843" s="15" t="str">
        <f t="shared" si="79"/>
        <v>Low Sales</v>
      </c>
      <c r="U843" s="15" t="str">
        <f t="shared" si="80"/>
        <v>Needs Improvement</v>
      </c>
      <c r="V843" s="15" t="str">
        <f t="shared" si="81"/>
        <v>Normal Discount</v>
      </c>
      <c r="W843" s="15">
        <f>VLOOKUP(D843,Lookup_Table!$A:$C,2,FALSE)</f>
        <v>0.2</v>
      </c>
      <c r="X843" s="15">
        <f t="shared" si="82"/>
        <v>0.404859659599881</v>
      </c>
      <c r="Y843" s="15" t="str">
        <f>VLOOKUP(D843,Lookup_Table!A:C,3,0)</f>
        <v>Sneha</v>
      </c>
      <c r="Z843" s="15" t="str">
        <f t="shared" si="83"/>
        <v>Achived</v>
      </c>
    </row>
    <row r="844" spans="1:26">
      <c r="A844" s="13" t="s">
        <v>935</v>
      </c>
      <c r="B844" s="14">
        <v>45714</v>
      </c>
      <c r="C844" s="13" t="s">
        <v>55</v>
      </c>
      <c r="D844" s="13" t="s">
        <v>37</v>
      </c>
      <c r="E844" s="13" t="s">
        <v>86</v>
      </c>
      <c r="F844" s="13" t="s">
        <v>30</v>
      </c>
      <c r="G844" s="13" t="s">
        <v>31</v>
      </c>
      <c r="H844" s="13" t="s">
        <v>32</v>
      </c>
      <c r="I844" s="13" t="s">
        <v>52</v>
      </c>
      <c r="J844" s="13">
        <v>4</v>
      </c>
      <c r="K844" s="13">
        <v>360.64</v>
      </c>
      <c r="L844" s="13">
        <v>0</v>
      </c>
      <c r="M844" s="13">
        <v>1442.56</v>
      </c>
      <c r="N844" s="13">
        <v>857.5</v>
      </c>
      <c r="O844" s="13">
        <v>585.06</v>
      </c>
      <c r="P844" s="13">
        <v>3.2</v>
      </c>
      <c r="Q844" s="13" t="s">
        <v>105</v>
      </c>
      <c r="R844" s="13">
        <v>2025</v>
      </c>
      <c r="S844" s="15" t="str">
        <f t="shared" si="78"/>
        <v>High Profit</v>
      </c>
      <c r="T844" s="15" t="str">
        <f t="shared" si="79"/>
        <v>High Sales</v>
      </c>
      <c r="U844" s="15" t="str">
        <f t="shared" si="80"/>
        <v>Needs Improvement</v>
      </c>
      <c r="V844" s="15" t="str">
        <f t="shared" si="81"/>
        <v>Normal Discount</v>
      </c>
      <c r="W844" s="15">
        <f>VLOOKUP(D844,Lookup_Table!$A:$C,2,FALSE)</f>
        <v>0.16</v>
      </c>
      <c r="X844" s="15">
        <f t="shared" si="82"/>
        <v>0.405570652173913</v>
      </c>
      <c r="Y844" s="15" t="str">
        <f>VLOOKUP(D844,Lookup_Table!A:C,3,0)</f>
        <v>Vikram</v>
      </c>
      <c r="Z844" s="15" t="str">
        <f t="shared" si="83"/>
        <v>Achived</v>
      </c>
    </row>
    <row r="845" spans="1:26">
      <c r="A845" s="13" t="s">
        <v>936</v>
      </c>
      <c r="B845" s="14">
        <v>45662</v>
      </c>
      <c r="C845" s="13" t="s">
        <v>27</v>
      </c>
      <c r="D845" s="13" t="s">
        <v>60</v>
      </c>
      <c r="E845" s="13" t="s">
        <v>61</v>
      </c>
      <c r="F845" s="13" t="s">
        <v>39</v>
      </c>
      <c r="G845" s="13" t="s">
        <v>40</v>
      </c>
      <c r="H845" s="13" t="s">
        <v>41</v>
      </c>
      <c r="I845" s="13" t="s">
        <v>33</v>
      </c>
      <c r="J845" s="13">
        <v>5</v>
      </c>
      <c r="K845" s="13">
        <v>771.73</v>
      </c>
      <c r="L845" s="13">
        <v>0.15</v>
      </c>
      <c r="M845" s="13">
        <v>3279.85</v>
      </c>
      <c r="N845" s="13">
        <v>1949.01</v>
      </c>
      <c r="O845" s="13">
        <v>1330.84</v>
      </c>
      <c r="P845" s="13">
        <v>3.4</v>
      </c>
      <c r="Q845" s="13" t="s">
        <v>64</v>
      </c>
      <c r="R845" s="13">
        <v>2025</v>
      </c>
      <c r="S845" s="15" t="str">
        <f t="shared" si="78"/>
        <v>High Profit</v>
      </c>
      <c r="T845" s="15" t="str">
        <f t="shared" si="79"/>
        <v>High Sales</v>
      </c>
      <c r="U845" s="15" t="str">
        <f t="shared" si="80"/>
        <v>Needs Improvement</v>
      </c>
      <c r="V845" s="15" t="str">
        <f t="shared" si="81"/>
        <v>High Discount</v>
      </c>
      <c r="W845" s="15">
        <f>VLOOKUP(D845,Lookup_Table!$A:$C,2,FALSE)</f>
        <v>0.15</v>
      </c>
      <c r="X845" s="15">
        <f t="shared" si="82"/>
        <v>0.405762458649024</v>
      </c>
      <c r="Y845" s="15" t="str">
        <f>VLOOKUP(D845,Lookup_Table!A:C,3,0)</f>
        <v>Priya</v>
      </c>
      <c r="Z845" s="15" t="str">
        <f t="shared" si="83"/>
        <v>Achived</v>
      </c>
    </row>
    <row r="846" spans="1:26">
      <c r="A846" s="13" t="s">
        <v>937</v>
      </c>
      <c r="B846" s="14">
        <v>45948</v>
      </c>
      <c r="C846" s="13" t="s">
        <v>27</v>
      </c>
      <c r="D846" s="13" t="s">
        <v>60</v>
      </c>
      <c r="E846" s="13" t="s">
        <v>150</v>
      </c>
      <c r="F846" s="13" t="s">
        <v>50</v>
      </c>
      <c r="G846" s="13" t="s">
        <v>51</v>
      </c>
      <c r="H846" s="13" t="s">
        <v>32</v>
      </c>
      <c r="I846" s="13" t="s">
        <v>33</v>
      </c>
      <c r="J846" s="13">
        <v>4</v>
      </c>
      <c r="K846" s="13">
        <v>80.99</v>
      </c>
      <c r="L846" s="13">
        <v>0.15</v>
      </c>
      <c r="M846" s="13">
        <v>275.37</v>
      </c>
      <c r="N846" s="13">
        <v>163.63</v>
      </c>
      <c r="O846" s="13">
        <v>111.74</v>
      </c>
      <c r="P846" s="13">
        <v>3.5</v>
      </c>
      <c r="Q846" s="13" t="s">
        <v>87</v>
      </c>
      <c r="R846" s="13">
        <v>2025</v>
      </c>
      <c r="S846" s="15" t="str">
        <f t="shared" si="78"/>
        <v>Low Profit</v>
      </c>
      <c r="T846" s="15" t="str">
        <f t="shared" si="79"/>
        <v>Low Sales</v>
      </c>
      <c r="U846" s="15" t="str">
        <f t="shared" si="80"/>
        <v>Needs Improvement</v>
      </c>
      <c r="V846" s="15" t="str">
        <f t="shared" si="81"/>
        <v>High Discount</v>
      </c>
      <c r="W846" s="15">
        <f>VLOOKUP(D846,Lookup_Table!$A:$C,2,FALSE)</f>
        <v>0.15</v>
      </c>
      <c r="X846" s="15">
        <f t="shared" si="82"/>
        <v>0.405781312416022</v>
      </c>
      <c r="Y846" s="15" t="str">
        <f>VLOOKUP(D846,Lookup_Table!A:C,3,0)</f>
        <v>Priya</v>
      </c>
      <c r="Z846" s="15" t="str">
        <f t="shared" si="83"/>
        <v>Achived</v>
      </c>
    </row>
    <row r="847" spans="1:26">
      <c r="A847" s="13" t="s">
        <v>938</v>
      </c>
      <c r="B847" s="14">
        <v>45699</v>
      </c>
      <c r="C847" s="13" t="s">
        <v>36</v>
      </c>
      <c r="D847" s="13" t="s">
        <v>80</v>
      </c>
      <c r="E847" s="13" t="s">
        <v>191</v>
      </c>
      <c r="F847" s="13" t="s">
        <v>111</v>
      </c>
      <c r="G847" s="13" t="s">
        <v>76</v>
      </c>
      <c r="H847" s="13" t="s">
        <v>77</v>
      </c>
      <c r="I847" s="13" t="s">
        <v>52</v>
      </c>
      <c r="J847" s="13">
        <v>4</v>
      </c>
      <c r="K847" s="13">
        <v>36.91</v>
      </c>
      <c r="L847" s="13">
        <v>0</v>
      </c>
      <c r="M847" s="13">
        <v>147.64</v>
      </c>
      <c r="N847" s="13">
        <v>87.45</v>
      </c>
      <c r="O847" s="13">
        <v>60.19</v>
      </c>
      <c r="P847" s="13">
        <v>4.4</v>
      </c>
      <c r="Q847" s="13" t="s">
        <v>105</v>
      </c>
      <c r="R847" s="13">
        <v>2025</v>
      </c>
      <c r="S847" s="15" t="str">
        <f t="shared" si="78"/>
        <v>Low Profit</v>
      </c>
      <c r="T847" s="15" t="str">
        <f t="shared" si="79"/>
        <v>Low Sales</v>
      </c>
      <c r="U847" s="15" t="str">
        <f t="shared" si="80"/>
        <v>Good</v>
      </c>
      <c r="V847" s="15" t="str">
        <f t="shared" si="81"/>
        <v>Normal Discount</v>
      </c>
      <c r="W847" s="15">
        <f>VLOOKUP(D847,Lookup_Table!$A:$C,2,FALSE)</f>
        <v>0.12</v>
      </c>
      <c r="X847" s="15">
        <f t="shared" si="82"/>
        <v>0.407680845299377</v>
      </c>
      <c r="Y847" s="15" t="str">
        <f>VLOOKUP(D847,Lookup_Table!A:C,3,0)</f>
        <v>Rahul</v>
      </c>
      <c r="Z847" s="15" t="str">
        <f t="shared" si="83"/>
        <v>Achived</v>
      </c>
    </row>
    <row r="848" spans="1:26">
      <c r="A848" s="13" t="s">
        <v>939</v>
      </c>
      <c r="B848" s="14">
        <v>45830</v>
      </c>
      <c r="C848" s="13" t="s">
        <v>36</v>
      </c>
      <c r="D848" s="13" t="s">
        <v>44</v>
      </c>
      <c r="E848" s="13" t="s">
        <v>104</v>
      </c>
      <c r="F848" s="13" t="s">
        <v>116</v>
      </c>
      <c r="G848" s="13" t="s">
        <v>117</v>
      </c>
      <c r="H848" s="13" t="s">
        <v>32</v>
      </c>
      <c r="I848" s="13" t="s">
        <v>52</v>
      </c>
      <c r="J848" s="13">
        <v>7</v>
      </c>
      <c r="K848" s="13">
        <v>157.72</v>
      </c>
      <c r="L848" s="13">
        <v>0.15</v>
      </c>
      <c r="M848" s="13">
        <v>938.43</v>
      </c>
      <c r="N848" s="13">
        <v>555.69</v>
      </c>
      <c r="O848" s="13">
        <v>382.74</v>
      </c>
      <c r="P848" s="13">
        <v>4.7</v>
      </c>
      <c r="Q848" s="13" t="s">
        <v>58</v>
      </c>
      <c r="R848" s="13">
        <v>2025</v>
      </c>
      <c r="S848" s="15" t="str">
        <f t="shared" si="78"/>
        <v>Low Profit</v>
      </c>
      <c r="T848" s="15" t="str">
        <f t="shared" si="79"/>
        <v>Low Sales</v>
      </c>
      <c r="U848" s="15" t="str">
        <f t="shared" si="80"/>
        <v>Good</v>
      </c>
      <c r="V848" s="15" t="str">
        <f t="shared" si="81"/>
        <v>High Discount</v>
      </c>
      <c r="W848" s="15">
        <f>VLOOKUP(D848,Lookup_Table!$A:$C,2,FALSE)</f>
        <v>0.18</v>
      </c>
      <c r="X848" s="15">
        <f t="shared" si="82"/>
        <v>0.407851411399891</v>
      </c>
      <c r="Y848" s="15" t="str">
        <f>VLOOKUP(D848,Lookup_Table!A:C,3,0)</f>
        <v>Amit</v>
      </c>
      <c r="Z848" s="15" t="str">
        <f t="shared" si="83"/>
        <v>Achived</v>
      </c>
    </row>
    <row r="849" spans="1:26">
      <c r="A849" s="13" t="s">
        <v>940</v>
      </c>
      <c r="B849" s="14">
        <v>45897</v>
      </c>
      <c r="C849" s="13" t="s">
        <v>55</v>
      </c>
      <c r="D849" s="13" t="s">
        <v>44</v>
      </c>
      <c r="E849" s="13" t="s">
        <v>137</v>
      </c>
      <c r="F849" s="13" t="s">
        <v>50</v>
      </c>
      <c r="G849" s="13" t="s">
        <v>51</v>
      </c>
      <c r="H849" s="13" t="s">
        <v>32</v>
      </c>
      <c r="I849" s="13" t="s">
        <v>52</v>
      </c>
      <c r="J849" s="13">
        <v>2</v>
      </c>
      <c r="K849" s="13">
        <v>290.1</v>
      </c>
      <c r="L849" s="13">
        <v>0</v>
      </c>
      <c r="M849" s="13">
        <v>580.2</v>
      </c>
      <c r="N849" s="13">
        <v>343.43</v>
      </c>
      <c r="O849" s="13">
        <v>236.77</v>
      </c>
      <c r="P849" s="13">
        <v>4.3</v>
      </c>
      <c r="Q849" s="13" t="s">
        <v>47</v>
      </c>
      <c r="R849" s="13">
        <v>2025</v>
      </c>
      <c r="S849" s="15" t="str">
        <f t="shared" si="78"/>
        <v>Low Profit</v>
      </c>
      <c r="T849" s="15" t="str">
        <f t="shared" si="79"/>
        <v>Low Sales</v>
      </c>
      <c r="U849" s="15" t="str">
        <f t="shared" si="80"/>
        <v>Good</v>
      </c>
      <c r="V849" s="15" t="str">
        <f t="shared" si="81"/>
        <v>Normal Discount</v>
      </c>
      <c r="W849" s="15">
        <f>VLOOKUP(D849,Lookup_Table!$A:$C,2,FALSE)</f>
        <v>0.18</v>
      </c>
      <c r="X849" s="15">
        <f t="shared" si="82"/>
        <v>0.408083419510514</v>
      </c>
      <c r="Y849" s="15" t="str">
        <f>VLOOKUP(D849,Lookup_Table!A:C,3,0)</f>
        <v>Amit</v>
      </c>
      <c r="Z849" s="15" t="str">
        <f t="shared" si="83"/>
        <v>Achived</v>
      </c>
    </row>
    <row r="850" spans="1:26">
      <c r="A850" s="13" t="s">
        <v>941</v>
      </c>
      <c r="B850" s="14">
        <v>45979</v>
      </c>
      <c r="C850" s="13" t="s">
        <v>27</v>
      </c>
      <c r="D850" s="13" t="s">
        <v>44</v>
      </c>
      <c r="E850" s="13" t="s">
        <v>45</v>
      </c>
      <c r="F850" s="13" t="s">
        <v>30</v>
      </c>
      <c r="G850" s="13" t="s">
        <v>31</v>
      </c>
      <c r="H850" s="13" t="s">
        <v>32</v>
      </c>
      <c r="I850" s="13" t="s">
        <v>52</v>
      </c>
      <c r="J850" s="13">
        <v>3</v>
      </c>
      <c r="K850" s="13">
        <v>1431.93</v>
      </c>
      <c r="L850" s="13">
        <v>0.1</v>
      </c>
      <c r="M850" s="13">
        <v>3866.21</v>
      </c>
      <c r="N850" s="13">
        <v>2286.76</v>
      </c>
      <c r="O850" s="13">
        <v>1579.45</v>
      </c>
      <c r="P850" s="13">
        <v>3.1</v>
      </c>
      <c r="Q850" s="13" t="s">
        <v>71</v>
      </c>
      <c r="R850" s="13">
        <v>2025</v>
      </c>
      <c r="S850" s="15" t="str">
        <f t="shared" si="78"/>
        <v>High Profit</v>
      </c>
      <c r="T850" s="15" t="str">
        <f t="shared" si="79"/>
        <v>High Sales</v>
      </c>
      <c r="U850" s="15" t="str">
        <f t="shared" si="80"/>
        <v>Needs Improvement</v>
      </c>
      <c r="V850" s="15" t="str">
        <f t="shared" si="81"/>
        <v>Normal Discount</v>
      </c>
      <c r="W850" s="15">
        <f>VLOOKUP(D850,Lookup_Table!$A:$C,2,FALSE)</f>
        <v>0.18</v>
      </c>
      <c r="X850" s="15">
        <f t="shared" si="82"/>
        <v>0.408526696687454</v>
      </c>
      <c r="Y850" s="15" t="str">
        <f>VLOOKUP(D850,Lookup_Table!A:C,3,0)</f>
        <v>Amit</v>
      </c>
      <c r="Z850" s="15" t="str">
        <f t="shared" si="83"/>
        <v>Achived</v>
      </c>
    </row>
    <row r="851" spans="1:26">
      <c r="A851" s="13" t="s">
        <v>942</v>
      </c>
      <c r="B851" s="14">
        <v>45903</v>
      </c>
      <c r="C851" s="13" t="s">
        <v>36</v>
      </c>
      <c r="D851" s="13" t="s">
        <v>80</v>
      </c>
      <c r="E851" s="13" t="s">
        <v>101</v>
      </c>
      <c r="F851" s="13" t="s">
        <v>39</v>
      </c>
      <c r="G851" s="13" t="s">
        <v>40</v>
      </c>
      <c r="H851" s="13" t="s">
        <v>41</v>
      </c>
      <c r="I851" s="13" t="s">
        <v>46</v>
      </c>
      <c r="J851" s="13">
        <v>5</v>
      </c>
      <c r="K851" s="13">
        <v>46.84</v>
      </c>
      <c r="L851" s="13">
        <v>0.05</v>
      </c>
      <c r="M851" s="13">
        <v>222.49</v>
      </c>
      <c r="N851" s="13">
        <v>131.48</v>
      </c>
      <c r="O851" s="13">
        <v>91.01</v>
      </c>
      <c r="P851" s="13">
        <v>4.1</v>
      </c>
      <c r="Q851" s="13" t="s">
        <v>53</v>
      </c>
      <c r="R851" s="13">
        <v>2025</v>
      </c>
      <c r="S851" s="15" t="str">
        <f t="shared" si="78"/>
        <v>Low Profit</v>
      </c>
      <c r="T851" s="15" t="str">
        <f t="shared" si="79"/>
        <v>Low Sales</v>
      </c>
      <c r="U851" s="15" t="str">
        <f t="shared" si="80"/>
        <v>Good</v>
      </c>
      <c r="V851" s="15" t="str">
        <f t="shared" si="81"/>
        <v>Normal Discount</v>
      </c>
      <c r="W851" s="15">
        <f>VLOOKUP(D851,Lookup_Table!$A:$C,2,FALSE)</f>
        <v>0.12</v>
      </c>
      <c r="X851" s="15">
        <f t="shared" si="82"/>
        <v>0.409052092228864</v>
      </c>
      <c r="Y851" s="15" t="str">
        <f>VLOOKUP(D851,Lookup_Table!A:C,3,0)</f>
        <v>Rahul</v>
      </c>
      <c r="Z851" s="15" t="str">
        <f t="shared" si="83"/>
        <v>Achived</v>
      </c>
    </row>
    <row r="852" spans="1:26">
      <c r="A852" s="13" t="s">
        <v>943</v>
      </c>
      <c r="B852" s="14">
        <v>45675</v>
      </c>
      <c r="C852" s="13" t="s">
        <v>36</v>
      </c>
      <c r="D852" s="13" t="s">
        <v>44</v>
      </c>
      <c r="E852" s="13" t="s">
        <v>104</v>
      </c>
      <c r="F852" s="13" t="s">
        <v>62</v>
      </c>
      <c r="G852" s="13" t="s">
        <v>63</v>
      </c>
      <c r="H852" s="13" t="s">
        <v>32</v>
      </c>
      <c r="I852" s="13" t="s">
        <v>46</v>
      </c>
      <c r="J852" s="13">
        <v>1</v>
      </c>
      <c r="K852" s="13">
        <v>940.37</v>
      </c>
      <c r="L852" s="13">
        <v>0.15</v>
      </c>
      <c r="M852" s="13">
        <v>799.31</v>
      </c>
      <c r="N852" s="13">
        <v>472.32</v>
      </c>
      <c r="O852" s="13">
        <v>326.99</v>
      </c>
      <c r="P852" s="13">
        <v>3.9</v>
      </c>
      <c r="Q852" s="13" t="s">
        <v>64</v>
      </c>
      <c r="R852" s="13">
        <v>2025</v>
      </c>
      <c r="S852" s="15" t="str">
        <f t="shared" si="78"/>
        <v>Low Profit</v>
      </c>
      <c r="T852" s="15" t="str">
        <f t="shared" si="79"/>
        <v>Low Sales</v>
      </c>
      <c r="U852" s="15" t="str">
        <f t="shared" si="80"/>
        <v>Needs Improvement</v>
      </c>
      <c r="V852" s="15" t="str">
        <f t="shared" si="81"/>
        <v>High Discount</v>
      </c>
      <c r="W852" s="15">
        <f>VLOOKUP(D852,Lookup_Table!$A:$C,2,FALSE)</f>
        <v>0.18</v>
      </c>
      <c r="X852" s="15">
        <f t="shared" si="82"/>
        <v>0.409090340418611</v>
      </c>
      <c r="Y852" s="15" t="str">
        <f>VLOOKUP(D852,Lookup_Table!A:C,3,0)</f>
        <v>Amit</v>
      </c>
      <c r="Z852" s="15" t="str">
        <f t="shared" si="83"/>
        <v>Achived</v>
      </c>
    </row>
    <row r="853" spans="1:26">
      <c r="A853" s="13" t="s">
        <v>944</v>
      </c>
      <c r="B853" s="14">
        <v>45940</v>
      </c>
      <c r="C853" s="13" t="s">
        <v>27</v>
      </c>
      <c r="D853" s="13" t="s">
        <v>37</v>
      </c>
      <c r="E853" s="13" t="s">
        <v>86</v>
      </c>
      <c r="F853" s="13" t="s">
        <v>82</v>
      </c>
      <c r="G853" s="13" t="s">
        <v>83</v>
      </c>
      <c r="H853" s="13" t="s">
        <v>77</v>
      </c>
      <c r="I853" s="13" t="s">
        <v>52</v>
      </c>
      <c r="J853" s="13">
        <v>2</v>
      </c>
      <c r="K853" s="13">
        <v>474.23</v>
      </c>
      <c r="L853" s="13">
        <v>0.05</v>
      </c>
      <c r="M853" s="13">
        <v>901.04</v>
      </c>
      <c r="N853" s="13">
        <v>532.2</v>
      </c>
      <c r="O853" s="13">
        <v>368.84</v>
      </c>
      <c r="P853" s="13">
        <v>3.5</v>
      </c>
      <c r="Q853" s="13" t="s">
        <v>87</v>
      </c>
      <c r="R853" s="13">
        <v>2025</v>
      </c>
      <c r="S853" s="15" t="str">
        <f t="shared" si="78"/>
        <v>Low Profit</v>
      </c>
      <c r="T853" s="15" t="str">
        <f t="shared" si="79"/>
        <v>Low Sales</v>
      </c>
      <c r="U853" s="15" t="str">
        <f t="shared" si="80"/>
        <v>Needs Improvement</v>
      </c>
      <c r="V853" s="15" t="str">
        <f t="shared" si="81"/>
        <v>Normal Discount</v>
      </c>
      <c r="W853" s="15">
        <f>VLOOKUP(D853,Lookup_Table!$A:$C,2,FALSE)</f>
        <v>0.16</v>
      </c>
      <c r="X853" s="15">
        <f t="shared" si="82"/>
        <v>0.409349196484063</v>
      </c>
      <c r="Y853" s="15" t="str">
        <f>VLOOKUP(D853,Lookup_Table!A:C,3,0)</f>
        <v>Vikram</v>
      </c>
      <c r="Z853" s="15" t="str">
        <f t="shared" si="83"/>
        <v>Achived</v>
      </c>
    </row>
    <row r="854" spans="1:26">
      <c r="A854" s="13" t="s">
        <v>945</v>
      </c>
      <c r="B854" s="14">
        <v>45679</v>
      </c>
      <c r="C854" s="13" t="s">
        <v>55</v>
      </c>
      <c r="D854" s="13" t="s">
        <v>80</v>
      </c>
      <c r="E854" s="13" t="s">
        <v>115</v>
      </c>
      <c r="F854" s="13" t="s">
        <v>39</v>
      </c>
      <c r="G854" s="13" t="s">
        <v>40</v>
      </c>
      <c r="H854" s="13" t="s">
        <v>41</v>
      </c>
      <c r="I854" s="13" t="s">
        <v>33</v>
      </c>
      <c r="J854" s="13">
        <v>5</v>
      </c>
      <c r="K854" s="13">
        <v>40.18</v>
      </c>
      <c r="L854" s="13">
        <v>0.1</v>
      </c>
      <c r="M854" s="13">
        <v>180.81</v>
      </c>
      <c r="N854" s="13">
        <v>106.73</v>
      </c>
      <c r="O854" s="13">
        <v>74.08</v>
      </c>
      <c r="P854" s="13">
        <v>4.1</v>
      </c>
      <c r="Q854" s="13" t="s">
        <v>64</v>
      </c>
      <c r="R854" s="13">
        <v>2025</v>
      </c>
      <c r="S854" s="15" t="str">
        <f t="shared" si="78"/>
        <v>Low Profit</v>
      </c>
      <c r="T854" s="15" t="str">
        <f t="shared" si="79"/>
        <v>Low Sales</v>
      </c>
      <c r="U854" s="15" t="str">
        <f t="shared" si="80"/>
        <v>Good</v>
      </c>
      <c r="V854" s="15" t="str">
        <f t="shared" si="81"/>
        <v>Normal Discount</v>
      </c>
      <c r="W854" s="15">
        <f>VLOOKUP(D854,Lookup_Table!$A:$C,2,FALSE)</f>
        <v>0.12</v>
      </c>
      <c r="X854" s="15">
        <f t="shared" si="82"/>
        <v>0.409711852220563</v>
      </c>
      <c r="Y854" s="15" t="str">
        <f>VLOOKUP(D854,Lookup_Table!A:C,3,0)</f>
        <v>Rahul</v>
      </c>
      <c r="Z854" s="15" t="str">
        <f t="shared" si="83"/>
        <v>Achived</v>
      </c>
    </row>
    <row r="855" spans="1:26">
      <c r="A855" s="13" t="s">
        <v>946</v>
      </c>
      <c r="B855" s="14">
        <v>46015</v>
      </c>
      <c r="C855" s="13" t="s">
        <v>27</v>
      </c>
      <c r="D855" s="13" t="s">
        <v>80</v>
      </c>
      <c r="E855" s="13" t="s">
        <v>115</v>
      </c>
      <c r="F855" s="13" t="s">
        <v>39</v>
      </c>
      <c r="G855" s="13" t="s">
        <v>40</v>
      </c>
      <c r="H855" s="13" t="s">
        <v>41</v>
      </c>
      <c r="I855" s="13" t="s">
        <v>33</v>
      </c>
      <c r="J855" s="13">
        <v>6</v>
      </c>
      <c r="K855" s="13">
        <v>75.09</v>
      </c>
      <c r="L855" s="13">
        <v>0.05</v>
      </c>
      <c r="M855" s="13">
        <v>428.01</v>
      </c>
      <c r="N855" s="13">
        <v>252.43</v>
      </c>
      <c r="O855" s="13">
        <v>175.58</v>
      </c>
      <c r="P855" s="13">
        <v>4.3</v>
      </c>
      <c r="Q855" s="13" t="s">
        <v>34</v>
      </c>
      <c r="R855" s="13">
        <v>2025</v>
      </c>
      <c r="S855" s="15" t="str">
        <f t="shared" si="78"/>
        <v>Low Profit</v>
      </c>
      <c r="T855" s="15" t="str">
        <f t="shared" si="79"/>
        <v>Low Sales</v>
      </c>
      <c r="U855" s="15" t="str">
        <f t="shared" si="80"/>
        <v>Good</v>
      </c>
      <c r="V855" s="15" t="str">
        <f t="shared" si="81"/>
        <v>Normal Discount</v>
      </c>
      <c r="W855" s="15">
        <f>VLOOKUP(D855,Lookup_Table!$A:$C,2,FALSE)</f>
        <v>0.12</v>
      </c>
      <c r="X855" s="15">
        <f t="shared" si="82"/>
        <v>0.41022406018551</v>
      </c>
      <c r="Y855" s="15" t="str">
        <f>VLOOKUP(D855,Lookup_Table!A:C,3,0)</f>
        <v>Rahul</v>
      </c>
      <c r="Z855" s="15" t="str">
        <f t="shared" si="83"/>
        <v>Achived</v>
      </c>
    </row>
    <row r="856" spans="1:26">
      <c r="A856" s="13" t="s">
        <v>947</v>
      </c>
      <c r="B856" s="14">
        <v>45671</v>
      </c>
      <c r="C856" s="13" t="s">
        <v>55</v>
      </c>
      <c r="D856" s="13" t="s">
        <v>80</v>
      </c>
      <c r="E856" s="13" t="s">
        <v>191</v>
      </c>
      <c r="F856" s="13" t="s">
        <v>98</v>
      </c>
      <c r="G856" s="13" t="s">
        <v>99</v>
      </c>
      <c r="H856" s="13" t="s">
        <v>77</v>
      </c>
      <c r="I856" s="13" t="s">
        <v>46</v>
      </c>
      <c r="J856" s="13">
        <v>6</v>
      </c>
      <c r="K856" s="13">
        <v>50.32</v>
      </c>
      <c r="L856" s="13">
        <v>0</v>
      </c>
      <c r="M856" s="13">
        <v>301.92</v>
      </c>
      <c r="N856" s="13">
        <v>177.97</v>
      </c>
      <c r="O856" s="13">
        <v>123.95</v>
      </c>
      <c r="P856" s="13">
        <v>2.7</v>
      </c>
      <c r="Q856" s="13" t="s">
        <v>64</v>
      </c>
      <c r="R856" s="13">
        <v>2025</v>
      </c>
      <c r="S856" s="15" t="str">
        <f t="shared" si="78"/>
        <v>Low Profit</v>
      </c>
      <c r="T856" s="15" t="str">
        <f t="shared" si="79"/>
        <v>Low Sales</v>
      </c>
      <c r="U856" s="15" t="str">
        <f t="shared" si="80"/>
        <v>Needs Improvement</v>
      </c>
      <c r="V856" s="15" t="str">
        <f t="shared" si="81"/>
        <v>Normal Discount</v>
      </c>
      <c r="W856" s="15">
        <f>VLOOKUP(D856,Lookup_Table!$A:$C,2,FALSE)</f>
        <v>0.12</v>
      </c>
      <c r="X856" s="15">
        <f t="shared" si="82"/>
        <v>0.410539215686274</v>
      </c>
      <c r="Y856" s="15" t="str">
        <f>VLOOKUP(D856,Lookup_Table!A:C,3,0)</f>
        <v>Rahul</v>
      </c>
      <c r="Z856" s="15" t="str">
        <f t="shared" si="83"/>
        <v>Achived</v>
      </c>
    </row>
    <row r="857" spans="1:26">
      <c r="A857" s="13" t="s">
        <v>948</v>
      </c>
      <c r="B857" s="14">
        <v>45671</v>
      </c>
      <c r="C857" s="13" t="s">
        <v>55</v>
      </c>
      <c r="D857" s="13" t="s">
        <v>80</v>
      </c>
      <c r="E857" s="13" t="s">
        <v>115</v>
      </c>
      <c r="F857" s="13" t="s">
        <v>39</v>
      </c>
      <c r="G857" s="13" t="s">
        <v>40</v>
      </c>
      <c r="H857" s="13" t="s">
        <v>41</v>
      </c>
      <c r="I857" s="13" t="s">
        <v>52</v>
      </c>
      <c r="J857" s="13">
        <v>7</v>
      </c>
      <c r="K857" s="13">
        <v>76.43</v>
      </c>
      <c r="L857" s="13">
        <v>0</v>
      </c>
      <c r="M857" s="13">
        <v>535.01</v>
      </c>
      <c r="N857" s="13">
        <v>315.29</v>
      </c>
      <c r="O857" s="13">
        <v>219.72</v>
      </c>
      <c r="P857" s="13">
        <v>4.2</v>
      </c>
      <c r="Q857" s="13" t="s">
        <v>64</v>
      </c>
      <c r="R857" s="13">
        <v>2025</v>
      </c>
      <c r="S857" s="15" t="str">
        <f t="shared" si="78"/>
        <v>Low Profit</v>
      </c>
      <c r="T857" s="15" t="str">
        <f t="shared" si="79"/>
        <v>Low Sales</v>
      </c>
      <c r="U857" s="15" t="str">
        <f t="shared" si="80"/>
        <v>Good</v>
      </c>
      <c r="V857" s="15" t="str">
        <f t="shared" si="81"/>
        <v>Normal Discount</v>
      </c>
      <c r="W857" s="15">
        <f>VLOOKUP(D857,Lookup_Table!$A:$C,2,FALSE)</f>
        <v>0.12</v>
      </c>
      <c r="X857" s="15">
        <f t="shared" si="82"/>
        <v>0.410683912450235</v>
      </c>
      <c r="Y857" s="15" t="str">
        <f>VLOOKUP(D857,Lookup_Table!A:C,3,0)</f>
        <v>Rahul</v>
      </c>
      <c r="Z857" s="15" t="str">
        <f t="shared" si="83"/>
        <v>Achived</v>
      </c>
    </row>
    <row r="858" spans="1:26">
      <c r="A858" s="13" t="s">
        <v>949</v>
      </c>
      <c r="B858" s="14">
        <v>45682</v>
      </c>
      <c r="C858" s="13" t="s">
        <v>36</v>
      </c>
      <c r="D858" s="13" t="s">
        <v>60</v>
      </c>
      <c r="E858" s="13" t="s">
        <v>150</v>
      </c>
      <c r="F858" s="13" t="s">
        <v>75</v>
      </c>
      <c r="G858" s="13" t="s">
        <v>76</v>
      </c>
      <c r="H858" s="13" t="s">
        <v>77</v>
      </c>
      <c r="I858" s="13" t="s">
        <v>33</v>
      </c>
      <c r="J858" s="13">
        <v>4</v>
      </c>
      <c r="K858" s="13">
        <v>55.49</v>
      </c>
      <c r="L858" s="13">
        <v>0</v>
      </c>
      <c r="M858" s="13">
        <v>221.96</v>
      </c>
      <c r="N858" s="13">
        <v>130.8</v>
      </c>
      <c r="O858" s="13">
        <v>91.16</v>
      </c>
      <c r="P858" s="13">
        <v>4.9</v>
      </c>
      <c r="Q858" s="13" t="s">
        <v>64</v>
      </c>
      <c r="R858" s="13">
        <v>2025</v>
      </c>
      <c r="S858" s="15" t="str">
        <f t="shared" si="78"/>
        <v>Low Profit</v>
      </c>
      <c r="T858" s="15" t="str">
        <f t="shared" si="79"/>
        <v>Low Sales</v>
      </c>
      <c r="U858" s="15" t="str">
        <f t="shared" si="80"/>
        <v>Good</v>
      </c>
      <c r="V858" s="15" t="str">
        <f t="shared" si="81"/>
        <v>Normal Discount</v>
      </c>
      <c r="W858" s="15">
        <f>VLOOKUP(D858,Lookup_Table!$A:$C,2,FALSE)</f>
        <v>0.15</v>
      </c>
      <c r="X858" s="15">
        <f t="shared" si="82"/>
        <v>0.410704631465129</v>
      </c>
      <c r="Y858" s="15" t="str">
        <f>VLOOKUP(D858,Lookup_Table!A:C,3,0)</f>
        <v>Priya</v>
      </c>
      <c r="Z858" s="15" t="str">
        <f t="shared" si="83"/>
        <v>Achived</v>
      </c>
    </row>
    <row r="859" spans="1:26">
      <c r="A859" s="13" t="s">
        <v>950</v>
      </c>
      <c r="B859" s="14">
        <v>46005</v>
      </c>
      <c r="C859" s="13" t="s">
        <v>55</v>
      </c>
      <c r="D859" s="13" t="s">
        <v>44</v>
      </c>
      <c r="E859" s="13" t="s">
        <v>137</v>
      </c>
      <c r="F859" s="13" t="s">
        <v>39</v>
      </c>
      <c r="G859" s="13" t="s">
        <v>40</v>
      </c>
      <c r="H859" s="13" t="s">
        <v>41</v>
      </c>
      <c r="I859" s="13" t="s">
        <v>52</v>
      </c>
      <c r="J859" s="13">
        <v>1</v>
      </c>
      <c r="K859" s="13">
        <v>1284.83</v>
      </c>
      <c r="L859" s="13">
        <v>0</v>
      </c>
      <c r="M859" s="13">
        <v>1284.83</v>
      </c>
      <c r="N859" s="13">
        <v>756.68</v>
      </c>
      <c r="O859" s="13">
        <v>528.15</v>
      </c>
      <c r="P859" s="13">
        <v>4.9</v>
      </c>
      <c r="Q859" s="13" t="s">
        <v>34</v>
      </c>
      <c r="R859" s="13">
        <v>2025</v>
      </c>
      <c r="S859" s="15" t="str">
        <f t="shared" si="78"/>
        <v>High Profit</v>
      </c>
      <c r="T859" s="15" t="str">
        <f t="shared" si="79"/>
        <v>High Sales</v>
      </c>
      <c r="U859" s="15" t="str">
        <f t="shared" si="80"/>
        <v>Good</v>
      </c>
      <c r="V859" s="15" t="str">
        <f t="shared" si="81"/>
        <v>Normal Discount</v>
      </c>
      <c r="W859" s="15">
        <f>VLOOKUP(D859,Lookup_Table!$A:$C,2,FALSE)</f>
        <v>0.18</v>
      </c>
      <c r="X859" s="15">
        <f t="shared" si="82"/>
        <v>0.411066055431458</v>
      </c>
      <c r="Y859" s="15" t="str">
        <f>VLOOKUP(D859,Lookup_Table!A:C,3,0)</f>
        <v>Amit</v>
      </c>
      <c r="Z859" s="15" t="str">
        <f t="shared" si="83"/>
        <v>Achived</v>
      </c>
    </row>
    <row r="860" spans="1:26">
      <c r="A860" s="13" t="s">
        <v>951</v>
      </c>
      <c r="B860" s="14">
        <v>45980</v>
      </c>
      <c r="C860" s="13" t="s">
        <v>55</v>
      </c>
      <c r="D860" s="13" t="s">
        <v>37</v>
      </c>
      <c r="E860" s="13" t="s">
        <v>38</v>
      </c>
      <c r="F860" s="13" t="s">
        <v>116</v>
      </c>
      <c r="G860" s="13" t="s">
        <v>117</v>
      </c>
      <c r="H860" s="13" t="s">
        <v>32</v>
      </c>
      <c r="I860" s="13" t="s">
        <v>33</v>
      </c>
      <c r="J860" s="13">
        <v>3</v>
      </c>
      <c r="K860" s="13">
        <v>320.13</v>
      </c>
      <c r="L860" s="13">
        <v>0.15</v>
      </c>
      <c r="M860" s="13">
        <v>816.33</v>
      </c>
      <c r="N860" s="13">
        <v>480.58</v>
      </c>
      <c r="O860" s="13">
        <v>335.75</v>
      </c>
      <c r="P860" s="13">
        <v>4.5</v>
      </c>
      <c r="Q860" s="13" t="s">
        <v>71</v>
      </c>
      <c r="R860" s="13">
        <v>2025</v>
      </c>
      <c r="S860" s="15" t="str">
        <f t="shared" si="78"/>
        <v>Low Profit</v>
      </c>
      <c r="T860" s="15" t="str">
        <f t="shared" si="79"/>
        <v>Low Sales</v>
      </c>
      <c r="U860" s="15" t="str">
        <f t="shared" si="80"/>
        <v>Good</v>
      </c>
      <c r="V860" s="15" t="str">
        <f t="shared" si="81"/>
        <v>High Discount</v>
      </c>
      <c r="W860" s="15">
        <f>VLOOKUP(D860,Lookup_Table!$A:$C,2,FALSE)</f>
        <v>0.16</v>
      </c>
      <c r="X860" s="15">
        <f t="shared" si="82"/>
        <v>0.411292002008991</v>
      </c>
      <c r="Y860" s="15" t="str">
        <f>VLOOKUP(D860,Lookup_Table!A:C,3,0)</f>
        <v>Vikram</v>
      </c>
      <c r="Z860" s="15" t="str">
        <f t="shared" si="83"/>
        <v>Achived</v>
      </c>
    </row>
    <row r="861" spans="1:26">
      <c r="A861" s="13" t="s">
        <v>952</v>
      </c>
      <c r="B861" s="14">
        <v>45936</v>
      </c>
      <c r="C861" s="13" t="s">
        <v>27</v>
      </c>
      <c r="D861" s="13" t="s">
        <v>44</v>
      </c>
      <c r="E861" s="13" t="s">
        <v>137</v>
      </c>
      <c r="F861" s="13" t="s">
        <v>116</v>
      </c>
      <c r="G861" s="13" t="s">
        <v>117</v>
      </c>
      <c r="H861" s="13" t="s">
        <v>32</v>
      </c>
      <c r="I861" s="13" t="s">
        <v>52</v>
      </c>
      <c r="J861" s="13">
        <v>3</v>
      </c>
      <c r="K861" s="13">
        <v>152.63</v>
      </c>
      <c r="L861" s="13">
        <v>0.2</v>
      </c>
      <c r="M861" s="13">
        <v>366.31</v>
      </c>
      <c r="N861" s="13">
        <v>215.62</v>
      </c>
      <c r="O861" s="13">
        <v>150.69</v>
      </c>
      <c r="P861" s="13">
        <v>3.3</v>
      </c>
      <c r="Q861" s="13" t="s">
        <v>87</v>
      </c>
      <c r="R861" s="13">
        <v>2025</v>
      </c>
      <c r="S861" s="15" t="str">
        <f t="shared" si="78"/>
        <v>Low Profit</v>
      </c>
      <c r="T861" s="15" t="str">
        <f t="shared" si="79"/>
        <v>Low Sales</v>
      </c>
      <c r="U861" s="15" t="str">
        <f t="shared" si="80"/>
        <v>Needs Improvement</v>
      </c>
      <c r="V861" s="15" t="str">
        <f t="shared" si="81"/>
        <v>High Discount</v>
      </c>
      <c r="W861" s="15">
        <f>VLOOKUP(D861,Lookup_Table!$A:$C,2,FALSE)</f>
        <v>0.18</v>
      </c>
      <c r="X861" s="15">
        <f t="shared" si="82"/>
        <v>0.411372880893232</v>
      </c>
      <c r="Y861" s="15" t="str">
        <f>VLOOKUP(D861,Lookup_Table!A:C,3,0)</f>
        <v>Amit</v>
      </c>
      <c r="Z861" s="15" t="str">
        <f t="shared" si="83"/>
        <v>Achived</v>
      </c>
    </row>
    <row r="862" spans="1:26">
      <c r="A862" s="13" t="s">
        <v>953</v>
      </c>
      <c r="B862" s="14">
        <v>45774</v>
      </c>
      <c r="C862" s="13" t="s">
        <v>55</v>
      </c>
      <c r="D862" s="13" t="s">
        <v>44</v>
      </c>
      <c r="E862" s="13" t="s">
        <v>143</v>
      </c>
      <c r="F862" s="13" t="s">
        <v>75</v>
      </c>
      <c r="G862" s="13" t="s">
        <v>76</v>
      </c>
      <c r="H862" s="13" t="s">
        <v>77</v>
      </c>
      <c r="I862" s="13" t="s">
        <v>33</v>
      </c>
      <c r="J862" s="13">
        <v>7</v>
      </c>
      <c r="K862" s="13">
        <v>1075.15</v>
      </c>
      <c r="L862" s="13">
        <v>0.05</v>
      </c>
      <c r="M862" s="13">
        <v>7149.75</v>
      </c>
      <c r="N862" s="13">
        <v>4207.32</v>
      </c>
      <c r="O862" s="13">
        <v>2942.43</v>
      </c>
      <c r="P862" s="13">
        <v>3.1</v>
      </c>
      <c r="Q862" s="13" t="s">
        <v>84</v>
      </c>
      <c r="R862" s="13">
        <v>2025</v>
      </c>
      <c r="S862" s="15" t="str">
        <f t="shared" si="78"/>
        <v>High Profit</v>
      </c>
      <c r="T862" s="15" t="str">
        <f t="shared" si="79"/>
        <v>High Sales</v>
      </c>
      <c r="U862" s="15" t="str">
        <f t="shared" si="80"/>
        <v>Needs Improvement</v>
      </c>
      <c r="V862" s="15" t="str">
        <f t="shared" si="81"/>
        <v>Normal Discount</v>
      </c>
      <c r="W862" s="15">
        <f>VLOOKUP(D862,Lookup_Table!$A:$C,2,FALSE)</f>
        <v>0.18</v>
      </c>
      <c r="X862" s="15">
        <f t="shared" si="82"/>
        <v>0.411543060946187</v>
      </c>
      <c r="Y862" s="15" t="str">
        <f>VLOOKUP(D862,Lookup_Table!A:C,3,0)</f>
        <v>Amit</v>
      </c>
      <c r="Z862" s="15" t="str">
        <f t="shared" si="83"/>
        <v>Achived</v>
      </c>
    </row>
    <row r="863" spans="1:26">
      <c r="A863" s="13" t="s">
        <v>954</v>
      </c>
      <c r="B863" s="14">
        <v>45975</v>
      </c>
      <c r="C863" s="13" t="s">
        <v>27</v>
      </c>
      <c r="D863" s="13" t="s">
        <v>60</v>
      </c>
      <c r="E863" s="13" t="s">
        <v>66</v>
      </c>
      <c r="F863" s="13" t="s">
        <v>82</v>
      </c>
      <c r="G863" s="13" t="s">
        <v>83</v>
      </c>
      <c r="H863" s="13" t="s">
        <v>77</v>
      </c>
      <c r="I863" s="13" t="s">
        <v>46</v>
      </c>
      <c r="J863" s="13">
        <v>6</v>
      </c>
      <c r="K863" s="13">
        <v>358.13</v>
      </c>
      <c r="L863" s="13">
        <v>0.1</v>
      </c>
      <c r="M863" s="13">
        <v>1933.9</v>
      </c>
      <c r="N863" s="13">
        <v>1137.56</v>
      </c>
      <c r="O863" s="13">
        <v>796.34</v>
      </c>
      <c r="P863" s="13">
        <v>3.5</v>
      </c>
      <c r="Q863" s="13" t="s">
        <v>71</v>
      </c>
      <c r="R863" s="13">
        <v>2025</v>
      </c>
      <c r="S863" s="15" t="str">
        <f t="shared" si="78"/>
        <v>High Profit</v>
      </c>
      <c r="T863" s="15" t="str">
        <f t="shared" si="79"/>
        <v>High Sales</v>
      </c>
      <c r="U863" s="15" t="str">
        <f t="shared" si="80"/>
        <v>Needs Improvement</v>
      </c>
      <c r="V863" s="15" t="str">
        <f t="shared" si="81"/>
        <v>Normal Discount</v>
      </c>
      <c r="W863" s="15">
        <f>VLOOKUP(D863,Lookup_Table!$A:$C,2,FALSE)</f>
        <v>0.15</v>
      </c>
      <c r="X863" s="15">
        <f t="shared" si="82"/>
        <v>0.411779306065464</v>
      </c>
      <c r="Y863" s="15" t="str">
        <f>VLOOKUP(D863,Lookup_Table!A:C,3,0)</f>
        <v>Priya</v>
      </c>
      <c r="Z863" s="15" t="str">
        <f t="shared" si="83"/>
        <v>Achived</v>
      </c>
    </row>
    <row r="864" spans="1:26">
      <c r="A864" s="13" t="s">
        <v>955</v>
      </c>
      <c r="B864" s="14">
        <v>45833</v>
      </c>
      <c r="C864" s="13" t="s">
        <v>27</v>
      </c>
      <c r="D864" s="13" t="s">
        <v>80</v>
      </c>
      <c r="E864" s="13" t="s">
        <v>101</v>
      </c>
      <c r="F864" s="13" t="s">
        <v>30</v>
      </c>
      <c r="G864" s="13" t="s">
        <v>31</v>
      </c>
      <c r="H864" s="13" t="s">
        <v>32</v>
      </c>
      <c r="I864" s="13" t="s">
        <v>33</v>
      </c>
      <c r="J864" s="13">
        <v>2</v>
      </c>
      <c r="K864" s="13">
        <v>23.51</v>
      </c>
      <c r="L864" s="13">
        <v>0.1</v>
      </c>
      <c r="M864" s="13">
        <v>42.32</v>
      </c>
      <c r="N864" s="13">
        <v>24.89</v>
      </c>
      <c r="O864" s="13">
        <v>17.43</v>
      </c>
      <c r="P864" s="13">
        <v>4.9</v>
      </c>
      <c r="Q864" s="13" t="s">
        <v>58</v>
      </c>
      <c r="R864" s="13">
        <v>2025</v>
      </c>
      <c r="S864" s="15" t="str">
        <f t="shared" si="78"/>
        <v>Low Profit</v>
      </c>
      <c r="T864" s="15" t="str">
        <f t="shared" si="79"/>
        <v>Low Sales</v>
      </c>
      <c r="U864" s="15" t="str">
        <f t="shared" si="80"/>
        <v>Good</v>
      </c>
      <c r="V864" s="15" t="str">
        <f t="shared" si="81"/>
        <v>Normal Discount</v>
      </c>
      <c r="W864" s="15">
        <f>VLOOKUP(D864,Lookup_Table!$A:$C,2,FALSE)</f>
        <v>0.12</v>
      </c>
      <c r="X864" s="15">
        <f t="shared" si="82"/>
        <v>0.411862003780718</v>
      </c>
      <c r="Y864" s="15" t="str">
        <f>VLOOKUP(D864,Lookup_Table!A:C,3,0)</f>
        <v>Rahul</v>
      </c>
      <c r="Z864" s="15" t="str">
        <f t="shared" si="83"/>
        <v>Achived</v>
      </c>
    </row>
    <row r="865" spans="1:26">
      <c r="A865" s="13" t="s">
        <v>956</v>
      </c>
      <c r="B865" s="14">
        <v>45858</v>
      </c>
      <c r="C865" s="13" t="s">
        <v>55</v>
      </c>
      <c r="D865" s="13" t="s">
        <v>60</v>
      </c>
      <c r="E865" s="13" t="s">
        <v>66</v>
      </c>
      <c r="F865" s="13" t="s">
        <v>39</v>
      </c>
      <c r="G865" s="13" t="s">
        <v>40</v>
      </c>
      <c r="H865" s="13" t="s">
        <v>41</v>
      </c>
      <c r="I865" s="13" t="s">
        <v>46</v>
      </c>
      <c r="J865" s="13">
        <v>7</v>
      </c>
      <c r="K865" s="13">
        <v>891.08</v>
      </c>
      <c r="L865" s="13">
        <v>0.15</v>
      </c>
      <c r="M865" s="13">
        <v>5301.93</v>
      </c>
      <c r="N865" s="13">
        <v>3117.21</v>
      </c>
      <c r="O865" s="13">
        <v>2184.72</v>
      </c>
      <c r="P865" s="13">
        <v>2.6</v>
      </c>
      <c r="Q865" s="13" t="s">
        <v>56</v>
      </c>
      <c r="R865" s="13">
        <v>2025</v>
      </c>
      <c r="S865" s="15" t="str">
        <f t="shared" si="78"/>
        <v>High Profit</v>
      </c>
      <c r="T865" s="15" t="str">
        <f t="shared" si="79"/>
        <v>High Sales</v>
      </c>
      <c r="U865" s="15" t="str">
        <f t="shared" si="80"/>
        <v>Needs Improvement</v>
      </c>
      <c r="V865" s="15" t="str">
        <f t="shared" si="81"/>
        <v>High Discount</v>
      </c>
      <c r="W865" s="15">
        <f>VLOOKUP(D865,Lookup_Table!$A:$C,2,FALSE)</f>
        <v>0.15</v>
      </c>
      <c r="X865" s="15">
        <f t="shared" si="82"/>
        <v>0.412061268255145</v>
      </c>
      <c r="Y865" s="15" t="str">
        <f>VLOOKUP(D865,Lookup_Table!A:C,3,0)</f>
        <v>Priya</v>
      </c>
      <c r="Z865" s="15" t="str">
        <f t="shared" si="83"/>
        <v>Achived</v>
      </c>
    </row>
    <row r="866" spans="1:26">
      <c r="A866" s="13" t="s">
        <v>957</v>
      </c>
      <c r="B866" s="14">
        <v>45713</v>
      </c>
      <c r="C866" s="13" t="s">
        <v>55</v>
      </c>
      <c r="D866" s="13" t="s">
        <v>44</v>
      </c>
      <c r="E866" s="13" t="s">
        <v>45</v>
      </c>
      <c r="F866" s="13" t="s">
        <v>75</v>
      </c>
      <c r="G866" s="13" t="s">
        <v>76</v>
      </c>
      <c r="H866" s="13" t="s">
        <v>77</v>
      </c>
      <c r="I866" s="13" t="s">
        <v>33</v>
      </c>
      <c r="J866" s="13">
        <v>5</v>
      </c>
      <c r="K866" s="13">
        <v>1466.72</v>
      </c>
      <c r="L866" s="13">
        <v>0.15</v>
      </c>
      <c r="M866" s="13">
        <v>6233.56</v>
      </c>
      <c r="N866" s="13">
        <v>3664.62</v>
      </c>
      <c r="O866" s="13">
        <v>2568.94</v>
      </c>
      <c r="P866" s="13">
        <v>3.2</v>
      </c>
      <c r="Q866" s="13" t="s">
        <v>105</v>
      </c>
      <c r="R866" s="13">
        <v>2025</v>
      </c>
      <c r="S866" s="15" t="str">
        <f t="shared" si="78"/>
        <v>High Profit</v>
      </c>
      <c r="T866" s="15" t="str">
        <f t="shared" si="79"/>
        <v>High Sales</v>
      </c>
      <c r="U866" s="15" t="str">
        <f t="shared" si="80"/>
        <v>Needs Improvement</v>
      </c>
      <c r="V866" s="15" t="str">
        <f t="shared" si="81"/>
        <v>High Discount</v>
      </c>
      <c r="W866" s="15">
        <f>VLOOKUP(D866,Lookup_Table!$A:$C,2,FALSE)</f>
        <v>0.18</v>
      </c>
      <c r="X866" s="15">
        <f t="shared" si="82"/>
        <v>0.412114425785586</v>
      </c>
      <c r="Y866" s="15" t="str">
        <f>VLOOKUP(D866,Lookup_Table!A:C,3,0)</f>
        <v>Amit</v>
      </c>
      <c r="Z866" s="15" t="str">
        <f t="shared" si="83"/>
        <v>Achived</v>
      </c>
    </row>
    <row r="867" spans="1:26">
      <c r="A867" s="13" t="s">
        <v>958</v>
      </c>
      <c r="B867" s="14">
        <v>45882</v>
      </c>
      <c r="C867" s="13" t="s">
        <v>36</v>
      </c>
      <c r="D867" s="13" t="s">
        <v>44</v>
      </c>
      <c r="E867" s="13" t="s">
        <v>137</v>
      </c>
      <c r="F867" s="13" t="s">
        <v>39</v>
      </c>
      <c r="G867" s="13" t="s">
        <v>40</v>
      </c>
      <c r="H867" s="13" t="s">
        <v>41</v>
      </c>
      <c r="I867" s="13" t="s">
        <v>33</v>
      </c>
      <c r="J867" s="13">
        <v>3</v>
      </c>
      <c r="K867" s="13">
        <v>695.85</v>
      </c>
      <c r="L867" s="13">
        <v>0.1</v>
      </c>
      <c r="M867" s="13">
        <v>1878.8</v>
      </c>
      <c r="N867" s="13">
        <v>1103.85</v>
      </c>
      <c r="O867" s="13">
        <v>774.95</v>
      </c>
      <c r="P867" s="13">
        <v>3.2</v>
      </c>
      <c r="Q867" s="13" t="s">
        <v>47</v>
      </c>
      <c r="R867" s="13">
        <v>2025</v>
      </c>
      <c r="S867" s="15" t="str">
        <f t="shared" si="78"/>
        <v>High Profit</v>
      </c>
      <c r="T867" s="15" t="str">
        <f t="shared" si="79"/>
        <v>High Sales</v>
      </c>
      <c r="U867" s="15" t="str">
        <f t="shared" si="80"/>
        <v>Needs Improvement</v>
      </c>
      <c r="V867" s="15" t="str">
        <f t="shared" si="81"/>
        <v>Normal Discount</v>
      </c>
      <c r="W867" s="15">
        <f>VLOOKUP(D867,Lookup_Table!$A:$C,2,FALSE)</f>
        <v>0.18</v>
      </c>
      <c r="X867" s="15">
        <f t="shared" si="82"/>
        <v>0.412470725995316</v>
      </c>
      <c r="Y867" s="15" t="str">
        <f>VLOOKUP(D867,Lookup_Table!A:C,3,0)</f>
        <v>Amit</v>
      </c>
      <c r="Z867" s="15" t="str">
        <f t="shared" si="83"/>
        <v>Achived</v>
      </c>
    </row>
    <row r="868" spans="1:26">
      <c r="A868" s="13" t="s">
        <v>959</v>
      </c>
      <c r="B868" s="14">
        <v>45744</v>
      </c>
      <c r="C868" s="13" t="s">
        <v>36</v>
      </c>
      <c r="D868" s="13" t="s">
        <v>60</v>
      </c>
      <c r="E868" s="13" t="s">
        <v>127</v>
      </c>
      <c r="F868" s="13" t="s">
        <v>50</v>
      </c>
      <c r="G868" s="13" t="s">
        <v>51</v>
      </c>
      <c r="H868" s="13" t="s">
        <v>32</v>
      </c>
      <c r="I868" s="13" t="s">
        <v>33</v>
      </c>
      <c r="J868" s="13">
        <v>2</v>
      </c>
      <c r="K868" s="13">
        <v>882.18</v>
      </c>
      <c r="L868" s="13">
        <v>0</v>
      </c>
      <c r="M868" s="13">
        <v>1764.36</v>
      </c>
      <c r="N868" s="13">
        <v>1035.53</v>
      </c>
      <c r="O868" s="13">
        <v>728.83</v>
      </c>
      <c r="P868" s="13">
        <v>3.1</v>
      </c>
      <c r="Q868" s="13" t="s">
        <v>94</v>
      </c>
      <c r="R868" s="13">
        <v>2025</v>
      </c>
      <c r="S868" s="15" t="str">
        <f t="shared" si="78"/>
        <v>High Profit</v>
      </c>
      <c r="T868" s="15" t="str">
        <f t="shared" si="79"/>
        <v>High Sales</v>
      </c>
      <c r="U868" s="15" t="str">
        <f t="shared" si="80"/>
        <v>Needs Improvement</v>
      </c>
      <c r="V868" s="15" t="str">
        <f t="shared" si="81"/>
        <v>Normal Discount</v>
      </c>
      <c r="W868" s="15">
        <f>VLOOKUP(D868,Lookup_Table!$A:$C,2,FALSE)</f>
        <v>0.15</v>
      </c>
      <c r="X868" s="15">
        <f t="shared" si="82"/>
        <v>0.413084631254393</v>
      </c>
      <c r="Y868" s="15" t="str">
        <f>VLOOKUP(D868,Lookup_Table!A:C,3,0)</f>
        <v>Priya</v>
      </c>
      <c r="Z868" s="15" t="str">
        <f t="shared" si="83"/>
        <v>Achived</v>
      </c>
    </row>
    <row r="869" spans="1:26">
      <c r="A869" s="13" t="s">
        <v>960</v>
      </c>
      <c r="B869" s="14">
        <v>45871</v>
      </c>
      <c r="C869" s="13" t="s">
        <v>55</v>
      </c>
      <c r="D869" s="13" t="s">
        <v>28</v>
      </c>
      <c r="E869" s="13" t="s">
        <v>49</v>
      </c>
      <c r="F869" s="13" t="s">
        <v>39</v>
      </c>
      <c r="G869" s="13" t="s">
        <v>40</v>
      </c>
      <c r="H869" s="13" t="s">
        <v>41</v>
      </c>
      <c r="I869" s="13" t="s">
        <v>52</v>
      </c>
      <c r="J869" s="13">
        <v>5</v>
      </c>
      <c r="K869" s="13">
        <v>133.83</v>
      </c>
      <c r="L869" s="13">
        <v>0</v>
      </c>
      <c r="M869" s="13">
        <v>669.15</v>
      </c>
      <c r="N869" s="13">
        <v>392.62</v>
      </c>
      <c r="O869" s="13">
        <v>276.53</v>
      </c>
      <c r="P869" s="13">
        <v>4.1</v>
      </c>
      <c r="Q869" s="13" t="s">
        <v>47</v>
      </c>
      <c r="R869" s="13">
        <v>2025</v>
      </c>
      <c r="S869" s="15" t="str">
        <f t="shared" si="78"/>
        <v>Low Profit</v>
      </c>
      <c r="T869" s="15" t="str">
        <f t="shared" si="79"/>
        <v>Low Sales</v>
      </c>
      <c r="U869" s="15" t="str">
        <f t="shared" si="80"/>
        <v>Good</v>
      </c>
      <c r="V869" s="15" t="str">
        <f t="shared" si="81"/>
        <v>Normal Discount</v>
      </c>
      <c r="W869" s="15">
        <f>VLOOKUP(D869,Lookup_Table!$A:$C,2,FALSE)</f>
        <v>0.2</v>
      </c>
      <c r="X869" s="15">
        <f t="shared" si="82"/>
        <v>0.413255622805051</v>
      </c>
      <c r="Y869" s="15" t="str">
        <f>VLOOKUP(D869,Lookup_Table!A:C,3,0)</f>
        <v>Sneha</v>
      </c>
      <c r="Z869" s="15" t="str">
        <f t="shared" si="83"/>
        <v>Achived</v>
      </c>
    </row>
    <row r="870" spans="1:26">
      <c r="A870" s="13" t="s">
        <v>961</v>
      </c>
      <c r="B870" s="14">
        <v>45896</v>
      </c>
      <c r="C870" s="13" t="s">
        <v>55</v>
      </c>
      <c r="D870" s="13" t="s">
        <v>60</v>
      </c>
      <c r="E870" s="13" t="s">
        <v>127</v>
      </c>
      <c r="F870" s="13" t="s">
        <v>50</v>
      </c>
      <c r="G870" s="13" t="s">
        <v>51</v>
      </c>
      <c r="H870" s="13" t="s">
        <v>32</v>
      </c>
      <c r="I870" s="13" t="s">
        <v>52</v>
      </c>
      <c r="J870" s="13">
        <v>6</v>
      </c>
      <c r="K870" s="13">
        <v>485.01</v>
      </c>
      <c r="L870" s="13">
        <v>0</v>
      </c>
      <c r="M870" s="13">
        <v>2910.06</v>
      </c>
      <c r="N870" s="13">
        <v>1706.13</v>
      </c>
      <c r="O870" s="13">
        <v>1203.93</v>
      </c>
      <c r="P870" s="13">
        <v>4</v>
      </c>
      <c r="Q870" s="13" t="s">
        <v>47</v>
      </c>
      <c r="R870" s="13">
        <v>2025</v>
      </c>
      <c r="S870" s="15" t="str">
        <f t="shared" si="78"/>
        <v>High Profit</v>
      </c>
      <c r="T870" s="15" t="str">
        <f t="shared" si="79"/>
        <v>High Sales</v>
      </c>
      <c r="U870" s="15" t="str">
        <f t="shared" si="80"/>
        <v>Good</v>
      </c>
      <c r="V870" s="15" t="str">
        <f t="shared" si="81"/>
        <v>Normal Discount</v>
      </c>
      <c r="W870" s="15">
        <f>VLOOKUP(D870,Lookup_Table!$A:$C,2,FALSE)</f>
        <v>0.15</v>
      </c>
      <c r="X870" s="15">
        <f t="shared" si="82"/>
        <v>0.413713119317128</v>
      </c>
      <c r="Y870" s="15" t="str">
        <f>VLOOKUP(D870,Lookup_Table!A:C,3,0)</f>
        <v>Priya</v>
      </c>
      <c r="Z870" s="15" t="str">
        <f t="shared" si="83"/>
        <v>Achived</v>
      </c>
    </row>
    <row r="871" spans="1:26">
      <c r="A871" s="13" t="s">
        <v>962</v>
      </c>
      <c r="B871" s="14">
        <v>45937</v>
      </c>
      <c r="C871" s="13" t="s">
        <v>27</v>
      </c>
      <c r="D871" s="13" t="s">
        <v>37</v>
      </c>
      <c r="E871" s="13" t="s">
        <v>93</v>
      </c>
      <c r="F871" s="13" t="s">
        <v>98</v>
      </c>
      <c r="G871" s="13" t="s">
        <v>99</v>
      </c>
      <c r="H871" s="13" t="s">
        <v>77</v>
      </c>
      <c r="I871" s="13" t="s">
        <v>46</v>
      </c>
      <c r="J871" s="13">
        <v>2</v>
      </c>
      <c r="K871" s="13">
        <v>477.73</v>
      </c>
      <c r="L871" s="13">
        <v>0</v>
      </c>
      <c r="M871" s="13">
        <v>955.46</v>
      </c>
      <c r="N871" s="13">
        <v>559.95</v>
      </c>
      <c r="O871" s="13">
        <v>395.51</v>
      </c>
      <c r="P871" s="13">
        <v>3.1</v>
      </c>
      <c r="Q871" s="13" t="s">
        <v>87</v>
      </c>
      <c r="R871" s="13">
        <v>2025</v>
      </c>
      <c r="S871" s="15" t="str">
        <f t="shared" si="78"/>
        <v>Low Profit</v>
      </c>
      <c r="T871" s="15" t="str">
        <f t="shared" si="79"/>
        <v>Low Sales</v>
      </c>
      <c r="U871" s="15" t="str">
        <f t="shared" si="80"/>
        <v>Needs Improvement</v>
      </c>
      <c r="V871" s="15" t="str">
        <f t="shared" si="81"/>
        <v>Normal Discount</v>
      </c>
      <c r="W871" s="15">
        <f>VLOOKUP(D871,Lookup_Table!$A:$C,2,FALSE)</f>
        <v>0.16</v>
      </c>
      <c r="X871" s="15">
        <f t="shared" si="82"/>
        <v>0.413947208674356</v>
      </c>
      <c r="Y871" s="15" t="str">
        <f>VLOOKUP(D871,Lookup_Table!A:C,3,0)</f>
        <v>Vikram</v>
      </c>
      <c r="Z871" s="15" t="str">
        <f t="shared" si="83"/>
        <v>Achived</v>
      </c>
    </row>
    <row r="872" spans="1:26">
      <c r="A872" s="13" t="s">
        <v>963</v>
      </c>
      <c r="B872" s="14">
        <v>45821</v>
      </c>
      <c r="C872" s="13" t="s">
        <v>55</v>
      </c>
      <c r="D872" s="13" t="s">
        <v>60</v>
      </c>
      <c r="E872" s="13" t="s">
        <v>66</v>
      </c>
      <c r="F872" s="13" t="s">
        <v>111</v>
      </c>
      <c r="G872" s="13" t="s">
        <v>76</v>
      </c>
      <c r="H872" s="13" t="s">
        <v>77</v>
      </c>
      <c r="I872" s="13" t="s">
        <v>46</v>
      </c>
      <c r="J872" s="13">
        <v>6</v>
      </c>
      <c r="K872" s="13">
        <v>261.47</v>
      </c>
      <c r="L872" s="13">
        <v>0.1</v>
      </c>
      <c r="M872" s="13">
        <v>1411.94</v>
      </c>
      <c r="N872" s="13">
        <v>827.3</v>
      </c>
      <c r="O872" s="13">
        <v>584.64</v>
      </c>
      <c r="P872" s="13">
        <v>2.6</v>
      </c>
      <c r="Q872" s="13" t="s">
        <v>58</v>
      </c>
      <c r="R872" s="13">
        <v>2025</v>
      </c>
      <c r="S872" s="15" t="str">
        <f t="shared" si="78"/>
        <v>High Profit</v>
      </c>
      <c r="T872" s="15" t="str">
        <f t="shared" si="79"/>
        <v>High Sales</v>
      </c>
      <c r="U872" s="15" t="str">
        <f t="shared" si="80"/>
        <v>Needs Improvement</v>
      </c>
      <c r="V872" s="15" t="str">
        <f t="shared" si="81"/>
        <v>Normal Discount</v>
      </c>
      <c r="W872" s="15">
        <f>VLOOKUP(D872,Lookup_Table!$A:$C,2,FALSE)</f>
        <v>0.15</v>
      </c>
      <c r="X872" s="15">
        <f t="shared" si="82"/>
        <v>0.414068586483845</v>
      </c>
      <c r="Y872" s="15" t="str">
        <f>VLOOKUP(D872,Lookup_Table!A:C,3,0)</f>
        <v>Priya</v>
      </c>
      <c r="Z872" s="15" t="str">
        <f t="shared" si="83"/>
        <v>Achived</v>
      </c>
    </row>
    <row r="873" spans="1:26">
      <c r="A873" s="13" t="s">
        <v>964</v>
      </c>
      <c r="B873" s="14">
        <v>45953</v>
      </c>
      <c r="C873" s="13" t="s">
        <v>27</v>
      </c>
      <c r="D873" s="13" t="s">
        <v>44</v>
      </c>
      <c r="E873" s="13" t="s">
        <v>104</v>
      </c>
      <c r="F873" s="13" t="s">
        <v>116</v>
      </c>
      <c r="G873" s="13" t="s">
        <v>117</v>
      </c>
      <c r="H873" s="13" t="s">
        <v>32</v>
      </c>
      <c r="I873" s="13" t="s">
        <v>96</v>
      </c>
      <c r="J873" s="13">
        <v>6</v>
      </c>
      <c r="K873" s="13">
        <v>1123.74</v>
      </c>
      <c r="L873" s="13">
        <v>0.1</v>
      </c>
      <c r="M873" s="13">
        <v>6068.2</v>
      </c>
      <c r="N873" s="13">
        <v>3555.5</v>
      </c>
      <c r="O873" s="13">
        <v>2512.7</v>
      </c>
      <c r="P873" s="13">
        <v>3.5</v>
      </c>
      <c r="Q873" s="13" t="s">
        <v>87</v>
      </c>
      <c r="R873" s="13">
        <v>2025</v>
      </c>
      <c r="S873" s="15" t="str">
        <f t="shared" si="78"/>
        <v>High Profit</v>
      </c>
      <c r="T873" s="15" t="str">
        <f t="shared" si="79"/>
        <v>High Sales</v>
      </c>
      <c r="U873" s="15" t="str">
        <f t="shared" si="80"/>
        <v>Needs Improvement</v>
      </c>
      <c r="V873" s="15" t="str">
        <f t="shared" si="81"/>
        <v>Normal Discount</v>
      </c>
      <c r="W873" s="15">
        <f>VLOOKUP(D873,Lookup_Table!$A:$C,2,FALSE)</f>
        <v>0.18</v>
      </c>
      <c r="X873" s="15">
        <f t="shared" si="82"/>
        <v>0.414076661942586</v>
      </c>
      <c r="Y873" s="15" t="str">
        <f>VLOOKUP(D873,Lookup_Table!A:C,3,0)</f>
        <v>Amit</v>
      </c>
      <c r="Z873" s="15" t="str">
        <f t="shared" si="83"/>
        <v>Achived</v>
      </c>
    </row>
    <row r="874" spans="1:26">
      <c r="A874" s="13" t="s">
        <v>965</v>
      </c>
      <c r="B874" s="14">
        <v>45938</v>
      </c>
      <c r="C874" s="13" t="s">
        <v>36</v>
      </c>
      <c r="D874" s="13" t="s">
        <v>37</v>
      </c>
      <c r="E874" s="13" t="s">
        <v>86</v>
      </c>
      <c r="F874" s="13" t="s">
        <v>30</v>
      </c>
      <c r="G874" s="13" t="s">
        <v>31</v>
      </c>
      <c r="H874" s="13" t="s">
        <v>32</v>
      </c>
      <c r="I874" s="13" t="s">
        <v>52</v>
      </c>
      <c r="J874" s="13">
        <v>1</v>
      </c>
      <c r="K874" s="13">
        <v>250.67</v>
      </c>
      <c r="L874" s="13">
        <v>0.15</v>
      </c>
      <c r="M874" s="13">
        <v>213.07</v>
      </c>
      <c r="N874" s="13">
        <v>124.81</v>
      </c>
      <c r="O874" s="13">
        <v>88.26</v>
      </c>
      <c r="P874" s="13">
        <v>2.5</v>
      </c>
      <c r="Q874" s="13" t="s">
        <v>87</v>
      </c>
      <c r="R874" s="13">
        <v>2025</v>
      </c>
      <c r="S874" s="15" t="str">
        <f t="shared" si="78"/>
        <v>Low Profit</v>
      </c>
      <c r="T874" s="15" t="str">
        <f t="shared" si="79"/>
        <v>Low Sales</v>
      </c>
      <c r="U874" s="15" t="str">
        <f t="shared" si="80"/>
        <v>Needs Improvement</v>
      </c>
      <c r="V874" s="15" t="str">
        <f t="shared" si="81"/>
        <v>High Discount</v>
      </c>
      <c r="W874" s="15">
        <f>VLOOKUP(D874,Lookup_Table!$A:$C,2,FALSE)</f>
        <v>0.16</v>
      </c>
      <c r="X874" s="15">
        <f t="shared" si="82"/>
        <v>0.414230065236777</v>
      </c>
      <c r="Y874" s="15" t="str">
        <f>VLOOKUP(D874,Lookup_Table!A:C,3,0)</f>
        <v>Vikram</v>
      </c>
      <c r="Z874" s="15" t="str">
        <f t="shared" si="83"/>
        <v>Achived</v>
      </c>
    </row>
    <row r="875" spans="1:26">
      <c r="A875" s="13" t="s">
        <v>966</v>
      </c>
      <c r="B875" s="14">
        <v>45789</v>
      </c>
      <c r="C875" s="13" t="s">
        <v>27</v>
      </c>
      <c r="D875" s="13" t="s">
        <v>37</v>
      </c>
      <c r="E875" s="13" t="s">
        <v>109</v>
      </c>
      <c r="F875" s="13" t="s">
        <v>50</v>
      </c>
      <c r="G875" s="13" t="s">
        <v>51</v>
      </c>
      <c r="H875" s="13" t="s">
        <v>32</v>
      </c>
      <c r="I875" s="13" t="s">
        <v>96</v>
      </c>
      <c r="J875" s="13">
        <v>7</v>
      </c>
      <c r="K875" s="13">
        <v>48.83</v>
      </c>
      <c r="L875" s="13">
        <v>0.1</v>
      </c>
      <c r="M875" s="13">
        <v>307.63</v>
      </c>
      <c r="N875" s="13">
        <v>180.13</v>
      </c>
      <c r="O875" s="13">
        <v>127.5</v>
      </c>
      <c r="P875" s="13">
        <v>3.6</v>
      </c>
      <c r="Q875" s="13" t="s">
        <v>42</v>
      </c>
      <c r="R875" s="13">
        <v>2025</v>
      </c>
      <c r="S875" s="15" t="str">
        <f t="shared" si="78"/>
        <v>Low Profit</v>
      </c>
      <c r="T875" s="15" t="str">
        <f t="shared" si="79"/>
        <v>Low Sales</v>
      </c>
      <c r="U875" s="15" t="str">
        <f t="shared" si="80"/>
        <v>Needs Improvement</v>
      </c>
      <c r="V875" s="15" t="str">
        <f t="shared" si="81"/>
        <v>Normal Discount</v>
      </c>
      <c r="W875" s="15">
        <f>VLOOKUP(D875,Lookup_Table!$A:$C,2,FALSE)</f>
        <v>0.16</v>
      </c>
      <c r="X875" s="15">
        <f t="shared" si="82"/>
        <v>0.414458927932906</v>
      </c>
      <c r="Y875" s="15" t="str">
        <f>VLOOKUP(D875,Lookup_Table!A:C,3,0)</f>
        <v>Vikram</v>
      </c>
      <c r="Z875" s="15" t="str">
        <f t="shared" si="83"/>
        <v>Achived</v>
      </c>
    </row>
    <row r="876" spans="1:26">
      <c r="A876" s="13" t="s">
        <v>967</v>
      </c>
      <c r="B876" s="14">
        <v>45693</v>
      </c>
      <c r="C876" s="13" t="s">
        <v>55</v>
      </c>
      <c r="D876" s="13" t="s">
        <v>60</v>
      </c>
      <c r="E876" s="13" t="s">
        <v>61</v>
      </c>
      <c r="F876" s="13" t="s">
        <v>116</v>
      </c>
      <c r="G876" s="13" t="s">
        <v>117</v>
      </c>
      <c r="H876" s="13" t="s">
        <v>32</v>
      </c>
      <c r="I876" s="13" t="s">
        <v>46</v>
      </c>
      <c r="J876" s="13">
        <v>4</v>
      </c>
      <c r="K876" s="13">
        <v>560.5</v>
      </c>
      <c r="L876" s="13">
        <v>0.1</v>
      </c>
      <c r="M876" s="13">
        <v>2017.8</v>
      </c>
      <c r="N876" s="13">
        <v>1180.95</v>
      </c>
      <c r="O876" s="13">
        <v>836.85</v>
      </c>
      <c r="P876" s="13">
        <v>4.4</v>
      </c>
      <c r="Q876" s="13" t="s">
        <v>105</v>
      </c>
      <c r="R876" s="13">
        <v>2025</v>
      </c>
      <c r="S876" s="15" t="str">
        <f t="shared" si="78"/>
        <v>High Profit</v>
      </c>
      <c r="T876" s="15" t="str">
        <f t="shared" si="79"/>
        <v>High Sales</v>
      </c>
      <c r="U876" s="15" t="str">
        <f t="shared" si="80"/>
        <v>Good</v>
      </c>
      <c r="V876" s="15" t="str">
        <f t="shared" si="81"/>
        <v>Normal Discount</v>
      </c>
      <c r="W876" s="15">
        <f>VLOOKUP(D876,Lookup_Table!$A:$C,2,FALSE)</f>
        <v>0.15</v>
      </c>
      <c r="X876" s="15">
        <f t="shared" si="82"/>
        <v>0.414733868569729</v>
      </c>
      <c r="Y876" s="15" t="str">
        <f>VLOOKUP(D876,Lookup_Table!A:C,3,0)</f>
        <v>Priya</v>
      </c>
      <c r="Z876" s="15" t="str">
        <f t="shared" si="83"/>
        <v>Achived</v>
      </c>
    </row>
    <row r="877" spans="1:26">
      <c r="A877" s="13" t="s">
        <v>968</v>
      </c>
      <c r="B877" s="14">
        <v>45896</v>
      </c>
      <c r="C877" s="13" t="s">
        <v>36</v>
      </c>
      <c r="D877" s="13" t="s">
        <v>37</v>
      </c>
      <c r="E877" s="13" t="s">
        <v>38</v>
      </c>
      <c r="F877" s="13" t="s">
        <v>67</v>
      </c>
      <c r="G877" s="13" t="s">
        <v>68</v>
      </c>
      <c r="H877" s="13" t="s">
        <v>69</v>
      </c>
      <c r="I877" s="13" t="s">
        <v>52</v>
      </c>
      <c r="J877" s="13">
        <v>5</v>
      </c>
      <c r="K877" s="13">
        <v>37.04</v>
      </c>
      <c r="L877" s="13">
        <v>0.1</v>
      </c>
      <c r="M877" s="13">
        <v>166.68</v>
      </c>
      <c r="N877" s="13">
        <v>97.49</v>
      </c>
      <c r="O877" s="13">
        <v>69.19</v>
      </c>
      <c r="P877" s="13">
        <v>4.5</v>
      </c>
      <c r="Q877" s="13" t="s">
        <v>47</v>
      </c>
      <c r="R877" s="13">
        <v>2025</v>
      </c>
      <c r="S877" s="15" t="str">
        <f t="shared" si="78"/>
        <v>Low Profit</v>
      </c>
      <c r="T877" s="15" t="str">
        <f t="shared" si="79"/>
        <v>Low Sales</v>
      </c>
      <c r="U877" s="15" t="str">
        <f t="shared" si="80"/>
        <v>Good</v>
      </c>
      <c r="V877" s="15" t="str">
        <f t="shared" si="81"/>
        <v>Normal Discount</v>
      </c>
      <c r="W877" s="15">
        <f>VLOOKUP(D877,Lookup_Table!$A:$C,2,FALSE)</f>
        <v>0.16</v>
      </c>
      <c r="X877" s="15">
        <f t="shared" si="82"/>
        <v>0.415106791456683</v>
      </c>
      <c r="Y877" s="15" t="str">
        <f>VLOOKUP(D877,Lookup_Table!A:C,3,0)</f>
        <v>Vikram</v>
      </c>
      <c r="Z877" s="15" t="str">
        <f t="shared" si="83"/>
        <v>Achived</v>
      </c>
    </row>
    <row r="878" spans="1:26">
      <c r="A878" s="13" t="s">
        <v>969</v>
      </c>
      <c r="B878" s="14">
        <v>45935</v>
      </c>
      <c r="C878" s="13" t="s">
        <v>55</v>
      </c>
      <c r="D878" s="13" t="s">
        <v>80</v>
      </c>
      <c r="E878" s="13" t="s">
        <v>115</v>
      </c>
      <c r="F878" s="13" t="s">
        <v>50</v>
      </c>
      <c r="G878" s="13" t="s">
        <v>51</v>
      </c>
      <c r="H878" s="13" t="s">
        <v>32</v>
      </c>
      <c r="I878" s="13" t="s">
        <v>33</v>
      </c>
      <c r="J878" s="13">
        <v>5</v>
      </c>
      <c r="K878" s="13">
        <v>73.24</v>
      </c>
      <c r="L878" s="13">
        <v>0.05</v>
      </c>
      <c r="M878" s="13">
        <v>347.89</v>
      </c>
      <c r="N878" s="13">
        <v>203.37</v>
      </c>
      <c r="O878" s="13">
        <v>144.52</v>
      </c>
      <c r="P878" s="13">
        <v>4.2</v>
      </c>
      <c r="Q878" s="13" t="s">
        <v>87</v>
      </c>
      <c r="R878" s="13">
        <v>2025</v>
      </c>
      <c r="S878" s="15" t="str">
        <f t="shared" si="78"/>
        <v>Low Profit</v>
      </c>
      <c r="T878" s="15" t="str">
        <f t="shared" si="79"/>
        <v>Low Sales</v>
      </c>
      <c r="U878" s="15" t="str">
        <f t="shared" si="80"/>
        <v>Good</v>
      </c>
      <c r="V878" s="15" t="str">
        <f t="shared" si="81"/>
        <v>Normal Discount</v>
      </c>
      <c r="W878" s="15">
        <f>VLOOKUP(D878,Lookup_Table!$A:$C,2,FALSE)</f>
        <v>0.12</v>
      </c>
      <c r="X878" s="15">
        <f t="shared" si="82"/>
        <v>0.415418666819972</v>
      </c>
      <c r="Y878" s="15" t="str">
        <f>VLOOKUP(D878,Lookup_Table!A:C,3,0)</f>
        <v>Rahul</v>
      </c>
      <c r="Z878" s="15" t="str">
        <f t="shared" si="83"/>
        <v>Achived</v>
      </c>
    </row>
    <row r="879" spans="1:26">
      <c r="A879" s="13" t="s">
        <v>970</v>
      </c>
      <c r="B879" s="14">
        <v>45883</v>
      </c>
      <c r="C879" s="13" t="s">
        <v>55</v>
      </c>
      <c r="D879" s="13" t="s">
        <v>80</v>
      </c>
      <c r="E879" s="13" t="s">
        <v>115</v>
      </c>
      <c r="F879" s="13" t="s">
        <v>111</v>
      </c>
      <c r="G879" s="13" t="s">
        <v>76</v>
      </c>
      <c r="H879" s="13" t="s">
        <v>77</v>
      </c>
      <c r="I879" s="13" t="s">
        <v>46</v>
      </c>
      <c r="J879" s="13">
        <v>7</v>
      </c>
      <c r="K879" s="13">
        <v>40.51</v>
      </c>
      <c r="L879" s="13">
        <v>0</v>
      </c>
      <c r="M879" s="13">
        <v>283.57</v>
      </c>
      <c r="N879" s="13">
        <v>165.61</v>
      </c>
      <c r="O879" s="13">
        <v>117.96</v>
      </c>
      <c r="P879" s="13">
        <v>4.1</v>
      </c>
      <c r="Q879" s="13" t="s">
        <v>47</v>
      </c>
      <c r="R879" s="13">
        <v>2025</v>
      </c>
      <c r="S879" s="15" t="str">
        <f t="shared" si="78"/>
        <v>Low Profit</v>
      </c>
      <c r="T879" s="15" t="str">
        <f t="shared" si="79"/>
        <v>Low Sales</v>
      </c>
      <c r="U879" s="15" t="str">
        <f t="shared" si="80"/>
        <v>Good</v>
      </c>
      <c r="V879" s="15" t="str">
        <f t="shared" si="81"/>
        <v>Normal Discount</v>
      </c>
      <c r="W879" s="15">
        <f>VLOOKUP(D879,Lookup_Table!$A:$C,2,FALSE)</f>
        <v>0.12</v>
      </c>
      <c r="X879" s="15">
        <f t="shared" si="82"/>
        <v>0.415981944493423</v>
      </c>
      <c r="Y879" s="15" t="str">
        <f>VLOOKUP(D879,Lookup_Table!A:C,3,0)</f>
        <v>Rahul</v>
      </c>
      <c r="Z879" s="15" t="str">
        <f t="shared" si="83"/>
        <v>Achived</v>
      </c>
    </row>
    <row r="880" spans="1:26">
      <c r="A880" s="13" t="s">
        <v>971</v>
      </c>
      <c r="B880" s="14">
        <v>45676</v>
      </c>
      <c r="C880" s="13" t="s">
        <v>27</v>
      </c>
      <c r="D880" s="13" t="s">
        <v>60</v>
      </c>
      <c r="E880" s="13" t="s">
        <v>127</v>
      </c>
      <c r="F880" s="13" t="s">
        <v>39</v>
      </c>
      <c r="G880" s="13" t="s">
        <v>40</v>
      </c>
      <c r="H880" s="13" t="s">
        <v>41</v>
      </c>
      <c r="I880" s="13" t="s">
        <v>96</v>
      </c>
      <c r="J880" s="13">
        <v>3</v>
      </c>
      <c r="K880" s="13">
        <v>391.59</v>
      </c>
      <c r="L880" s="13">
        <v>0.15</v>
      </c>
      <c r="M880" s="13">
        <v>998.55</v>
      </c>
      <c r="N880" s="13">
        <v>583.01</v>
      </c>
      <c r="O880" s="13">
        <v>415.54</v>
      </c>
      <c r="P880" s="13">
        <v>4.2</v>
      </c>
      <c r="Q880" s="13" t="s">
        <v>64</v>
      </c>
      <c r="R880" s="13">
        <v>2025</v>
      </c>
      <c r="S880" s="15" t="str">
        <f t="shared" si="78"/>
        <v>Low Profit</v>
      </c>
      <c r="T880" s="15" t="str">
        <f t="shared" si="79"/>
        <v>Low Sales</v>
      </c>
      <c r="U880" s="15" t="str">
        <f t="shared" si="80"/>
        <v>Good</v>
      </c>
      <c r="V880" s="15" t="str">
        <f t="shared" si="81"/>
        <v>High Discount</v>
      </c>
      <c r="W880" s="15">
        <f>VLOOKUP(D880,Lookup_Table!$A:$C,2,FALSE)</f>
        <v>0.15</v>
      </c>
      <c r="X880" s="15">
        <f t="shared" si="82"/>
        <v>0.416143407941515</v>
      </c>
      <c r="Y880" s="15" t="str">
        <f>VLOOKUP(D880,Lookup_Table!A:C,3,0)</f>
        <v>Priya</v>
      </c>
      <c r="Z880" s="15" t="str">
        <f t="shared" si="83"/>
        <v>Achived</v>
      </c>
    </row>
    <row r="881" spans="1:26">
      <c r="A881" s="13" t="s">
        <v>972</v>
      </c>
      <c r="B881" s="14">
        <v>45898</v>
      </c>
      <c r="C881" s="13" t="s">
        <v>36</v>
      </c>
      <c r="D881" s="13" t="s">
        <v>80</v>
      </c>
      <c r="E881" s="13" t="s">
        <v>81</v>
      </c>
      <c r="F881" s="13" t="s">
        <v>75</v>
      </c>
      <c r="G881" s="13" t="s">
        <v>76</v>
      </c>
      <c r="H881" s="13" t="s">
        <v>77</v>
      </c>
      <c r="I881" s="13" t="s">
        <v>33</v>
      </c>
      <c r="J881" s="13">
        <v>1</v>
      </c>
      <c r="K881" s="13">
        <v>69.39</v>
      </c>
      <c r="L881" s="13">
        <v>0.1</v>
      </c>
      <c r="M881" s="13">
        <v>62.45</v>
      </c>
      <c r="N881" s="13">
        <v>36.46</v>
      </c>
      <c r="O881" s="13">
        <v>25.99</v>
      </c>
      <c r="P881" s="13">
        <v>3.4</v>
      </c>
      <c r="Q881" s="13" t="s">
        <v>47</v>
      </c>
      <c r="R881" s="13">
        <v>2025</v>
      </c>
      <c r="S881" s="15" t="str">
        <f t="shared" si="78"/>
        <v>Low Profit</v>
      </c>
      <c r="T881" s="15" t="str">
        <f t="shared" si="79"/>
        <v>Low Sales</v>
      </c>
      <c r="U881" s="15" t="str">
        <f t="shared" si="80"/>
        <v>Needs Improvement</v>
      </c>
      <c r="V881" s="15" t="str">
        <f t="shared" si="81"/>
        <v>Normal Discount</v>
      </c>
      <c r="W881" s="15">
        <f>VLOOKUP(D881,Lookup_Table!$A:$C,2,FALSE)</f>
        <v>0.12</v>
      </c>
      <c r="X881" s="15">
        <f t="shared" si="82"/>
        <v>0.41617293835068</v>
      </c>
      <c r="Y881" s="15" t="str">
        <f>VLOOKUP(D881,Lookup_Table!A:C,3,0)</f>
        <v>Rahul</v>
      </c>
      <c r="Z881" s="15" t="str">
        <f t="shared" si="83"/>
        <v>Achived</v>
      </c>
    </row>
    <row r="882" spans="1:26">
      <c r="A882" s="13" t="s">
        <v>973</v>
      </c>
      <c r="B882" s="14">
        <v>45896</v>
      </c>
      <c r="C882" s="13" t="s">
        <v>55</v>
      </c>
      <c r="D882" s="13" t="s">
        <v>60</v>
      </c>
      <c r="E882" s="13" t="s">
        <v>127</v>
      </c>
      <c r="F882" s="13" t="s">
        <v>82</v>
      </c>
      <c r="G882" s="13" t="s">
        <v>83</v>
      </c>
      <c r="H882" s="13" t="s">
        <v>77</v>
      </c>
      <c r="I882" s="13" t="s">
        <v>46</v>
      </c>
      <c r="J882" s="13">
        <v>7</v>
      </c>
      <c r="K882" s="13">
        <v>139.59</v>
      </c>
      <c r="L882" s="13">
        <v>0.2</v>
      </c>
      <c r="M882" s="13">
        <v>781.7</v>
      </c>
      <c r="N882" s="13">
        <v>455.74</v>
      </c>
      <c r="O882" s="13">
        <v>325.96</v>
      </c>
      <c r="P882" s="13">
        <v>2.8</v>
      </c>
      <c r="Q882" s="13" t="s">
        <v>47</v>
      </c>
      <c r="R882" s="13">
        <v>2025</v>
      </c>
      <c r="S882" s="15" t="str">
        <f t="shared" si="78"/>
        <v>Low Profit</v>
      </c>
      <c r="T882" s="15" t="str">
        <f t="shared" si="79"/>
        <v>Low Sales</v>
      </c>
      <c r="U882" s="15" t="str">
        <f t="shared" si="80"/>
        <v>Needs Improvement</v>
      </c>
      <c r="V882" s="15" t="str">
        <f t="shared" si="81"/>
        <v>High Discount</v>
      </c>
      <c r="W882" s="15">
        <f>VLOOKUP(D882,Lookup_Table!$A:$C,2,FALSE)</f>
        <v>0.15</v>
      </c>
      <c r="X882" s="15">
        <f t="shared" si="82"/>
        <v>0.416988614558015</v>
      </c>
      <c r="Y882" s="15" t="str">
        <f>VLOOKUP(D882,Lookup_Table!A:C,3,0)</f>
        <v>Priya</v>
      </c>
      <c r="Z882" s="15" t="str">
        <f t="shared" si="83"/>
        <v>Achived</v>
      </c>
    </row>
    <row r="883" spans="1:26">
      <c r="A883" s="13" t="s">
        <v>974</v>
      </c>
      <c r="B883" s="14">
        <v>45673</v>
      </c>
      <c r="C883" s="13" t="s">
        <v>27</v>
      </c>
      <c r="D883" s="13" t="s">
        <v>37</v>
      </c>
      <c r="E883" s="13" t="s">
        <v>109</v>
      </c>
      <c r="F883" s="13" t="s">
        <v>39</v>
      </c>
      <c r="G883" s="13" t="s">
        <v>40</v>
      </c>
      <c r="H883" s="13" t="s">
        <v>41</v>
      </c>
      <c r="I883" s="13" t="s">
        <v>33</v>
      </c>
      <c r="J883" s="13">
        <v>2</v>
      </c>
      <c r="K883" s="13">
        <v>461.62</v>
      </c>
      <c r="L883" s="13">
        <v>0.1</v>
      </c>
      <c r="M883" s="13">
        <v>830.92</v>
      </c>
      <c r="N883" s="13">
        <v>484.27</v>
      </c>
      <c r="O883" s="13">
        <v>346.65</v>
      </c>
      <c r="P883" s="13">
        <v>4.5</v>
      </c>
      <c r="Q883" s="13" t="s">
        <v>64</v>
      </c>
      <c r="R883" s="13">
        <v>2025</v>
      </c>
      <c r="S883" s="15" t="str">
        <f t="shared" si="78"/>
        <v>Low Profit</v>
      </c>
      <c r="T883" s="15" t="str">
        <f t="shared" si="79"/>
        <v>Low Sales</v>
      </c>
      <c r="U883" s="15" t="str">
        <f t="shared" si="80"/>
        <v>Good</v>
      </c>
      <c r="V883" s="15" t="str">
        <f t="shared" si="81"/>
        <v>Normal Discount</v>
      </c>
      <c r="W883" s="15">
        <f>VLOOKUP(D883,Lookup_Table!$A:$C,2,FALSE)</f>
        <v>0.16</v>
      </c>
      <c r="X883" s="15">
        <f t="shared" si="82"/>
        <v>0.417188176960478</v>
      </c>
      <c r="Y883" s="15" t="str">
        <f>VLOOKUP(D883,Lookup_Table!A:C,3,0)</f>
        <v>Vikram</v>
      </c>
      <c r="Z883" s="15" t="str">
        <f t="shared" si="83"/>
        <v>Achived</v>
      </c>
    </row>
    <row r="884" spans="1:26">
      <c r="A884" s="13" t="s">
        <v>975</v>
      </c>
      <c r="B884" s="14">
        <v>45994</v>
      </c>
      <c r="C884" s="13" t="s">
        <v>36</v>
      </c>
      <c r="D884" s="13" t="s">
        <v>44</v>
      </c>
      <c r="E884" s="13" t="s">
        <v>137</v>
      </c>
      <c r="F884" s="13" t="s">
        <v>82</v>
      </c>
      <c r="G884" s="13" t="s">
        <v>83</v>
      </c>
      <c r="H884" s="13" t="s">
        <v>77</v>
      </c>
      <c r="I884" s="13" t="s">
        <v>52</v>
      </c>
      <c r="J884" s="13">
        <v>4</v>
      </c>
      <c r="K884" s="13">
        <v>1098.51</v>
      </c>
      <c r="L884" s="13">
        <v>0.15</v>
      </c>
      <c r="M884" s="13">
        <v>3734.93</v>
      </c>
      <c r="N884" s="13">
        <v>2174.09</v>
      </c>
      <c r="O884" s="13">
        <v>1560.84</v>
      </c>
      <c r="P884" s="13">
        <v>4.6</v>
      </c>
      <c r="Q884" s="13" t="s">
        <v>34</v>
      </c>
      <c r="R884" s="13">
        <v>2025</v>
      </c>
      <c r="S884" s="15" t="str">
        <f t="shared" si="78"/>
        <v>High Profit</v>
      </c>
      <c r="T884" s="15" t="str">
        <f t="shared" si="79"/>
        <v>High Sales</v>
      </c>
      <c r="U884" s="15" t="str">
        <f t="shared" si="80"/>
        <v>Good</v>
      </c>
      <c r="V884" s="15" t="str">
        <f t="shared" si="81"/>
        <v>High Discount</v>
      </c>
      <c r="W884" s="15">
        <f>VLOOKUP(D884,Lookup_Table!$A:$C,2,FALSE)</f>
        <v>0.18</v>
      </c>
      <c r="X884" s="15">
        <f t="shared" si="82"/>
        <v>0.417903414521825</v>
      </c>
      <c r="Y884" s="15" t="str">
        <f>VLOOKUP(D884,Lookup_Table!A:C,3,0)</f>
        <v>Amit</v>
      </c>
      <c r="Z884" s="15" t="str">
        <f t="shared" si="83"/>
        <v>Achived</v>
      </c>
    </row>
    <row r="885" spans="1:26">
      <c r="A885" s="13" t="s">
        <v>976</v>
      </c>
      <c r="B885" s="14">
        <v>45803</v>
      </c>
      <c r="C885" s="13" t="s">
        <v>55</v>
      </c>
      <c r="D885" s="13" t="s">
        <v>80</v>
      </c>
      <c r="E885" s="13" t="s">
        <v>101</v>
      </c>
      <c r="F885" s="13" t="s">
        <v>39</v>
      </c>
      <c r="G885" s="13" t="s">
        <v>40</v>
      </c>
      <c r="H885" s="13" t="s">
        <v>41</v>
      </c>
      <c r="I885" s="13" t="s">
        <v>96</v>
      </c>
      <c r="J885" s="13">
        <v>2</v>
      </c>
      <c r="K885" s="13">
        <v>10.07</v>
      </c>
      <c r="L885" s="13">
        <v>0.2</v>
      </c>
      <c r="M885" s="13">
        <v>16.11</v>
      </c>
      <c r="N885" s="13">
        <v>9.37</v>
      </c>
      <c r="O885" s="13">
        <v>6.74</v>
      </c>
      <c r="P885" s="13">
        <v>2.7</v>
      </c>
      <c r="Q885" s="13" t="s">
        <v>42</v>
      </c>
      <c r="R885" s="13">
        <v>2025</v>
      </c>
      <c r="S885" s="15" t="str">
        <f t="shared" si="78"/>
        <v>Low Profit</v>
      </c>
      <c r="T885" s="15" t="str">
        <f t="shared" si="79"/>
        <v>Low Sales</v>
      </c>
      <c r="U885" s="15" t="str">
        <f t="shared" si="80"/>
        <v>Needs Improvement</v>
      </c>
      <c r="V885" s="15" t="str">
        <f t="shared" si="81"/>
        <v>High Discount</v>
      </c>
      <c r="W885" s="15">
        <f>VLOOKUP(D885,Lookup_Table!$A:$C,2,FALSE)</f>
        <v>0.12</v>
      </c>
      <c r="X885" s="15">
        <f t="shared" si="82"/>
        <v>0.418373680943513</v>
      </c>
      <c r="Y885" s="15" t="str">
        <f>VLOOKUP(D885,Lookup_Table!A:C,3,0)</f>
        <v>Rahul</v>
      </c>
      <c r="Z885" s="15" t="str">
        <f t="shared" si="83"/>
        <v>Achived</v>
      </c>
    </row>
    <row r="886" spans="1:26">
      <c r="A886" s="13" t="s">
        <v>977</v>
      </c>
      <c r="B886" s="14">
        <v>46007</v>
      </c>
      <c r="C886" s="13" t="s">
        <v>27</v>
      </c>
      <c r="D886" s="13" t="s">
        <v>28</v>
      </c>
      <c r="E886" s="13" t="s">
        <v>49</v>
      </c>
      <c r="F886" s="13" t="s">
        <v>75</v>
      </c>
      <c r="G886" s="13" t="s">
        <v>76</v>
      </c>
      <c r="H886" s="13" t="s">
        <v>77</v>
      </c>
      <c r="I886" s="13" t="s">
        <v>52</v>
      </c>
      <c r="J886" s="13">
        <v>6</v>
      </c>
      <c r="K886" s="13">
        <v>179.8</v>
      </c>
      <c r="L886" s="13">
        <v>0.15</v>
      </c>
      <c r="M886" s="13">
        <v>916.98</v>
      </c>
      <c r="N886" s="13">
        <v>533.13</v>
      </c>
      <c r="O886" s="13">
        <v>383.85</v>
      </c>
      <c r="P886" s="13">
        <v>4.5</v>
      </c>
      <c r="Q886" s="13" t="s">
        <v>34</v>
      </c>
      <c r="R886" s="13">
        <v>2025</v>
      </c>
      <c r="S886" s="15" t="str">
        <f t="shared" si="78"/>
        <v>Low Profit</v>
      </c>
      <c r="T886" s="15" t="str">
        <f t="shared" si="79"/>
        <v>Low Sales</v>
      </c>
      <c r="U886" s="15" t="str">
        <f t="shared" si="80"/>
        <v>Good</v>
      </c>
      <c r="V886" s="15" t="str">
        <f t="shared" si="81"/>
        <v>High Discount</v>
      </c>
      <c r="W886" s="15">
        <f>VLOOKUP(D886,Lookup_Table!$A:$C,2,FALSE)</f>
        <v>0.2</v>
      </c>
      <c r="X886" s="15">
        <f t="shared" si="82"/>
        <v>0.4186023686449</v>
      </c>
      <c r="Y886" s="15" t="str">
        <f>VLOOKUP(D886,Lookup_Table!A:C,3,0)</f>
        <v>Sneha</v>
      </c>
      <c r="Z886" s="15" t="str">
        <f t="shared" si="83"/>
        <v>Achived</v>
      </c>
    </row>
    <row r="887" spans="1:26">
      <c r="A887" s="13" t="s">
        <v>978</v>
      </c>
      <c r="B887" s="14">
        <v>45687</v>
      </c>
      <c r="C887" s="13" t="s">
        <v>55</v>
      </c>
      <c r="D887" s="13" t="s">
        <v>60</v>
      </c>
      <c r="E887" s="13" t="s">
        <v>150</v>
      </c>
      <c r="F887" s="13" t="s">
        <v>30</v>
      </c>
      <c r="G887" s="13" t="s">
        <v>31</v>
      </c>
      <c r="H887" s="13" t="s">
        <v>32</v>
      </c>
      <c r="I887" s="13" t="s">
        <v>96</v>
      </c>
      <c r="J887" s="13">
        <v>4</v>
      </c>
      <c r="K887" s="13">
        <v>538.8</v>
      </c>
      <c r="L887" s="13">
        <v>0.1</v>
      </c>
      <c r="M887" s="13">
        <v>1939.68</v>
      </c>
      <c r="N887" s="13">
        <v>1127.32</v>
      </c>
      <c r="O887" s="13">
        <v>812.36</v>
      </c>
      <c r="P887" s="13">
        <v>4.6</v>
      </c>
      <c r="Q887" s="13" t="s">
        <v>64</v>
      </c>
      <c r="R887" s="13">
        <v>2025</v>
      </c>
      <c r="S887" s="15" t="str">
        <f t="shared" si="78"/>
        <v>High Profit</v>
      </c>
      <c r="T887" s="15" t="str">
        <f t="shared" si="79"/>
        <v>High Sales</v>
      </c>
      <c r="U887" s="15" t="str">
        <f t="shared" si="80"/>
        <v>Good</v>
      </c>
      <c r="V887" s="15" t="str">
        <f t="shared" si="81"/>
        <v>Normal Discount</v>
      </c>
      <c r="W887" s="15">
        <f>VLOOKUP(D887,Lookup_Table!$A:$C,2,FALSE)</f>
        <v>0.15</v>
      </c>
      <c r="X887" s="15">
        <f t="shared" si="82"/>
        <v>0.418811350325827</v>
      </c>
      <c r="Y887" s="15" t="str">
        <f>VLOOKUP(D887,Lookup_Table!A:C,3,0)</f>
        <v>Priya</v>
      </c>
      <c r="Z887" s="15" t="str">
        <f t="shared" si="83"/>
        <v>Achived</v>
      </c>
    </row>
    <row r="888" spans="1:26">
      <c r="A888" s="13" t="s">
        <v>979</v>
      </c>
      <c r="B888" s="14">
        <v>45965</v>
      </c>
      <c r="C888" s="13" t="s">
        <v>36</v>
      </c>
      <c r="D888" s="13" t="s">
        <v>80</v>
      </c>
      <c r="E888" s="13" t="s">
        <v>115</v>
      </c>
      <c r="F888" s="13" t="s">
        <v>111</v>
      </c>
      <c r="G888" s="13" t="s">
        <v>76</v>
      </c>
      <c r="H888" s="13" t="s">
        <v>77</v>
      </c>
      <c r="I888" s="13" t="s">
        <v>46</v>
      </c>
      <c r="J888" s="13">
        <v>6</v>
      </c>
      <c r="K888" s="13">
        <v>77.5</v>
      </c>
      <c r="L888" s="13">
        <v>0</v>
      </c>
      <c r="M888" s="13">
        <v>465</v>
      </c>
      <c r="N888" s="13">
        <v>270.17</v>
      </c>
      <c r="O888" s="13">
        <v>194.83</v>
      </c>
      <c r="P888" s="13">
        <v>4.6</v>
      </c>
      <c r="Q888" s="13" t="s">
        <v>71</v>
      </c>
      <c r="R888" s="13">
        <v>2025</v>
      </c>
      <c r="S888" s="15" t="str">
        <f t="shared" si="78"/>
        <v>Low Profit</v>
      </c>
      <c r="T888" s="15" t="str">
        <f t="shared" si="79"/>
        <v>Low Sales</v>
      </c>
      <c r="U888" s="15" t="str">
        <f t="shared" si="80"/>
        <v>Good</v>
      </c>
      <c r="V888" s="15" t="str">
        <f t="shared" si="81"/>
        <v>Normal Discount</v>
      </c>
      <c r="W888" s="15">
        <f>VLOOKUP(D888,Lookup_Table!$A:$C,2,FALSE)</f>
        <v>0.12</v>
      </c>
      <c r="X888" s="15">
        <f t="shared" si="82"/>
        <v>0.418989247311828</v>
      </c>
      <c r="Y888" s="15" t="str">
        <f>VLOOKUP(D888,Lookup_Table!A:C,3,0)</f>
        <v>Rahul</v>
      </c>
      <c r="Z888" s="15" t="str">
        <f t="shared" si="83"/>
        <v>Achived</v>
      </c>
    </row>
    <row r="889" spans="1:26">
      <c r="A889" s="13" t="s">
        <v>980</v>
      </c>
      <c r="B889" s="14">
        <v>45668</v>
      </c>
      <c r="C889" s="13" t="s">
        <v>55</v>
      </c>
      <c r="D889" s="13" t="s">
        <v>44</v>
      </c>
      <c r="E889" s="13" t="s">
        <v>45</v>
      </c>
      <c r="F889" s="13" t="s">
        <v>30</v>
      </c>
      <c r="G889" s="13" t="s">
        <v>31</v>
      </c>
      <c r="H889" s="13" t="s">
        <v>32</v>
      </c>
      <c r="I889" s="13" t="s">
        <v>52</v>
      </c>
      <c r="J889" s="13">
        <v>2</v>
      </c>
      <c r="K889" s="13">
        <v>697.03</v>
      </c>
      <c r="L889" s="13">
        <v>0.15</v>
      </c>
      <c r="M889" s="13">
        <v>1184.95</v>
      </c>
      <c r="N889" s="13">
        <v>688.32</v>
      </c>
      <c r="O889" s="13">
        <v>496.63</v>
      </c>
      <c r="P889" s="13">
        <v>3.5</v>
      </c>
      <c r="Q889" s="13" t="s">
        <v>64</v>
      </c>
      <c r="R889" s="13">
        <v>2025</v>
      </c>
      <c r="S889" s="15" t="str">
        <f t="shared" si="78"/>
        <v>Low Profit</v>
      </c>
      <c r="T889" s="15" t="str">
        <f t="shared" si="79"/>
        <v>High Sales</v>
      </c>
      <c r="U889" s="15" t="str">
        <f t="shared" si="80"/>
        <v>Needs Improvement</v>
      </c>
      <c r="V889" s="15" t="str">
        <f t="shared" si="81"/>
        <v>High Discount</v>
      </c>
      <c r="W889" s="15">
        <f>VLOOKUP(D889,Lookup_Table!$A:$C,2,FALSE)</f>
        <v>0.18</v>
      </c>
      <c r="X889" s="15">
        <f t="shared" si="82"/>
        <v>0.419114730579349</v>
      </c>
      <c r="Y889" s="15" t="str">
        <f>VLOOKUP(D889,Lookup_Table!A:C,3,0)</f>
        <v>Amit</v>
      </c>
      <c r="Z889" s="15" t="str">
        <f t="shared" si="83"/>
        <v>Achived</v>
      </c>
    </row>
    <row r="890" spans="1:26">
      <c r="A890" s="13" t="s">
        <v>981</v>
      </c>
      <c r="B890" s="14">
        <v>45938</v>
      </c>
      <c r="C890" s="13" t="s">
        <v>36</v>
      </c>
      <c r="D890" s="13" t="s">
        <v>80</v>
      </c>
      <c r="E890" s="13" t="s">
        <v>81</v>
      </c>
      <c r="F890" s="13" t="s">
        <v>75</v>
      </c>
      <c r="G890" s="13" t="s">
        <v>76</v>
      </c>
      <c r="H890" s="13" t="s">
        <v>77</v>
      </c>
      <c r="I890" s="13" t="s">
        <v>96</v>
      </c>
      <c r="J890" s="13">
        <v>6</v>
      </c>
      <c r="K890" s="13">
        <v>52.67</v>
      </c>
      <c r="L890" s="13">
        <v>0.15</v>
      </c>
      <c r="M890" s="13">
        <v>268.62</v>
      </c>
      <c r="N890" s="13">
        <v>155.85</v>
      </c>
      <c r="O890" s="13">
        <v>112.77</v>
      </c>
      <c r="P890" s="13">
        <v>2.8</v>
      </c>
      <c r="Q890" s="13" t="s">
        <v>87</v>
      </c>
      <c r="R890" s="13">
        <v>2025</v>
      </c>
      <c r="S890" s="15" t="str">
        <f t="shared" si="78"/>
        <v>Low Profit</v>
      </c>
      <c r="T890" s="15" t="str">
        <f t="shared" si="79"/>
        <v>Low Sales</v>
      </c>
      <c r="U890" s="15" t="str">
        <f t="shared" si="80"/>
        <v>Needs Improvement</v>
      </c>
      <c r="V890" s="15" t="str">
        <f t="shared" si="81"/>
        <v>High Discount</v>
      </c>
      <c r="W890" s="15">
        <f>VLOOKUP(D890,Lookup_Table!$A:$C,2,FALSE)</f>
        <v>0.12</v>
      </c>
      <c r="X890" s="15">
        <f t="shared" si="82"/>
        <v>0.419812374357829</v>
      </c>
      <c r="Y890" s="15" t="str">
        <f>VLOOKUP(D890,Lookup_Table!A:C,3,0)</f>
        <v>Rahul</v>
      </c>
      <c r="Z890" s="15" t="str">
        <f t="shared" si="83"/>
        <v>Achived</v>
      </c>
    </row>
    <row r="891" spans="1:26">
      <c r="A891" s="13" t="s">
        <v>982</v>
      </c>
      <c r="B891" s="14">
        <v>45919</v>
      </c>
      <c r="C891" s="13" t="s">
        <v>27</v>
      </c>
      <c r="D891" s="13" t="s">
        <v>44</v>
      </c>
      <c r="E891" s="13" t="s">
        <v>104</v>
      </c>
      <c r="F891" s="13" t="s">
        <v>82</v>
      </c>
      <c r="G891" s="13" t="s">
        <v>83</v>
      </c>
      <c r="H891" s="13" t="s">
        <v>77</v>
      </c>
      <c r="I891" s="13" t="s">
        <v>52</v>
      </c>
      <c r="J891" s="13">
        <v>5</v>
      </c>
      <c r="K891" s="13">
        <v>1292.6</v>
      </c>
      <c r="L891" s="13">
        <v>0.15</v>
      </c>
      <c r="M891" s="13">
        <v>5493.55</v>
      </c>
      <c r="N891" s="13">
        <v>3185.43</v>
      </c>
      <c r="O891" s="13">
        <v>2308.12</v>
      </c>
      <c r="P891" s="13">
        <v>3.5</v>
      </c>
      <c r="Q891" s="13" t="s">
        <v>53</v>
      </c>
      <c r="R891" s="13">
        <v>2025</v>
      </c>
      <c r="S891" s="15" t="str">
        <f t="shared" si="78"/>
        <v>High Profit</v>
      </c>
      <c r="T891" s="15" t="str">
        <f t="shared" si="79"/>
        <v>High Sales</v>
      </c>
      <c r="U891" s="15" t="str">
        <f t="shared" si="80"/>
        <v>Needs Improvement</v>
      </c>
      <c r="V891" s="15" t="str">
        <f t="shared" si="81"/>
        <v>High Discount</v>
      </c>
      <c r="W891" s="15">
        <f>VLOOKUP(D891,Lookup_Table!$A:$C,2,FALSE)</f>
        <v>0.18</v>
      </c>
      <c r="X891" s="15">
        <f t="shared" si="82"/>
        <v>0.420150904242248</v>
      </c>
      <c r="Y891" s="15" t="str">
        <f>VLOOKUP(D891,Lookup_Table!A:C,3,0)</f>
        <v>Amit</v>
      </c>
      <c r="Z891" s="15" t="str">
        <f t="shared" si="83"/>
        <v>Achived</v>
      </c>
    </row>
    <row r="892" spans="1:26">
      <c r="A892" s="13" t="s">
        <v>983</v>
      </c>
      <c r="B892" s="14">
        <v>45906</v>
      </c>
      <c r="C892" s="13" t="s">
        <v>27</v>
      </c>
      <c r="D892" s="13" t="s">
        <v>44</v>
      </c>
      <c r="E892" s="13" t="s">
        <v>143</v>
      </c>
      <c r="F892" s="13" t="s">
        <v>50</v>
      </c>
      <c r="G892" s="13" t="s">
        <v>51</v>
      </c>
      <c r="H892" s="13" t="s">
        <v>32</v>
      </c>
      <c r="I892" s="13" t="s">
        <v>46</v>
      </c>
      <c r="J892" s="13">
        <v>5</v>
      </c>
      <c r="K892" s="13">
        <v>234.8</v>
      </c>
      <c r="L892" s="13">
        <v>0.1</v>
      </c>
      <c r="M892" s="13">
        <v>1056.6</v>
      </c>
      <c r="N892" s="13">
        <v>611.82</v>
      </c>
      <c r="O892" s="13">
        <v>444.78</v>
      </c>
      <c r="P892" s="13">
        <v>4.1</v>
      </c>
      <c r="Q892" s="13" t="s">
        <v>53</v>
      </c>
      <c r="R892" s="13">
        <v>2025</v>
      </c>
      <c r="S892" s="15" t="str">
        <f t="shared" si="78"/>
        <v>Low Profit</v>
      </c>
      <c r="T892" s="15" t="str">
        <f t="shared" si="79"/>
        <v>High Sales</v>
      </c>
      <c r="U892" s="15" t="str">
        <f t="shared" si="80"/>
        <v>Good</v>
      </c>
      <c r="V892" s="15" t="str">
        <f t="shared" si="81"/>
        <v>Normal Discount</v>
      </c>
      <c r="W892" s="15">
        <f>VLOOKUP(D892,Lookup_Table!$A:$C,2,FALSE)</f>
        <v>0.18</v>
      </c>
      <c r="X892" s="15">
        <f t="shared" si="82"/>
        <v>0.420954003407155</v>
      </c>
      <c r="Y892" s="15" t="str">
        <f>VLOOKUP(D892,Lookup_Table!A:C,3,0)</f>
        <v>Amit</v>
      </c>
      <c r="Z892" s="15" t="str">
        <f t="shared" si="83"/>
        <v>Achived</v>
      </c>
    </row>
    <row r="893" spans="1:26">
      <c r="A893" s="13" t="s">
        <v>984</v>
      </c>
      <c r="B893" s="14">
        <v>45696</v>
      </c>
      <c r="C893" s="13" t="s">
        <v>55</v>
      </c>
      <c r="D893" s="13" t="s">
        <v>37</v>
      </c>
      <c r="E893" s="13" t="s">
        <v>38</v>
      </c>
      <c r="F893" s="13" t="s">
        <v>75</v>
      </c>
      <c r="G893" s="13" t="s">
        <v>76</v>
      </c>
      <c r="H893" s="13" t="s">
        <v>77</v>
      </c>
      <c r="I893" s="13" t="s">
        <v>96</v>
      </c>
      <c r="J893" s="13">
        <v>1</v>
      </c>
      <c r="K893" s="13">
        <v>492.71</v>
      </c>
      <c r="L893" s="13">
        <v>0.05</v>
      </c>
      <c r="M893" s="13">
        <v>468.07</v>
      </c>
      <c r="N893" s="13">
        <v>270.94</v>
      </c>
      <c r="O893" s="13">
        <v>197.13</v>
      </c>
      <c r="P893" s="13">
        <v>3.5</v>
      </c>
      <c r="Q893" s="13" t="s">
        <v>105</v>
      </c>
      <c r="R893" s="13">
        <v>2025</v>
      </c>
      <c r="S893" s="15" t="str">
        <f t="shared" si="78"/>
        <v>Low Profit</v>
      </c>
      <c r="T893" s="15" t="str">
        <f t="shared" si="79"/>
        <v>Low Sales</v>
      </c>
      <c r="U893" s="15" t="str">
        <f t="shared" si="80"/>
        <v>Needs Improvement</v>
      </c>
      <c r="V893" s="15" t="str">
        <f t="shared" si="81"/>
        <v>Normal Discount</v>
      </c>
      <c r="W893" s="15">
        <f>VLOOKUP(D893,Lookup_Table!$A:$C,2,FALSE)</f>
        <v>0.16</v>
      </c>
      <c r="X893" s="15">
        <f t="shared" si="82"/>
        <v>0.421154955455381</v>
      </c>
      <c r="Y893" s="15" t="str">
        <f>VLOOKUP(D893,Lookup_Table!A:C,3,0)</f>
        <v>Vikram</v>
      </c>
      <c r="Z893" s="15" t="str">
        <f t="shared" si="83"/>
        <v>Achived</v>
      </c>
    </row>
    <row r="894" spans="1:26">
      <c r="A894" s="13" t="s">
        <v>985</v>
      </c>
      <c r="B894" s="14">
        <v>45901</v>
      </c>
      <c r="C894" s="13" t="s">
        <v>36</v>
      </c>
      <c r="D894" s="13" t="s">
        <v>44</v>
      </c>
      <c r="E894" s="13" t="s">
        <v>45</v>
      </c>
      <c r="F894" s="13" t="s">
        <v>50</v>
      </c>
      <c r="G894" s="13" t="s">
        <v>51</v>
      </c>
      <c r="H894" s="13" t="s">
        <v>32</v>
      </c>
      <c r="I894" s="13" t="s">
        <v>52</v>
      </c>
      <c r="J894" s="13">
        <v>7</v>
      </c>
      <c r="K894" s="13">
        <v>1298.16</v>
      </c>
      <c r="L894" s="13">
        <v>0.05</v>
      </c>
      <c r="M894" s="13">
        <v>8632.76</v>
      </c>
      <c r="N894" s="13">
        <v>4994.2</v>
      </c>
      <c r="O894" s="13">
        <v>3638.56</v>
      </c>
      <c r="P894" s="13">
        <v>3.2</v>
      </c>
      <c r="Q894" s="13" t="s">
        <v>53</v>
      </c>
      <c r="R894" s="13">
        <v>2025</v>
      </c>
      <c r="S894" s="15" t="str">
        <f t="shared" si="78"/>
        <v>High Profit</v>
      </c>
      <c r="T894" s="15" t="str">
        <f t="shared" si="79"/>
        <v>High Sales</v>
      </c>
      <c r="U894" s="15" t="str">
        <f t="shared" si="80"/>
        <v>Needs Improvement</v>
      </c>
      <c r="V894" s="15" t="str">
        <f t="shared" si="81"/>
        <v>Normal Discount</v>
      </c>
      <c r="W894" s="15">
        <f>VLOOKUP(D894,Lookup_Table!$A:$C,2,FALSE)</f>
        <v>0.18</v>
      </c>
      <c r="X894" s="15">
        <f t="shared" si="82"/>
        <v>0.421482816619482</v>
      </c>
      <c r="Y894" s="15" t="str">
        <f>VLOOKUP(D894,Lookup_Table!A:C,3,0)</f>
        <v>Amit</v>
      </c>
      <c r="Z894" s="15" t="str">
        <f t="shared" si="83"/>
        <v>Achived</v>
      </c>
    </row>
    <row r="895" spans="1:26">
      <c r="A895" s="13" t="s">
        <v>986</v>
      </c>
      <c r="B895" s="14">
        <v>45920</v>
      </c>
      <c r="C895" s="13" t="s">
        <v>55</v>
      </c>
      <c r="D895" s="13" t="s">
        <v>37</v>
      </c>
      <c r="E895" s="13" t="s">
        <v>109</v>
      </c>
      <c r="F895" s="13" t="s">
        <v>62</v>
      </c>
      <c r="G895" s="13" t="s">
        <v>63</v>
      </c>
      <c r="H895" s="13" t="s">
        <v>32</v>
      </c>
      <c r="I895" s="13" t="s">
        <v>96</v>
      </c>
      <c r="J895" s="13">
        <v>7</v>
      </c>
      <c r="K895" s="13">
        <v>100.94</v>
      </c>
      <c r="L895" s="13">
        <v>0.1</v>
      </c>
      <c r="M895" s="13">
        <v>635.92</v>
      </c>
      <c r="N895" s="13">
        <v>367.83</v>
      </c>
      <c r="O895" s="13">
        <v>268.09</v>
      </c>
      <c r="P895" s="13">
        <v>4.9</v>
      </c>
      <c r="Q895" s="13" t="s">
        <v>53</v>
      </c>
      <c r="R895" s="13">
        <v>2025</v>
      </c>
      <c r="S895" s="15" t="str">
        <f t="shared" si="78"/>
        <v>Low Profit</v>
      </c>
      <c r="T895" s="15" t="str">
        <f t="shared" si="79"/>
        <v>Low Sales</v>
      </c>
      <c r="U895" s="15" t="str">
        <f t="shared" si="80"/>
        <v>Good</v>
      </c>
      <c r="V895" s="15" t="str">
        <f t="shared" si="81"/>
        <v>Normal Discount</v>
      </c>
      <c r="W895" s="15">
        <f>VLOOKUP(D895,Lookup_Table!$A:$C,2,FALSE)</f>
        <v>0.16</v>
      </c>
      <c r="X895" s="15">
        <f t="shared" si="82"/>
        <v>0.421578185935338</v>
      </c>
      <c r="Y895" s="15" t="str">
        <f>VLOOKUP(D895,Lookup_Table!A:C,3,0)</f>
        <v>Vikram</v>
      </c>
      <c r="Z895" s="15" t="str">
        <f t="shared" si="83"/>
        <v>Achived</v>
      </c>
    </row>
    <row r="896" spans="1:26">
      <c r="A896" s="13" t="s">
        <v>987</v>
      </c>
      <c r="B896" s="14">
        <v>45854</v>
      </c>
      <c r="C896" s="13" t="s">
        <v>36</v>
      </c>
      <c r="D896" s="13" t="s">
        <v>44</v>
      </c>
      <c r="E896" s="13" t="s">
        <v>137</v>
      </c>
      <c r="F896" s="13" t="s">
        <v>39</v>
      </c>
      <c r="G896" s="13" t="s">
        <v>40</v>
      </c>
      <c r="H896" s="13" t="s">
        <v>41</v>
      </c>
      <c r="I896" s="13" t="s">
        <v>33</v>
      </c>
      <c r="J896" s="13">
        <v>5</v>
      </c>
      <c r="K896" s="13">
        <v>926.39</v>
      </c>
      <c r="L896" s="13">
        <v>0.05</v>
      </c>
      <c r="M896" s="13">
        <v>4400.35</v>
      </c>
      <c r="N896" s="13">
        <v>2545.02</v>
      </c>
      <c r="O896" s="13">
        <v>1855.33</v>
      </c>
      <c r="P896" s="13">
        <v>3.6</v>
      </c>
      <c r="Q896" s="13" t="s">
        <v>56</v>
      </c>
      <c r="R896" s="13">
        <v>2025</v>
      </c>
      <c r="S896" s="15" t="str">
        <f t="shared" si="78"/>
        <v>High Profit</v>
      </c>
      <c r="T896" s="15" t="str">
        <f t="shared" si="79"/>
        <v>High Sales</v>
      </c>
      <c r="U896" s="15" t="str">
        <f t="shared" si="80"/>
        <v>Needs Improvement</v>
      </c>
      <c r="V896" s="15" t="str">
        <f t="shared" si="81"/>
        <v>Normal Discount</v>
      </c>
      <c r="W896" s="15">
        <f>VLOOKUP(D896,Lookup_Table!$A:$C,2,FALSE)</f>
        <v>0.18</v>
      </c>
      <c r="X896" s="15">
        <f t="shared" si="82"/>
        <v>0.421632370152374</v>
      </c>
      <c r="Y896" s="15" t="str">
        <f>VLOOKUP(D896,Lookup_Table!A:C,3,0)</f>
        <v>Amit</v>
      </c>
      <c r="Z896" s="15" t="str">
        <f t="shared" si="83"/>
        <v>Achived</v>
      </c>
    </row>
    <row r="897" spans="1:26">
      <c r="A897" s="13" t="s">
        <v>988</v>
      </c>
      <c r="B897" s="14">
        <v>45665</v>
      </c>
      <c r="C897" s="13" t="s">
        <v>36</v>
      </c>
      <c r="D897" s="13" t="s">
        <v>28</v>
      </c>
      <c r="E897" s="13" t="s">
        <v>73</v>
      </c>
      <c r="F897" s="13" t="s">
        <v>67</v>
      </c>
      <c r="G897" s="13" t="s">
        <v>68</v>
      </c>
      <c r="H897" s="13" t="s">
        <v>69</v>
      </c>
      <c r="I897" s="13" t="s">
        <v>46</v>
      </c>
      <c r="J897" s="13">
        <v>2</v>
      </c>
      <c r="K897" s="13">
        <v>95.13</v>
      </c>
      <c r="L897" s="13">
        <v>0.1</v>
      </c>
      <c r="M897" s="13">
        <v>171.23</v>
      </c>
      <c r="N897" s="13">
        <v>98.99</v>
      </c>
      <c r="O897" s="13">
        <v>72.24</v>
      </c>
      <c r="P897" s="13">
        <v>3.3</v>
      </c>
      <c r="Q897" s="13" t="s">
        <v>64</v>
      </c>
      <c r="R897" s="13">
        <v>2025</v>
      </c>
      <c r="S897" s="15" t="str">
        <f t="shared" si="78"/>
        <v>Low Profit</v>
      </c>
      <c r="T897" s="15" t="str">
        <f t="shared" si="79"/>
        <v>Low Sales</v>
      </c>
      <c r="U897" s="15" t="str">
        <f t="shared" si="80"/>
        <v>Needs Improvement</v>
      </c>
      <c r="V897" s="15" t="str">
        <f t="shared" si="81"/>
        <v>Normal Discount</v>
      </c>
      <c r="W897" s="15">
        <f>VLOOKUP(D897,Lookup_Table!$A:$C,2,FALSE)</f>
        <v>0.2</v>
      </c>
      <c r="X897" s="15">
        <f t="shared" si="82"/>
        <v>0.421888687729954</v>
      </c>
      <c r="Y897" s="15" t="str">
        <f>VLOOKUP(D897,Lookup_Table!A:C,3,0)</f>
        <v>Sneha</v>
      </c>
      <c r="Z897" s="15" t="str">
        <f t="shared" si="83"/>
        <v>Achived</v>
      </c>
    </row>
    <row r="898" spans="1:26">
      <c r="A898" s="13" t="s">
        <v>989</v>
      </c>
      <c r="B898" s="14">
        <v>45876</v>
      </c>
      <c r="C898" s="13" t="s">
        <v>27</v>
      </c>
      <c r="D898" s="13" t="s">
        <v>60</v>
      </c>
      <c r="E898" s="13" t="s">
        <v>127</v>
      </c>
      <c r="F898" s="13" t="s">
        <v>75</v>
      </c>
      <c r="G898" s="13" t="s">
        <v>76</v>
      </c>
      <c r="H898" s="13" t="s">
        <v>77</v>
      </c>
      <c r="I898" s="13" t="s">
        <v>33</v>
      </c>
      <c r="J898" s="13">
        <v>5</v>
      </c>
      <c r="K898" s="13">
        <v>221.95</v>
      </c>
      <c r="L898" s="13">
        <v>0.05</v>
      </c>
      <c r="M898" s="13">
        <v>1054.26</v>
      </c>
      <c r="N898" s="13">
        <v>609.42</v>
      </c>
      <c r="O898" s="13">
        <v>444.84</v>
      </c>
      <c r="P898" s="13">
        <v>4.4</v>
      </c>
      <c r="Q898" s="13" t="s">
        <v>47</v>
      </c>
      <c r="R898" s="13">
        <v>2025</v>
      </c>
      <c r="S898" s="15" t="str">
        <f t="shared" ref="S898:S961" si="84">IF(O898&gt;500,"High Profit","Low Profit")</f>
        <v>Low Profit</v>
      </c>
      <c r="T898" s="15" t="str">
        <f t="shared" ref="T898:T961" si="85">IF(M898&gt;1000,"High Sales","Low Sales")</f>
        <v>High Sales</v>
      </c>
      <c r="U898" s="15" t="str">
        <f t="shared" ref="U898:U961" si="86">IF(P898&gt;=4,"Good","Needs Improvement")</f>
        <v>Good</v>
      </c>
      <c r="V898" s="15" t="str">
        <f t="shared" ref="V898:V961" si="87">IF(L898&gt;=15%,"High Discount","Normal Discount")</f>
        <v>Normal Discount</v>
      </c>
      <c r="W898" s="15">
        <f>VLOOKUP(D898,Lookup_Table!$A:$C,2,FALSE)</f>
        <v>0.15</v>
      </c>
      <c r="X898" s="15">
        <f t="shared" ref="X898:X961" si="88">O898/M898</f>
        <v>0.421945250697171</v>
      </c>
      <c r="Y898" s="15" t="str">
        <f>VLOOKUP(D898,Lookup_Table!A:C,3,0)</f>
        <v>Priya</v>
      </c>
      <c r="Z898" s="15" t="str">
        <f t="shared" ref="Z898:Z961" si="89">IF(X898&gt;=W898,"Achived","Not Achieved")</f>
        <v>Achived</v>
      </c>
    </row>
    <row r="899" spans="1:26">
      <c r="A899" s="13" t="s">
        <v>990</v>
      </c>
      <c r="B899" s="14">
        <v>45797</v>
      </c>
      <c r="C899" s="13" t="s">
        <v>27</v>
      </c>
      <c r="D899" s="13" t="s">
        <v>37</v>
      </c>
      <c r="E899" s="13" t="s">
        <v>86</v>
      </c>
      <c r="F899" s="13" t="s">
        <v>39</v>
      </c>
      <c r="G899" s="13" t="s">
        <v>40</v>
      </c>
      <c r="H899" s="13" t="s">
        <v>41</v>
      </c>
      <c r="I899" s="13" t="s">
        <v>52</v>
      </c>
      <c r="J899" s="13">
        <v>6</v>
      </c>
      <c r="K899" s="13">
        <v>110.87</v>
      </c>
      <c r="L899" s="13">
        <v>0.05</v>
      </c>
      <c r="M899" s="13">
        <v>631.96</v>
      </c>
      <c r="N899" s="13">
        <v>364.82</v>
      </c>
      <c r="O899" s="13">
        <v>267.14</v>
      </c>
      <c r="P899" s="13">
        <v>4.7</v>
      </c>
      <c r="Q899" s="13" t="s">
        <v>42</v>
      </c>
      <c r="R899" s="13">
        <v>2025</v>
      </c>
      <c r="S899" s="15" t="str">
        <f t="shared" si="84"/>
        <v>Low Profit</v>
      </c>
      <c r="T899" s="15" t="str">
        <f t="shared" si="85"/>
        <v>Low Sales</v>
      </c>
      <c r="U899" s="15" t="str">
        <f t="shared" si="86"/>
        <v>Good</v>
      </c>
      <c r="V899" s="15" t="str">
        <f t="shared" si="87"/>
        <v>Normal Discount</v>
      </c>
      <c r="W899" s="15">
        <f>VLOOKUP(D899,Lookup_Table!$A:$C,2,FALSE)</f>
        <v>0.16</v>
      </c>
      <c r="X899" s="15">
        <f t="shared" si="88"/>
        <v>0.42271662763466</v>
      </c>
      <c r="Y899" s="15" t="str">
        <f>VLOOKUP(D899,Lookup_Table!A:C,3,0)</f>
        <v>Vikram</v>
      </c>
      <c r="Z899" s="15" t="str">
        <f t="shared" si="89"/>
        <v>Achived</v>
      </c>
    </row>
    <row r="900" spans="1:26">
      <c r="A900" s="13" t="s">
        <v>991</v>
      </c>
      <c r="B900" s="14">
        <v>45990</v>
      </c>
      <c r="C900" s="13" t="s">
        <v>27</v>
      </c>
      <c r="D900" s="13" t="s">
        <v>80</v>
      </c>
      <c r="E900" s="13" t="s">
        <v>191</v>
      </c>
      <c r="F900" s="13" t="s">
        <v>75</v>
      </c>
      <c r="G900" s="13" t="s">
        <v>76</v>
      </c>
      <c r="H900" s="13" t="s">
        <v>77</v>
      </c>
      <c r="I900" s="13" t="s">
        <v>46</v>
      </c>
      <c r="J900" s="13">
        <v>6</v>
      </c>
      <c r="K900" s="13">
        <v>71.61</v>
      </c>
      <c r="L900" s="13">
        <v>0.15</v>
      </c>
      <c r="M900" s="13">
        <v>365.21</v>
      </c>
      <c r="N900" s="13">
        <v>210.64</v>
      </c>
      <c r="O900" s="13">
        <v>154.57</v>
      </c>
      <c r="P900" s="13">
        <v>3.6</v>
      </c>
      <c r="Q900" s="13" t="s">
        <v>71</v>
      </c>
      <c r="R900" s="13">
        <v>2025</v>
      </c>
      <c r="S900" s="15" t="str">
        <f t="shared" si="84"/>
        <v>Low Profit</v>
      </c>
      <c r="T900" s="15" t="str">
        <f t="shared" si="85"/>
        <v>Low Sales</v>
      </c>
      <c r="U900" s="15" t="str">
        <f t="shared" si="86"/>
        <v>Needs Improvement</v>
      </c>
      <c r="V900" s="15" t="str">
        <f t="shared" si="87"/>
        <v>High Discount</v>
      </c>
      <c r="W900" s="15">
        <f>VLOOKUP(D900,Lookup_Table!$A:$C,2,FALSE)</f>
        <v>0.12</v>
      </c>
      <c r="X900" s="15">
        <f t="shared" si="88"/>
        <v>0.423235946441773</v>
      </c>
      <c r="Y900" s="15" t="str">
        <f>VLOOKUP(D900,Lookup_Table!A:C,3,0)</f>
        <v>Rahul</v>
      </c>
      <c r="Z900" s="15" t="str">
        <f t="shared" si="89"/>
        <v>Achived</v>
      </c>
    </row>
    <row r="901" spans="1:26">
      <c r="A901" s="13" t="s">
        <v>992</v>
      </c>
      <c r="B901" s="14">
        <v>45773</v>
      </c>
      <c r="C901" s="13" t="s">
        <v>36</v>
      </c>
      <c r="D901" s="13" t="s">
        <v>28</v>
      </c>
      <c r="E901" s="13" t="s">
        <v>90</v>
      </c>
      <c r="F901" s="13" t="s">
        <v>82</v>
      </c>
      <c r="G901" s="13" t="s">
        <v>83</v>
      </c>
      <c r="H901" s="13" t="s">
        <v>77</v>
      </c>
      <c r="I901" s="13" t="s">
        <v>46</v>
      </c>
      <c r="J901" s="13">
        <v>7</v>
      </c>
      <c r="K901" s="13">
        <v>65.24</v>
      </c>
      <c r="L901" s="13">
        <v>0</v>
      </c>
      <c r="M901" s="13">
        <v>456.68</v>
      </c>
      <c r="N901" s="13">
        <v>263.19</v>
      </c>
      <c r="O901" s="13">
        <v>193.49</v>
      </c>
      <c r="P901" s="13">
        <v>4.2</v>
      </c>
      <c r="Q901" s="13" t="s">
        <v>84</v>
      </c>
      <c r="R901" s="13">
        <v>2025</v>
      </c>
      <c r="S901" s="15" t="str">
        <f t="shared" si="84"/>
        <v>Low Profit</v>
      </c>
      <c r="T901" s="15" t="str">
        <f t="shared" si="85"/>
        <v>Low Sales</v>
      </c>
      <c r="U901" s="15" t="str">
        <f t="shared" si="86"/>
        <v>Good</v>
      </c>
      <c r="V901" s="15" t="str">
        <f t="shared" si="87"/>
        <v>Normal Discount</v>
      </c>
      <c r="W901" s="15">
        <f>VLOOKUP(D901,Lookup_Table!$A:$C,2,FALSE)</f>
        <v>0.2</v>
      </c>
      <c r="X901" s="15">
        <f t="shared" si="88"/>
        <v>0.423688359463957</v>
      </c>
      <c r="Y901" s="15" t="str">
        <f>VLOOKUP(D901,Lookup_Table!A:C,3,0)</f>
        <v>Sneha</v>
      </c>
      <c r="Z901" s="15" t="str">
        <f t="shared" si="89"/>
        <v>Achived</v>
      </c>
    </row>
    <row r="902" spans="1:26">
      <c r="A902" s="13" t="s">
        <v>993</v>
      </c>
      <c r="B902" s="14">
        <v>45755</v>
      </c>
      <c r="C902" s="13" t="s">
        <v>55</v>
      </c>
      <c r="D902" s="13" t="s">
        <v>44</v>
      </c>
      <c r="E902" s="13" t="s">
        <v>143</v>
      </c>
      <c r="F902" s="13" t="s">
        <v>82</v>
      </c>
      <c r="G902" s="13" t="s">
        <v>83</v>
      </c>
      <c r="H902" s="13" t="s">
        <v>77</v>
      </c>
      <c r="I902" s="13" t="s">
        <v>33</v>
      </c>
      <c r="J902" s="13">
        <v>2</v>
      </c>
      <c r="K902" s="13">
        <v>128.89</v>
      </c>
      <c r="L902" s="13">
        <v>0</v>
      </c>
      <c r="M902" s="13">
        <v>257.78</v>
      </c>
      <c r="N902" s="13">
        <v>148.55</v>
      </c>
      <c r="O902" s="13">
        <v>109.23</v>
      </c>
      <c r="P902" s="13">
        <v>3.5</v>
      </c>
      <c r="Q902" s="13" t="s">
        <v>84</v>
      </c>
      <c r="R902" s="13">
        <v>2025</v>
      </c>
      <c r="S902" s="15" t="str">
        <f t="shared" si="84"/>
        <v>Low Profit</v>
      </c>
      <c r="T902" s="15" t="str">
        <f t="shared" si="85"/>
        <v>Low Sales</v>
      </c>
      <c r="U902" s="15" t="str">
        <f t="shared" si="86"/>
        <v>Needs Improvement</v>
      </c>
      <c r="V902" s="15" t="str">
        <f t="shared" si="87"/>
        <v>Normal Discount</v>
      </c>
      <c r="W902" s="15">
        <f>VLOOKUP(D902,Lookup_Table!$A:$C,2,FALSE)</f>
        <v>0.18</v>
      </c>
      <c r="X902" s="15">
        <f t="shared" si="88"/>
        <v>0.423733416091241</v>
      </c>
      <c r="Y902" s="15" t="str">
        <f>VLOOKUP(D902,Lookup_Table!A:C,3,0)</f>
        <v>Amit</v>
      </c>
      <c r="Z902" s="15" t="str">
        <f t="shared" si="89"/>
        <v>Achived</v>
      </c>
    </row>
    <row r="903" spans="1:26">
      <c r="A903" s="13" t="s">
        <v>994</v>
      </c>
      <c r="B903" s="14">
        <v>45763</v>
      </c>
      <c r="C903" s="13" t="s">
        <v>27</v>
      </c>
      <c r="D903" s="13" t="s">
        <v>37</v>
      </c>
      <c r="E903" s="13" t="s">
        <v>86</v>
      </c>
      <c r="F903" s="13" t="s">
        <v>39</v>
      </c>
      <c r="G903" s="13" t="s">
        <v>40</v>
      </c>
      <c r="H903" s="13" t="s">
        <v>41</v>
      </c>
      <c r="I903" s="13" t="s">
        <v>33</v>
      </c>
      <c r="J903" s="13">
        <v>1</v>
      </c>
      <c r="K903" s="13">
        <v>470.58</v>
      </c>
      <c r="L903" s="13">
        <v>0.15</v>
      </c>
      <c r="M903" s="13">
        <v>399.99</v>
      </c>
      <c r="N903" s="13">
        <v>230.3</v>
      </c>
      <c r="O903" s="13">
        <v>169.69</v>
      </c>
      <c r="P903" s="13">
        <v>4.4</v>
      </c>
      <c r="Q903" s="13" t="s">
        <v>84</v>
      </c>
      <c r="R903" s="13">
        <v>2025</v>
      </c>
      <c r="S903" s="15" t="str">
        <f t="shared" si="84"/>
        <v>Low Profit</v>
      </c>
      <c r="T903" s="15" t="str">
        <f t="shared" si="85"/>
        <v>Low Sales</v>
      </c>
      <c r="U903" s="15" t="str">
        <f t="shared" si="86"/>
        <v>Good</v>
      </c>
      <c r="V903" s="15" t="str">
        <f t="shared" si="87"/>
        <v>High Discount</v>
      </c>
      <c r="W903" s="15">
        <f>VLOOKUP(D903,Lookup_Table!$A:$C,2,FALSE)</f>
        <v>0.16</v>
      </c>
      <c r="X903" s="15">
        <f t="shared" si="88"/>
        <v>0.424235605890147</v>
      </c>
      <c r="Y903" s="15" t="str">
        <f>VLOOKUP(D903,Lookup_Table!A:C,3,0)</f>
        <v>Vikram</v>
      </c>
      <c r="Z903" s="15" t="str">
        <f t="shared" si="89"/>
        <v>Achived</v>
      </c>
    </row>
    <row r="904" spans="1:26">
      <c r="A904" s="13" t="s">
        <v>995</v>
      </c>
      <c r="B904" s="14">
        <v>45997</v>
      </c>
      <c r="C904" s="13" t="s">
        <v>55</v>
      </c>
      <c r="D904" s="13" t="s">
        <v>44</v>
      </c>
      <c r="E904" s="13" t="s">
        <v>143</v>
      </c>
      <c r="F904" s="13" t="s">
        <v>75</v>
      </c>
      <c r="G904" s="13" t="s">
        <v>76</v>
      </c>
      <c r="H904" s="13" t="s">
        <v>77</v>
      </c>
      <c r="I904" s="13" t="s">
        <v>52</v>
      </c>
      <c r="J904" s="13">
        <v>6</v>
      </c>
      <c r="K904" s="13">
        <v>892.41</v>
      </c>
      <c r="L904" s="13">
        <v>0</v>
      </c>
      <c r="M904" s="13">
        <v>5354.46</v>
      </c>
      <c r="N904" s="13">
        <v>3082.77</v>
      </c>
      <c r="O904" s="13">
        <v>2271.69</v>
      </c>
      <c r="P904" s="13">
        <v>4.7</v>
      </c>
      <c r="Q904" s="13" t="s">
        <v>34</v>
      </c>
      <c r="R904" s="13">
        <v>2025</v>
      </c>
      <c r="S904" s="15" t="str">
        <f t="shared" si="84"/>
        <v>High Profit</v>
      </c>
      <c r="T904" s="15" t="str">
        <f t="shared" si="85"/>
        <v>High Sales</v>
      </c>
      <c r="U904" s="15" t="str">
        <f t="shared" si="86"/>
        <v>Good</v>
      </c>
      <c r="V904" s="15" t="str">
        <f t="shared" si="87"/>
        <v>Normal Discount</v>
      </c>
      <c r="W904" s="15">
        <f>VLOOKUP(D904,Lookup_Table!$A:$C,2,FALSE)</f>
        <v>0.18</v>
      </c>
      <c r="X904" s="15">
        <f t="shared" si="88"/>
        <v>0.424261270044038</v>
      </c>
      <c r="Y904" s="15" t="str">
        <f>VLOOKUP(D904,Lookup_Table!A:C,3,0)</f>
        <v>Amit</v>
      </c>
      <c r="Z904" s="15" t="str">
        <f t="shared" si="89"/>
        <v>Achived</v>
      </c>
    </row>
    <row r="905" spans="1:26">
      <c r="A905" s="13" t="s">
        <v>996</v>
      </c>
      <c r="B905" s="14">
        <v>45941</v>
      </c>
      <c r="C905" s="13" t="s">
        <v>27</v>
      </c>
      <c r="D905" s="13" t="s">
        <v>28</v>
      </c>
      <c r="E905" s="13" t="s">
        <v>90</v>
      </c>
      <c r="F905" s="13" t="s">
        <v>67</v>
      </c>
      <c r="G905" s="13" t="s">
        <v>68</v>
      </c>
      <c r="H905" s="13" t="s">
        <v>69</v>
      </c>
      <c r="I905" s="13" t="s">
        <v>33</v>
      </c>
      <c r="J905" s="13">
        <v>7</v>
      </c>
      <c r="K905" s="13">
        <v>85.47</v>
      </c>
      <c r="L905" s="13">
        <v>0.1</v>
      </c>
      <c r="M905" s="13">
        <v>538.46</v>
      </c>
      <c r="N905" s="13">
        <v>309.83</v>
      </c>
      <c r="O905" s="13">
        <v>228.63</v>
      </c>
      <c r="P905" s="13">
        <v>4.8</v>
      </c>
      <c r="Q905" s="13" t="s">
        <v>87</v>
      </c>
      <c r="R905" s="13">
        <v>2025</v>
      </c>
      <c r="S905" s="15" t="str">
        <f t="shared" si="84"/>
        <v>Low Profit</v>
      </c>
      <c r="T905" s="15" t="str">
        <f t="shared" si="85"/>
        <v>Low Sales</v>
      </c>
      <c r="U905" s="15" t="str">
        <f t="shared" si="86"/>
        <v>Good</v>
      </c>
      <c r="V905" s="15" t="str">
        <f t="shared" si="87"/>
        <v>Normal Discount</v>
      </c>
      <c r="W905" s="15">
        <f>VLOOKUP(D905,Lookup_Table!$A:$C,2,FALSE)</f>
        <v>0.2</v>
      </c>
      <c r="X905" s="15">
        <f t="shared" si="88"/>
        <v>0.424599784570813</v>
      </c>
      <c r="Y905" s="15" t="str">
        <f>VLOOKUP(D905,Lookup_Table!A:C,3,0)</f>
        <v>Sneha</v>
      </c>
      <c r="Z905" s="15" t="str">
        <f t="shared" si="89"/>
        <v>Achived</v>
      </c>
    </row>
    <row r="906" spans="1:26">
      <c r="A906" s="13" t="s">
        <v>997</v>
      </c>
      <c r="B906" s="14">
        <v>45699</v>
      </c>
      <c r="C906" s="13" t="s">
        <v>55</v>
      </c>
      <c r="D906" s="13" t="s">
        <v>44</v>
      </c>
      <c r="E906" s="13" t="s">
        <v>137</v>
      </c>
      <c r="F906" s="13" t="s">
        <v>82</v>
      </c>
      <c r="G906" s="13" t="s">
        <v>83</v>
      </c>
      <c r="H906" s="13" t="s">
        <v>77</v>
      </c>
      <c r="I906" s="13" t="s">
        <v>96</v>
      </c>
      <c r="J906" s="13">
        <v>6</v>
      </c>
      <c r="K906" s="13">
        <v>754.63</v>
      </c>
      <c r="L906" s="13">
        <v>0.1</v>
      </c>
      <c r="M906" s="13">
        <v>4075</v>
      </c>
      <c r="N906" s="13">
        <v>2343.18</v>
      </c>
      <c r="O906" s="13">
        <v>1731.82</v>
      </c>
      <c r="P906" s="13">
        <v>3.3</v>
      </c>
      <c r="Q906" s="13" t="s">
        <v>105</v>
      </c>
      <c r="R906" s="13">
        <v>2025</v>
      </c>
      <c r="S906" s="15" t="str">
        <f t="shared" si="84"/>
        <v>High Profit</v>
      </c>
      <c r="T906" s="15" t="str">
        <f t="shared" si="85"/>
        <v>High Sales</v>
      </c>
      <c r="U906" s="15" t="str">
        <f t="shared" si="86"/>
        <v>Needs Improvement</v>
      </c>
      <c r="V906" s="15" t="str">
        <f t="shared" si="87"/>
        <v>Normal Discount</v>
      </c>
      <c r="W906" s="15">
        <f>VLOOKUP(D906,Lookup_Table!$A:$C,2,FALSE)</f>
        <v>0.18</v>
      </c>
      <c r="X906" s="15">
        <f t="shared" si="88"/>
        <v>0.424986503067485</v>
      </c>
      <c r="Y906" s="15" t="str">
        <f>VLOOKUP(D906,Lookup_Table!A:C,3,0)</f>
        <v>Amit</v>
      </c>
      <c r="Z906" s="15" t="str">
        <f t="shared" si="89"/>
        <v>Achived</v>
      </c>
    </row>
    <row r="907" spans="1:26">
      <c r="A907" s="13" t="s">
        <v>998</v>
      </c>
      <c r="B907" s="14">
        <v>45816</v>
      </c>
      <c r="C907" s="13" t="s">
        <v>36</v>
      </c>
      <c r="D907" s="13" t="s">
        <v>80</v>
      </c>
      <c r="E907" s="13" t="s">
        <v>81</v>
      </c>
      <c r="F907" s="13" t="s">
        <v>98</v>
      </c>
      <c r="G907" s="13" t="s">
        <v>99</v>
      </c>
      <c r="H907" s="13" t="s">
        <v>77</v>
      </c>
      <c r="I907" s="13" t="s">
        <v>96</v>
      </c>
      <c r="J907" s="13">
        <v>3</v>
      </c>
      <c r="K907" s="13">
        <v>36.14</v>
      </c>
      <c r="L907" s="13">
        <v>0.1</v>
      </c>
      <c r="M907" s="13">
        <v>97.58</v>
      </c>
      <c r="N907" s="13">
        <v>55.99</v>
      </c>
      <c r="O907" s="13">
        <v>41.59</v>
      </c>
      <c r="P907" s="13">
        <v>2.5</v>
      </c>
      <c r="Q907" s="13" t="s">
        <v>58</v>
      </c>
      <c r="R907" s="13">
        <v>2025</v>
      </c>
      <c r="S907" s="15" t="str">
        <f t="shared" si="84"/>
        <v>Low Profit</v>
      </c>
      <c r="T907" s="15" t="str">
        <f t="shared" si="85"/>
        <v>Low Sales</v>
      </c>
      <c r="U907" s="15" t="str">
        <f t="shared" si="86"/>
        <v>Needs Improvement</v>
      </c>
      <c r="V907" s="15" t="str">
        <f t="shared" si="87"/>
        <v>Normal Discount</v>
      </c>
      <c r="W907" s="15">
        <f>VLOOKUP(D907,Lookup_Table!$A:$C,2,FALSE)</f>
        <v>0.12</v>
      </c>
      <c r="X907" s="15">
        <f t="shared" si="88"/>
        <v>0.426214388194302</v>
      </c>
      <c r="Y907" s="15" t="str">
        <f>VLOOKUP(D907,Lookup_Table!A:C,3,0)</f>
        <v>Rahul</v>
      </c>
      <c r="Z907" s="15" t="str">
        <f t="shared" si="89"/>
        <v>Achived</v>
      </c>
    </row>
    <row r="908" spans="1:26">
      <c r="A908" s="13" t="s">
        <v>999</v>
      </c>
      <c r="B908" s="14">
        <v>45961</v>
      </c>
      <c r="C908" s="13" t="s">
        <v>36</v>
      </c>
      <c r="D908" s="13" t="s">
        <v>37</v>
      </c>
      <c r="E908" s="13" t="s">
        <v>38</v>
      </c>
      <c r="F908" s="13" t="s">
        <v>111</v>
      </c>
      <c r="G908" s="13" t="s">
        <v>76</v>
      </c>
      <c r="H908" s="13" t="s">
        <v>77</v>
      </c>
      <c r="I908" s="13" t="s">
        <v>52</v>
      </c>
      <c r="J908" s="13">
        <v>7</v>
      </c>
      <c r="K908" s="13">
        <v>390.49</v>
      </c>
      <c r="L908" s="13">
        <v>0</v>
      </c>
      <c r="M908" s="13">
        <v>2733.43</v>
      </c>
      <c r="N908" s="13">
        <v>1567.92</v>
      </c>
      <c r="O908" s="13">
        <v>1165.51</v>
      </c>
      <c r="P908" s="13">
        <v>3.5</v>
      </c>
      <c r="Q908" s="13" t="s">
        <v>87</v>
      </c>
      <c r="R908" s="13">
        <v>2025</v>
      </c>
      <c r="S908" s="15" t="str">
        <f t="shared" si="84"/>
        <v>High Profit</v>
      </c>
      <c r="T908" s="15" t="str">
        <f t="shared" si="85"/>
        <v>High Sales</v>
      </c>
      <c r="U908" s="15" t="str">
        <f t="shared" si="86"/>
        <v>Needs Improvement</v>
      </c>
      <c r="V908" s="15" t="str">
        <f t="shared" si="87"/>
        <v>Normal Discount</v>
      </c>
      <c r="W908" s="15">
        <f>VLOOKUP(D908,Lookup_Table!$A:$C,2,FALSE)</f>
        <v>0.16</v>
      </c>
      <c r="X908" s="15">
        <f t="shared" si="88"/>
        <v>0.426391017878636</v>
      </c>
      <c r="Y908" s="15" t="str">
        <f>VLOOKUP(D908,Lookup_Table!A:C,3,0)</f>
        <v>Vikram</v>
      </c>
      <c r="Z908" s="15" t="str">
        <f t="shared" si="89"/>
        <v>Achived</v>
      </c>
    </row>
    <row r="909" spans="1:26">
      <c r="A909" s="13" t="s">
        <v>1000</v>
      </c>
      <c r="B909" s="14">
        <v>46012</v>
      </c>
      <c r="C909" s="13" t="s">
        <v>55</v>
      </c>
      <c r="D909" s="13" t="s">
        <v>80</v>
      </c>
      <c r="E909" s="13" t="s">
        <v>101</v>
      </c>
      <c r="F909" s="13" t="s">
        <v>30</v>
      </c>
      <c r="G909" s="13" t="s">
        <v>31</v>
      </c>
      <c r="H909" s="13" t="s">
        <v>32</v>
      </c>
      <c r="I909" s="13" t="s">
        <v>46</v>
      </c>
      <c r="J909" s="13">
        <v>2</v>
      </c>
      <c r="K909" s="13">
        <v>45.38</v>
      </c>
      <c r="L909" s="13">
        <v>0.15</v>
      </c>
      <c r="M909" s="13">
        <v>77.15</v>
      </c>
      <c r="N909" s="13">
        <v>44.25</v>
      </c>
      <c r="O909" s="13">
        <v>32.9</v>
      </c>
      <c r="P909" s="13">
        <v>4</v>
      </c>
      <c r="Q909" s="13" t="s">
        <v>34</v>
      </c>
      <c r="R909" s="13">
        <v>2025</v>
      </c>
      <c r="S909" s="15" t="str">
        <f t="shared" si="84"/>
        <v>Low Profit</v>
      </c>
      <c r="T909" s="15" t="str">
        <f t="shared" si="85"/>
        <v>Low Sales</v>
      </c>
      <c r="U909" s="15" t="str">
        <f t="shared" si="86"/>
        <v>Good</v>
      </c>
      <c r="V909" s="15" t="str">
        <f t="shared" si="87"/>
        <v>High Discount</v>
      </c>
      <c r="W909" s="15">
        <f>VLOOKUP(D909,Lookup_Table!$A:$C,2,FALSE)</f>
        <v>0.12</v>
      </c>
      <c r="X909" s="15">
        <f t="shared" si="88"/>
        <v>0.426441996111471</v>
      </c>
      <c r="Y909" s="15" t="str">
        <f>VLOOKUP(D909,Lookup_Table!A:C,3,0)</f>
        <v>Rahul</v>
      </c>
      <c r="Z909" s="15" t="str">
        <f t="shared" si="89"/>
        <v>Achived</v>
      </c>
    </row>
    <row r="910" spans="1:26">
      <c r="A910" s="13" t="s">
        <v>1001</v>
      </c>
      <c r="B910" s="14">
        <v>45761</v>
      </c>
      <c r="C910" s="13" t="s">
        <v>27</v>
      </c>
      <c r="D910" s="13" t="s">
        <v>28</v>
      </c>
      <c r="E910" s="13" t="s">
        <v>49</v>
      </c>
      <c r="F910" s="13" t="s">
        <v>111</v>
      </c>
      <c r="G910" s="13" t="s">
        <v>76</v>
      </c>
      <c r="H910" s="13" t="s">
        <v>77</v>
      </c>
      <c r="I910" s="13" t="s">
        <v>96</v>
      </c>
      <c r="J910" s="13">
        <v>6</v>
      </c>
      <c r="K910" s="13">
        <v>129.19</v>
      </c>
      <c r="L910" s="13">
        <v>0.1</v>
      </c>
      <c r="M910" s="13">
        <v>697.63</v>
      </c>
      <c r="N910" s="13">
        <v>400.13</v>
      </c>
      <c r="O910" s="13">
        <v>297.5</v>
      </c>
      <c r="P910" s="13">
        <v>4</v>
      </c>
      <c r="Q910" s="13" t="s">
        <v>84</v>
      </c>
      <c r="R910" s="13">
        <v>2025</v>
      </c>
      <c r="S910" s="15" t="str">
        <f t="shared" si="84"/>
        <v>Low Profit</v>
      </c>
      <c r="T910" s="15" t="str">
        <f t="shared" si="85"/>
        <v>Low Sales</v>
      </c>
      <c r="U910" s="15" t="str">
        <f t="shared" si="86"/>
        <v>Good</v>
      </c>
      <c r="V910" s="15" t="str">
        <f t="shared" si="87"/>
        <v>Normal Discount</v>
      </c>
      <c r="W910" s="15">
        <f>VLOOKUP(D910,Lookup_Table!$A:$C,2,FALSE)</f>
        <v>0.2</v>
      </c>
      <c r="X910" s="15">
        <f t="shared" si="88"/>
        <v>0.426443816923011</v>
      </c>
      <c r="Y910" s="15" t="str">
        <f>VLOOKUP(D910,Lookup_Table!A:C,3,0)</f>
        <v>Sneha</v>
      </c>
      <c r="Z910" s="15" t="str">
        <f t="shared" si="89"/>
        <v>Achived</v>
      </c>
    </row>
    <row r="911" spans="1:26">
      <c r="A911" s="13" t="s">
        <v>1002</v>
      </c>
      <c r="B911" s="14">
        <v>45786</v>
      </c>
      <c r="C911" s="13" t="s">
        <v>27</v>
      </c>
      <c r="D911" s="13" t="s">
        <v>28</v>
      </c>
      <c r="E911" s="13" t="s">
        <v>90</v>
      </c>
      <c r="F911" s="13" t="s">
        <v>30</v>
      </c>
      <c r="G911" s="13" t="s">
        <v>31</v>
      </c>
      <c r="H911" s="13" t="s">
        <v>32</v>
      </c>
      <c r="I911" s="13" t="s">
        <v>33</v>
      </c>
      <c r="J911" s="13">
        <v>5</v>
      </c>
      <c r="K911" s="13">
        <v>95.69</v>
      </c>
      <c r="L911" s="13">
        <v>0</v>
      </c>
      <c r="M911" s="13">
        <v>478.45</v>
      </c>
      <c r="N911" s="13">
        <v>274.39</v>
      </c>
      <c r="O911" s="13">
        <v>204.06</v>
      </c>
      <c r="P911" s="13">
        <v>4.9</v>
      </c>
      <c r="Q911" s="13" t="s">
        <v>42</v>
      </c>
      <c r="R911" s="13">
        <v>2025</v>
      </c>
      <c r="S911" s="15" t="str">
        <f t="shared" si="84"/>
        <v>Low Profit</v>
      </c>
      <c r="T911" s="15" t="str">
        <f t="shared" si="85"/>
        <v>Low Sales</v>
      </c>
      <c r="U911" s="15" t="str">
        <f t="shared" si="86"/>
        <v>Good</v>
      </c>
      <c r="V911" s="15" t="str">
        <f t="shared" si="87"/>
        <v>Normal Discount</v>
      </c>
      <c r="W911" s="15">
        <f>VLOOKUP(D911,Lookup_Table!$A:$C,2,FALSE)</f>
        <v>0.2</v>
      </c>
      <c r="X911" s="15">
        <f t="shared" si="88"/>
        <v>0.42650224683875</v>
      </c>
      <c r="Y911" s="15" t="str">
        <f>VLOOKUP(D911,Lookup_Table!A:C,3,0)</f>
        <v>Sneha</v>
      </c>
      <c r="Z911" s="15" t="str">
        <f t="shared" si="89"/>
        <v>Achived</v>
      </c>
    </row>
    <row r="912" spans="1:26">
      <c r="A912" s="13" t="s">
        <v>1003</v>
      </c>
      <c r="B912" s="14">
        <v>45763</v>
      </c>
      <c r="C912" s="13" t="s">
        <v>55</v>
      </c>
      <c r="D912" s="13" t="s">
        <v>60</v>
      </c>
      <c r="E912" s="13" t="s">
        <v>127</v>
      </c>
      <c r="F912" s="13" t="s">
        <v>75</v>
      </c>
      <c r="G912" s="13" t="s">
        <v>76</v>
      </c>
      <c r="H912" s="13" t="s">
        <v>77</v>
      </c>
      <c r="I912" s="13" t="s">
        <v>33</v>
      </c>
      <c r="J912" s="13">
        <v>7</v>
      </c>
      <c r="K912" s="13">
        <v>152.31</v>
      </c>
      <c r="L912" s="13">
        <v>0.05</v>
      </c>
      <c r="M912" s="13">
        <v>1012.86</v>
      </c>
      <c r="N912" s="13">
        <v>580.77</v>
      </c>
      <c r="O912" s="13">
        <v>432.09</v>
      </c>
      <c r="P912" s="13">
        <v>4.2</v>
      </c>
      <c r="Q912" s="13" t="s">
        <v>84</v>
      </c>
      <c r="R912" s="13">
        <v>2025</v>
      </c>
      <c r="S912" s="15" t="str">
        <f t="shared" si="84"/>
        <v>Low Profit</v>
      </c>
      <c r="T912" s="15" t="str">
        <f t="shared" si="85"/>
        <v>High Sales</v>
      </c>
      <c r="U912" s="15" t="str">
        <f t="shared" si="86"/>
        <v>Good</v>
      </c>
      <c r="V912" s="15" t="str">
        <f t="shared" si="87"/>
        <v>Normal Discount</v>
      </c>
      <c r="W912" s="15">
        <f>VLOOKUP(D912,Lookup_Table!$A:$C,2,FALSE)</f>
        <v>0.15</v>
      </c>
      <c r="X912" s="15">
        <f t="shared" si="88"/>
        <v>0.42660387417807</v>
      </c>
      <c r="Y912" s="15" t="str">
        <f>VLOOKUP(D912,Lookup_Table!A:C,3,0)</f>
        <v>Priya</v>
      </c>
      <c r="Z912" s="15" t="str">
        <f t="shared" si="89"/>
        <v>Achived</v>
      </c>
    </row>
    <row r="913" spans="1:26">
      <c r="A913" s="13" t="s">
        <v>1004</v>
      </c>
      <c r="B913" s="14">
        <v>46013</v>
      </c>
      <c r="C913" s="13" t="s">
        <v>55</v>
      </c>
      <c r="D913" s="13" t="s">
        <v>60</v>
      </c>
      <c r="E913" s="13" t="s">
        <v>66</v>
      </c>
      <c r="F913" s="13" t="s">
        <v>82</v>
      </c>
      <c r="G913" s="13" t="s">
        <v>83</v>
      </c>
      <c r="H913" s="13" t="s">
        <v>77</v>
      </c>
      <c r="I913" s="13" t="s">
        <v>33</v>
      </c>
      <c r="J913" s="13">
        <v>6</v>
      </c>
      <c r="K913" s="13">
        <v>223.47</v>
      </c>
      <c r="L913" s="13">
        <v>0</v>
      </c>
      <c r="M913" s="13">
        <v>1340.82</v>
      </c>
      <c r="N913" s="13">
        <v>767.68</v>
      </c>
      <c r="O913" s="13">
        <v>573.14</v>
      </c>
      <c r="P913" s="13">
        <v>3</v>
      </c>
      <c r="Q913" s="13" t="s">
        <v>34</v>
      </c>
      <c r="R913" s="13">
        <v>2025</v>
      </c>
      <c r="S913" s="15" t="str">
        <f t="shared" si="84"/>
        <v>High Profit</v>
      </c>
      <c r="T913" s="15" t="str">
        <f t="shared" si="85"/>
        <v>High Sales</v>
      </c>
      <c r="U913" s="15" t="str">
        <f t="shared" si="86"/>
        <v>Needs Improvement</v>
      </c>
      <c r="V913" s="15" t="str">
        <f t="shared" si="87"/>
        <v>Normal Discount</v>
      </c>
      <c r="W913" s="15">
        <f>VLOOKUP(D913,Lookup_Table!$A:$C,2,FALSE)</f>
        <v>0.15</v>
      </c>
      <c r="X913" s="15">
        <f t="shared" si="88"/>
        <v>0.427454841067406</v>
      </c>
      <c r="Y913" s="15" t="str">
        <f>VLOOKUP(D913,Lookup_Table!A:C,3,0)</f>
        <v>Priya</v>
      </c>
      <c r="Z913" s="15" t="str">
        <f t="shared" si="89"/>
        <v>Achived</v>
      </c>
    </row>
    <row r="914" spans="1:26">
      <c r="A914" s="13" t="s">
        <v>1005</v>
      </c>
      <c r="B914" s="14">
        <v>45868</v>
      </c>
      <c r="C914" s="13" t="s">
        <v>27</v>
      </c>
      <c r="D914" s="13" t="s">
        <v>80</v>
      </c>
      <c r="E914" s="13" t="s">
        <v>191</v>
      </c>
      <c r="F914" s="13" t="s">
        <v>39</v>
      </c>
      <c r="G914" s="13" t="s">
        <v>40</v>
      </c>
      <c r="H914" s="13" t="s">
        <v>41</v>
      </c>
      <c r="I914" s="13" t="s">
        <v>33</v>
      </c>
      <c r="J914" s="13">
        <v>4</v>
      </c>
      <c r="K914" s="13">
        <v>11.86</v>
      </c>
      <c r="L914" s="13">
        <v>0.1</v>
      </c>
      <c r="M914" s="13">
        <v>42.7</v>
      </c>
      <c r="N914" s="13">
        <v>24.44</v>
      </c>
      <c r="O914" s="13">
        <v>18.26</v>
      </c>
      <c r="P914" s="13">
        <v>4.2</v>
      </c>
      <c r="Q914" s="13" t="s">
        <v>56</v>
      </c>
      <c r="R914" s="13">
        <v>2025</v>
      </c>
      <c r="S914" s="15" t="str">
        <f t="shared" si="84"/>
        <v>Low Profit</v>
      </c>
      <c r="T914" s="15" t="str">
        <f t="shared" si="85"/>
        <v>Low Sales</v>
      </c>
      <c r="U914" s="15" t="str">
        <f t="shared" si="86"/>
        <v>Good</v>
      </c>
      <c r="V914" s="15" t="str">
        <f t="shared" si="87"/>
        <v>Normal Discount</v>
      </c>
      <c r="W914" s="15">
        <f>VLOOKUP(D914,Lookup_Table!$A:$C,2,FALSE)</f>
        <v>0.12</v>
      </c>
      <c r="X914" s="15">
        <f t="shared" si="88"/>
        <v>0.427634660421546</v>
      </c>
      <c r="Y914" s="15" t="str">
        <f>VLOOKUP(D914,Lookup_Table!A:C,3,0)</f>
        <v>Rahul</v>
      </c>
      <c r="Z914" s="15" t="str">
        <f t="shared" si="89"/>
        <v>Achived</v>
      </c>
    </row>
    <row r="915" spans="1:26">
      <c r="A915" s="13" t="s">
        <v>1006</v>
      </c>
      <c r="B915" s="14">
        <v>45819</v>
      </c>
      <c r="C915" s="13" t="s">
        <v>55</v>
      </c>
      <c r="D915" s="13" t="s">
        <v>60</v>
      </c>
      <c r="E915" s="13" t="s">
        <v>150</v>
      </c>
      <c r="F915" s="13" t="s">
        <v>98</v>
      </c>
      <c r="G915" s="13" t="s">
        <v>99</v>
      </c>
      <c r="H915" s="13" t="s">
        <v>77</v>
      </c>
      <c r="I915" s="13" t="s">
        <v>52</v>
      </c>
      <c r="J915" s="13">
        <v>3</v>
      </c>
      <c r="K915" s="13">
        <v>667.17</v>
      </c>
      <c r="L915" s="13">
        <v>0.15</v>
      </c>
      <c r="M915" s="13">
        <v>1701.28</v>
      </c>
      <c r="N915" s="13">
        <v>973.56</v>
      </c>
      <c r="O915" s="13">
        <v>727.72</v>
      </c>
      <c r="P915" s="13">
        <v>4.2</v>
      </c>
      <c r="Q915" s="13" t="s">
        <v>58</v>
      </c>
      <c r="R915" s="13">
        <v>2025</v>
      </c>
      <c r="S915" s="15" t="str">
        <f t="shared" si="84"/>
        <v>High Profit</v>
      </c>
      <c r="T915" s="15" t="str">
        <f t="shared" si="85"/>
        <v>High Sales</v>
      </c>
      <c r="U915" s="15" t="str">
        <f t="shared" si="86"/>
        <v>Good</v>
      </c>
      <c r="V915" s="15" t="str">
        <f t="shared" si="87"/>
        <v>High Discount</v>
      </c>
      <c r="W915" s="15">
        <f>VLOOKUP(D915,Lookup_Table!$A:$C,2,FALSE)</f>
        <v>0.15</v>
      </c>
      <c r="X915" s="15">
        <f t="shared" si="88"/>
        <v>0.427748518762344</v>
      </c>
      <c r="Y915" s="15" t="str">
        <f>VLOOKUP(D915,Lookup_Table!A:C,3,0)</f>
        <v>Priya</v>
      </c>
      <c r="Z915" s="15" t="str">
        <f t="shared" si="89"/>
        <v>Achived</v>
      </c>
    </row>
    <row r="916" spans="1:26">
      <c r="A916" s="13" t="s">
        <v>1007</v>
      </c>
      <c r="B916" s="14">
        <v>45768</v>
      </c>
      <c r="C916" s="13" t="s">
        <v>27</v>
      </c>
      <c r="D916" s="13" t="s">
        <v>60</v>
      </c>
      <c r="E916" s="13" t="s">
        <v>150</v>
      </c>
      <c r="F916" s="13" t="s">
        <v>62</v>
      </c>
      <c r="G916" s="13" t="s">
        <v>63</v>
      </c>
      <c r="H916" s="13" t="s">
        <v>32</v>
      </c>
      <c r="I916" s="13" t="s">
        <v>33</v>
      </c>
      <c r="J916" s="13">
        <v>6</v>
      </c>
      <c r="K916" s="13">
        <v>459.71</v>
      </c>
      <c r="L916" s="13">
        <v>0.1</v>
      </c>
      <c r="M916" s="13">
        <v>2482.43</v>
      </c>
      <c r="N916" s="13">
        <v>1420.12</v>
      </c>
      <c r="O916" s="13">
        <v>1062.31</v>
      </c>
      <c r="P916" s="13">
        <v>3.8</v>
      </c>
      <c r="Q916" s="13" t="s">
        <v>84</v>
      </c>
      <c r="R916" s="13">
        <v>2025</v>
      </c>
      <c r="S916" s="15" t="str">
        <f t="shared" si="84"/>
        <v>High Profit</v>
      </c>
      <c r="T916" s="15" t="str">
        <f t="shared" si="85"/>
        <v>High Sales</v>
      </c>
      <c r="U916" s="15" t="str">
        <f t="shared" si="86"/>
        <v>Needs Improvement</v>
      </c>
      <c r="V916" s="15" t="str">
        <f t="shared" si="87"/>
        <v>Normal Discount</v>
      </c>
      <c r="W916" s="15">
        <f>VLOOKUP(D916,Lookup_Table!$A:$C,2,FALSE)</f>
        <v>0.15</v>
      </c>
      <c r="X916" s="15">
        <f t="shared" si="88"/>
        <v>0.427931502600275</v>
      </c>
      <c r="Y916" s="15" t="str">
        <f>VLOOKUP(D916,Lookup_Table!A:C,3,0)</f>
        <v>Priya</v>
      </c>
      <c r="Z916" s="15" t="str">
        <f t="shared" si="89"/>
        <v>Achived</v>
      </c>
    </row>
    <row r="917" spans="1:26">
      <c r="A917" s="13" t="s">
        <v>1008</v>
      </c>
      <c r="B917" s="14">
        <v>45790</v>
      </c>
      <c r="C917" s="13" t="s">
        <v>27</v>
      </c>
      <c r="D917" s="13" t="s">
        <v>80</v>
      </c>
      <c r="E917" s="13" t="s">
        <v>101</v>
      </c>
      <c r="F917" s="13" t="s">
        <v>39</v>
      </c>
      <c r="G917" s="13" t="s">
        <v>40</v>
      </c>
      <c r="H917" s="13" t="s">
        <v>41</v>
      </c>
      <c r="I917" s="13" t="s">
        <v>33</v>
      </c>
      <c r="J917" s="13">
        <v>3</v>
      </c>
      <c r="K917" s="13">
        <v>8.96</v>
      </c>
      <c r="L917" s="13">
        <v>0.05</v>
      </c>
      <c r="M917" s="13">
        <v>25.54</v>
      </c>
      <c r="N917" s="13">
        <v>14.61</v>
      </c>
      <c r="O917" s="13">
        <v>10.93</v>
      </c>
      <c r="P917" s="13">
        <v>3.1</v>
      </c>
      <c r="Q917" s="13" t="s">
        <v>42</v>
      </c>
      <c r="R917" s="13">
        <v>2025</v>
      </c>
      <c r="S917" s="15" t="str">
        <f t="shared" si="84"/>
        <v>Low Profit</v>
      </c>
      <c r="T917" s="15" t="str">
        <f t="shared" si="85"/>
        <v>Low Sales</v>
      </c>
      <c r="U917" s="15" t="str">
        <f t="shared" si="86"/>
        <v>Needs Improvement</v>
      </c>
      <c r="V917" s="15" t="str">
        <f t="shared" si="87"/>
        <v>Normal Discount</v>
      </c>
      <c r="W917" s="15">
        <f>VLOOKUP(D917,Lookup_Table!$A:$C,2,FALSE)</f>
        <v>0.12</v>
      </c>
      <c r="X917" s="15">
        <f t="shared" si="88"/>
        <v>0.427956147220047</v>
      </c>
      <c r="Y917" s="15" t="str">
        <f>VLOOKUP(D917,Lookup_Table!A:C,3,0)</f>
        <v>Rahul</v>
      </c>
      <c r="Z917" s="15" t="str">
        <f t="shared" si="89"/>
        <v>Achived</v>
      </c>
    </row>
    <row r="918" spans="1:26">
      <c r="A918" s="13" t="s">
        <v>1009</v>
      </c>
      <c r="B918" s="14">
        <v>45998</v>
      </c>
      <c r="C918" s="13" t="s">
        <v>27</v>
      </c>
      <c r="D918" s="13" t="s">
        <v>80</v>
      </c>
      <c r="E918" s="13" t="s">
        <v>101</v>
      </c>
      <c r="F918" s="13" t="s">
        <v>82</v>
      </c>
      <c r="G918" s="13" t="s">
        <v>83</v>
      </c>
      <c r="H918" s="13" t="s">
        <v>77</v>
      </c>
      <c r="I918" s="13" t="s">
        <v>96</v>
      </c>
      <c r="J918" s="13">
        <v>4</v>
      </c>
      <c r="K918" s="13">
        <v>31.37</v>
      </c>
      <c r="L918" s="13">
        <v>0.05</v>
      </c>
      <c r="M918" s="13">
        <v>119.21</v>
      </c>
      <c r="N918" s="13">
        <v>68.16</v>
      </c>
      <c r="O918" s="13">
        <v>51.05</v>
      </c>
      <c r="P918" s="13">
        <v>5</v>
      </c>
      <c r="Q918" s="13" t="s">
        <v>34</v>
      </c>
      <c r="R918" s="13">
        <v>2025</v>
      </c>
      <c r="S918" s="15" t="str">
        <f t="shared" si="84"/>
        <v>Low Profit</v>
      </c>
      <c r="T918" s="15" t="str">
        <f t="shared" si="85"/>
        <v>Low Sales</v>
      </c>
      <c r="U918" s="15" t="str">
        <f t="shared" si="86"/>
        <v>Good</v>
      </c>
      <c r="V918" s="15" t="str">
        <f t="shared" si="87"/>
        <v>Normal Discount</v>
      </c>
      <c r="W918" s="15">
        <f>VLOOKUP(D918,Lookup_Table!$A:$C,2,FALSE)</f>
        <v>0.12</v>
      </c>
      <c r="X918" s="15">
        <f t="shared" si="88"/>
        <v>0.428235886251153</v>
      </c>
      <c r="Y918" s="15" t="str">
        <f>VLOOKUP(D918,Lookup_Table!A:C,3,0)</f>
        <v>Rahul</v>
      </c>
      <c r="Z918" s="15" t="str">
        <f t="shared" si="89"/>
        <v>Achived</v>
      </c>
    </row>
    <row r="919" spans="1:26">
      <c r="A919" s="13" t="s">
        <v>1010</v>
      </c>
      <c r="B919" s="14">
        <v>45820</v>
      </c>
      <c r="C919" s="13" t="s">
        <v>55</v>
      </c>
      <c r="D919" s="13" t="s">
        <v>80</v>
      </c>
      <c r="E919" s="13" t="s">
        <v>115</v>
      </c>
      <c r="F919" s="13" t="s">
        <v>50</v>
      </c>
      <c r="G919" s="13" t="s">
        <v>51</v>
      </c>
      <c r="H919" s="13" t="s">
        <v>32</v>
      </c>
      <c r="I919" s="13" t="s">
        <v>46</v>
      </c>
      <c r="J919" s="13">
        <v>3</v>
      </c>
      <c r="K919" s="13">
        <v>68.9</v>
      </c>
      <c r="L919" s="13">
        <v>0.15</v>
      </c>
      <c r="M919" s="13">
        <v>175.7</v>
      </c>
      <c r="N919" s="13">
        <v>100.45</v>
      </c>
      <c r="O919" s="13">
        <v>75.25</v>
      </c>
      <c r="P919" s="13">
        <v>3.6</v>
      </c>
      <c r="Q919" s="13" t="s">
        <v>58</v>
      </c>
      <c r="R919" s="13">
        <v>2025</v>
      </c>
      <c r="S919" s="15" t="str">
        <f t="shared" si="84"/>
        <v>Low Profit</v>
      </c>
      <c r="T919" s="15" t="str">
        <f t="shared" si="85"/>
        <v>Low Sales</v>
      </c>
      <c r="U919" s="15" t="str">
        <f t="shared" si="86"/>
        <v>Needs Improvement</v>
      </c>
      <c r="V919" s="15" t="str">
        <f t="shared" si="87"/>
        <v>High Discount</v>
      </c>
      <c r="W919" s="15">
        <f>VLOOKUP(D919,Lookup_Table!$A:$C,2,FALSE)</f>
        <v>0.12</v>
      </c>
      <c r="X919" s="15">
        <f t="shared" si="88"/>
        <v>0.428286852589641</v>
      </c>
      <c r="Y919" s="15" t="str">
        <f>VLOOKUP(D919,Lookup_Table!A:C,3,0)</f>
        <v>Rahul</v>
      </c>
      <c r="Z919" s="15" t="str">
        <f t="shared" si="89"/>
        <v>Achived</v>
      </c>
    </row>
    <row r="920" spans="1:26">
      <c r="A920" s="13" t="s">
        <v>1011</v>
      </c>
      <c r="B920" s="14">
        <v>45857</v>
      </c>
      <c r="C920" s="13" t="s">
        <v>55</v>
      </c>
      <c r="D920" s="13" t="s">
        <v>60</v>
      </c>
      <c r="E920" s="13" t="s">
        <v>66</v>
      </c>
      <c r="F920" s="13" t="s">
        <v>116</v>
      </c>
      <c r="G920" s="13" t="s">
        <v>117</v>
      </c>
      <c r="H920" s="13" t="s">
        <v>32</v>
      </c>
      <c r="I920" s="13" t="s">
        <v>96</v>
      </c>
      <c r="J920" s="13">
        <v>4</v>
      </c>
      <c r="K920" s="13">
        <v>696.34</v>
      </c>
      <c r="L920" s="13">
        <v>0.15</v>
      </c>
      <c r="M920" s="13">
        <v>2367.56</v>
      </c>
      <c r="N920" s="13">
        <v>1353.56</v>
      </c>
      <c r="O920" s="13">
        <v>1014</v>
      </c>
      <c r="P920" s="13">
        <v>4.7</v>
      </c>
      <c r="Q920" s="13" t="s">
        <v>56</v>
      </c>
      <c r="R920" s="13">
        <v>2025</v>
      </c>
      <c r="S920" s="15" t="str">
        <f t="shared" si="84"/>
        <v>High Profit</v>
      </c>
      <c r="T920" s="15" t="str">
        <f t="shared" si="85"/>
        <v>High Sales</v>
      </c>
      <c r="U920" s="15" t="str">
        <f t="shared" si="86"/>
        <v>Good</v>
      </c>
      <c r="V920" s="15" t="str">
        <f t="shared" si="87"/>
        <v>High Discount</v>
      </c>
      <c r="W920" s="15">
        <f>VLOOKUP(D920,Lookup_Table!$A:$C,2,FALSE)</f>
        <v>0.15</v>
      </c>
      <c r="X920" s="15">
        <f t="shared" si="88"/>
        <v>0.428289040193279</v>
      </c>
      <c r="Y920" s="15" t="str">
        <f>VLOOKUP(D920,Lookup_Table!A:C,3,0)</f>
        <v>Priya</v>
      </c>
      <c r="Z920" s="15" t="str">
        <f t="shared" si="89"/>
        <v>Achived</v>
      </c>
    </row>
    <row r="921" spans="1:26">
      <c r="A921" s="13" t="s">
        <v>1012</v>
      </c>
      <c r="B921" s="14">
        <v>45869</v>
      </c>
      <c r="C921" s="13" t="s">
        <v>36</v>
      </c>
      <c r="D921" s="13" t="s">
        <v>37</v>
      </c>
      <c r="E921" s="13" t="s">
        <v>93</v>
      </c>
      <c r="F921" s="13" t="s">
        <v>67</v>
      </c>
      <c r="G921" s="13" t="s">
        <v>68</v>
      </c>
      <c r="H921" s="13" t="s">
        <v>69</v>
      </c>
      <c r="I921" s="13" t="s">
        <v>46</v>
      </c>
      <c r="J921" s="13">
        <v>7</v>
      </c>
      <c r="K921" s="13">
        <v>81.62</v>
      </c>
      <c r="L921" s="13">
        <v>0</v>
      </c>
      <c r="M921" s="13">
        <v>571.34</v>
      </c>
      <c r="N921" s="13">
        <v>326.62</v>
      </c>
      <c r="O921" s="13">
        <v>244.72</v>
      </c>
      <c r="P921" s="13">
        <v>3</v>
      </c>
      <c r="Q921" s="13" t="s">
        <v>56</v>
      </c>
      <c r="R921" s="13">
        <v>2025</v>
      </c>
      <c r="S921" s="15" t="str">
        <f t="shared" si="84"/>
        <v>Low Profit</v>
      </c>
      <c r="T921" s="15" t="str">
        <f t="shared" si="85"/>
        <v>Low Sales</v>
      </c>
      <c r="U921" s="15" t="str">
        <f t="shared" si="86"/>
        <v>Needs Improvement</v>
      </c>
      <c r="V921" s="15" t="str">
        <f t="shared" si="87"/>
        <v>Normal Discount</v>
      </c>
      <c r="W921" s="15">
        <f>VLOOKUP(D921,Lookup_Table!$A:$C,2,FALSE)</f>
        <v>0.16</v>
      </c>
      <c r="X921" s="15">
        <f t="shared" si="88"/>
        <v>0.428326390590542</v>
      </c>
      <c r="Y921" s="15" t="str">
        <f>VLOOKUP(D921,Lookup_Table!A:C,3,0)</f>
        <v>Vikram</v>
      </c>
      <c r="Z921" s="15" t="str">
        <f t="shared" si="89"/>
        <v>Achived</v>
      </c>
    </row>
    <row r="922" spans="1:26">
      <c r="A922" s="13" t="s">
        <v>1013</v>
      </c>
      <c r="B922" s="14">
        <v>45899</v>
      </c>
      <c r="C922" s="13" t="s">
        <v>55</v>
      </c>
      <c r="D922" s="13" t="s">
        <v>44</v>
      </c>
      <c r="E922" s="13" t="s">
        <v>143</v>
      </c>
      <c r="F922" s="13" t="s">
        <v>67</v>
      </c>
      <c r="G922" s="13" t="s">
        <v>68</v>
      </c>
      <c r="H922" s="13" t="s">
        <v>69</v>
      </c>
      <c r="I922" s="13" t="s">
        <v>46</v>
      </c>
      <c r="J922" s="13">
        <v>3</v>
      </c>
      <c r="K922" s="13">
        <v>1354.29</v>
      </c>
      <c r="L922" s="13">
        <v>0.1</v>
      </c>
      <c r="M922" s="13">
        <v>3656.58</v>
      </c>
      <c r="N922" s="13">
        <v>2088.41</v>
      </c>
      <c r="O922" s="13">
        <v>1568.17</v>
      </c>
      <c r="P922" s="13">
        <v>2.8</v>
      </c>
      <c r="Q922" s="13" t="s">
        <v>47</v>
      </c>
      <c r="R922" s="13">
        <v>2025</v>
      </c>
      <c r="S922" s="15" t="str">
        <f t="shared" si="84"/>
        <v>High Profit</v>
      </c>
      <c r="T922" s="15" t="str">
        <f t="shared" si="85"/>
        <v>High Sales</v>
      </c>
      <c r="U922" s="15" t="str">
        <f t="shared" si="86"/>
        <v>Needs Improvement</v>
      </c>
      <c r="V922" s="15" t="str">
        <f t="shared" si="87"/>
        <v>Normal Discount</v>
      </c>
      <c r="W922" s="15">
        <f>VLOOKUP(D922,Lookup_Table!$A:$C,2,FALSE)</f>
        <v>0.18</v>
      </c>
      <c r="X922" s="15">
        <f t="shared" si="88"/>
        <v>0.428862488992446</v>
      </c>
      <c r="Y922" s="15" t="str">
        <f>VLOOKUP(D922,Lookup_Table!A:C,3,0)</f>
        <v>Amit</v>
      </c>
      <c r="Z922" s="15" t="str">
        <f t="shared" si="89"/>
        <v>Achived</v>
      </c>
    </row>
    <row r="923" spans="1:26">
      <c r="A923" s="13" t="s">
        <v>1014</v>
      </c>
      <c r="B923" s="14">
        <v>45890</v>
      </c>
      <c r="C923" s="13" t="s">
        <v>36</v>
      </c>
      <c r="D923" s="13" t="s">
        <v>28</v>
      </c>
      <c r="E923" s="13" t="s">
        <v>73</v>
      </c>
      <c r="F923" s="13" t="s">
        <v>30</v>
      </c>
      <c r="G923" s="13" t="s">
        <v>31</v>
      </c>
      <c r="H923" s="13" t="s">
        <v>32</v>
      </c>
      <c r="I923" s="13" t="s">
        <v>33</v>
      </c>
      <c r="J923" s="13">
        <v>2</v>
      </c>
      <c r="K923" s="13">
        <v>56.02</v>
      </c>
      <c r="L923" s="13">
        <v>0</v>
      </c>
      <c r="M923" s="13">
        <v>112.04</v>
      </c>
      <c r="N923" s="13">
        <v>63.91</v>
      </c>
      <c r="O923" s="13">
        <v>48.13</v>
      </c>
      <c r="P923" s="13">
        <v>2.7</v>
      </c>
      <c r="Q923" s="13" t="s">
        <v>47</v>
      </c>
      <c r="R923" s="13">
        <v>2025</v>
      </c>
      <c r="S923" s="15" t="str">
        <f t="shared" si="84"/>
        <v>Low Profit</v>
      </c>
      <c r="T923" s="15" t="str">
        <f t="shared" si="85"/>
        <v>Low Sales</v>
      </c>
      <c r="U923" s="15" t="str">
        <f t="shared" si="86"/>
        <v>Needs Improvement</v>
      </c>
      <c r="V923" s="15" t="str">
        <f t="shared" si="87"/>
        <v>Normal Discount</v>
      </c>
      <c r="W923" s="15">
        <f>VLOOKUP(D923,Lookup_Table!$A:$C,2,FALSE)</f>
        <v>0.2</v>
      </c>
      <c r="X923" s="15">
        <f t="shared" si="88"/>
        <v>0.429578721885041</v>
      </c>
      <c r="Y923" s="15" t="str">
        <f>VLOOKUP(D923,Lookup_Table!A:C,3,0)</f>
        <v>Sneha</v>
      </c>
      <c r="Z923" s="15" t="str">
        <f t="shared" si="89"/>
        <v>Achived</v>
      </c>
    </row>
    <row r="924" spans="1:26">
      <c r="A924" s="13" t="s">
        <v>1015</v>
      </c>
      <c r="B924" s="14">
        <v>45688</v>
      </c>
      <c r="C924" s="13" t="s">
        <v>55</v>
      </c>
      <c r="D924" s="13" t="s">
        <v>28</v>
      </c>
      <c r="E924" s="13" t="s">
        <v>73</v>
      </c>
      <c r="F924" s="13" t="s">
        <v>67</v>
      </c>
      <c r="G924" s="13" t="s">
        <v>68</v>
      </c>
      <c r="H924" s="13" t="s">
        <v>69</v>
      </c>
      <c r="I924" s="13" t="s">
        <v>96</v>
      </c>
      <c r="J924" s="13">
        <v>1</v>
      </c>
      <c r="K924" s="13">
        <v>95.06</v>
      </c>
      <c r="L924" s="13">
        <v>0</v>
      </c>
      <c r="M924" s="13">
        <v>95.06</v>
      </c>
      <c r="N924" s="13">
        <v>54.2</v>
      </c>
      <c r="O924" s="13">
        <v>40.86</v>
      </c>
      <c r="P924" s="13">
        <v>3.1</v>
      </c>
      <c r="Q924" s="13" t="s">
        <v>64</v>
      </c>
      <c r="R924" s="13">
        <v>2025</v>
      </c>
      <c r="S924" s="15" t="str">
        <f t="shared" si="84"/>
        <v>Low Profit</v>
      </c>
      <c r="T924" s="15" t="str">
        <f t="shared" si="85"/>
        <v>Low Sales</v>
      </c>
      <c r="U924" s="15" t="str">
        <f t="shared" si="86"/>
        <v>Needs Improvement</v>
      </c>
      <c r="V924" s="15" t="str">
        <f t="shared" si="87"/>
        <v>Normal Discount</v>
      </c>
      <c r="W924" s="15">
        <f>VLOOKUP(D924,Lookup_Table!$A:$C,2,FALSE)</f>
        <v>0.2</v>
      </c>
      <c r="X924" s="15">
        <f t="shared" si="88"/>
        <v>0.429833789185777</v>
      </c>
      <c r="Y924" s="15" t="str">
        <f>VLOOKUP(D924,Lookup_Table!A:C,3,0)</f>
        <v>Sneha</v>
      </c>
      <c r="Z924" s="15" t="str">
        <f t="shared" si="89"/>
        <v>Achived</v>
      </c>
    </row>
    <row r="925" spans="1:26">
      <c r="A925" s="13" t="s">
        <v>1016</v>
      </c>
      <c r="B925" s="14">
        <v>45910</v>
      </c>
      <c r="C925" s="13" t="s">
        <v>27</v>
      </c>
      <c r="D925" s="13" t="s">
        <v>60</v>
      </c>
      <c r="E925" s="13" t="s">
        <v>127</v>
      </c>
      <c r="F925" s="13" t="s">
        <v>82</v>
      </c>
      <c r="G925" s="13" t="s">
        <v>83</v>
      </c>
      <c r="H925" s="13" t="s">
        <v>77</v>
      </c>
      <c r="I925" s="13" t="s">
        <v>33</v>
      </c>
      <c r="J925" s="13">
        <v>7</v>
      </c>
      <c r="K925" s="13">
        <v>390.27</v>
      </c>
      <c r="L925" s="13">
        <v>0</v>
      </c>
      <c r="M925" s="13">
        <v>2731.89</v>
      </c>
      <c r="N925" s="13">
        <v>1557.44</v>
      </c>
      <c r="O925" s="13">
        <v>1174.45</v>
      </c>
      <c r="P925" s="13">
        <v>4</v>
      </c>
      <c r="Q925" s="13" t="s">
        <v>53</v>
      </c>
      <c r="R925" s="13">
        <v>2025</v>
      </c>
      <c r="S925" s="15" t="str">
        <f t="shared" si="84"/>
        <v>High Profit</v>
      </c>
      <c r="T925" s="15" t="str">
        <f t="shared" si="85"/>
        <v>High Sales</v>
      </c>
      <c r="U925" s="15" t="str">
        <f t="shared" si="86"/>
        <v>Good</v>
      </c>
      <c r="V925" s="15" t="str">
        <f t="shared" si="87"/>
        <v>Normal Discount</v>
      </c>
      <c r="W925" s="15">
        <f>VLOOKUP(D925,Lookup_Table!$A:$C,2,FALSE)</f>
        <v>0.15</v>
      </c>
      <c r="X925" s="15">
        <f t="shared" si="88"/>
        <v>0.42990383946645</v>
      </c>
      <c r="Y925" s="15" t="str">
        <f>VLOOKUP(D925,Lookup_Table!A:C,3,0)</f>
        <v>Priya</v>
      </c>
      <c r="Z925" s="15" t="str">
        <f t="shared" si="89"/>
        <v>Achived</v>
      </c>
    </row>
    <row r="926" spans="1:26">
      <c r="A926" s="13" t="s">
        <v>1017</v>
      </c>
      <c r="B926" s="14">
        <v>45908</v>
      </c>
      <c r="C926" s="13" t="s">
        <v>36</v>
      </c>
      <c r="D926" s="13" t="s">
        <v>60</v>
      </c>
      <c r="E926" s="13" t="s">
        <v>66</v>
      </c>
      <c r="F926" s="13" t="s">
        <v>39</v>
      </c>
      <c r="G926" s="13" t="s">
        <v>40</v>
      </c>
      <c r="H926" s="13" t="s">
        <v>41</v>
      </c>
      <c r="I926" s="13" t="s">
        <v>52</v>
      </c>
      <c r="J926" s="13">
        <v>5</v>
      </c>
      <c r="K926" s="13">
        <v>482.56</v>
      </c>
      <c r="L926" s="13">
        <v>0.05</v>
      </c>
      <c r="M926" s="13">
        <v>2292.16</v>
      </c>
      <c r="N926" s="13">
        <v>1306.35</v>
      </c>
      <c r="O926" s="13">
        <v>985.81</v>
      </c>
      <c r="P926" s="13">
        <v>3.5</v>
      </c>
      <c r="Q926" s="13" t="s">
        <v>53</v>
      </c>
      <c r="R926" s="13">
        <v>2025</v>
      </c>
      <c r="S926" s="15" t="str">
        <f t="shared" si="84"/>
        <v>High Profit</v>
      </c>
      <c r="T926" s="15" t="str">
        <f t="shared" si="85"/>
        <v>High Sales</v>
      </c>
      <c r="U926" s="15" t="str">
        <f t="shared" si="86"/>
        <v>Needs Improvement</v>
      </c>
      <c r="V926" s="15" t="str">
        <f t="shared" si="87"/>
        <v>Normal Discount</v>
      </c>
      <c r="W926" s="15">
        <f>VLOOKUP(D926,Lookup_Table!$A:$C,2,FALSE)</f>
        <v>0.15</v>
      </c>
      <c r="X926" s="15">
        <f t="shared" si="88"/>
        <v>0.430079052073154</v>
      </c>
      <c r="Y926" s="15" t="str">
        <f>VLOOKUP(D926,Lookup_Table!A:C,3,0)</f>
        <v>Priya</v>
      </c>
      <c r="Z926" s="15" t="str">
        <f t="shared" si="89"/>
        <v>Achived</v>
      </c>
    </row>
    <row r="927" spans="1:26">
      <c r="A927" s="13" t="s">
        <v>1018</v>
      </c>
      <c r="B927" s="14">
        <v>45748</v>
      </c>
      <c r="C927" s="13" t="s">
        <v>36</v>
      </c>
      <c r="D927" s="13" t="s">
        <v>44</v>
      </c>
      <c r="E927" s="13" t="s">
        <v>137</v>
      </c>
      <c r="F927" s="13" t="s">
        <v>39</v>
      </c>
      <c r="G927" s="13" t="s">
        <v>40</v>
      </c>
      <c r="H927" s="13" t="s">
        <v>41</v>
      </c>
      <c r="I927" s="13" t="s">
        <v>96</v>
      </c>
      <c r="J927" s="13">
        <v>1</v>
      </c>
      <c r="K927" s="13">
        <v>1021.5</v>
      </c>
      <c r="L927" s="13">
        <v>0.2</v>
      </c>
      <c r="M927" s="13">
        <v>817.2</v>
      </c>
      <c r="N927" s="13">
        <v>465.6</v>
      </c>
      <c r="O927" s="13">
        <v>351.6</v>
      </c>
      <c r="P927" s="13">
        <v>3.1</v>
      </c>
      <c r="Q927" s="13" t="s">
        <v>84</v>
      </c>
      <c r="R927" s="13">
        <v>2025</v>
      </c>
      <c r="S927" s="15" t="str">
        <f t="shared" si="84"/>
        <v>Low Profit</v>
      </c>
      <c r="T927" s="15" t="str">
        <f t="shared" si="85"/>
        <v>Low Sales</v>
      </c>
      <c r="U927" s="15" t="str">
        <f t="shared" si="86"/>
        <v>Needs Improvement</v>
      </c>
      <c r="V927" s="15" t="str">
        <f t="shared" si="87"/>
        <v>High Discount</v>
      </c>
      <c r="W927" s="15">
        <f>VLOOKUP(D927,Lookup_Table!$A:$C,2,FALSE)</f>
        <v>0.18</v>
      </c>
      <c r="X927" s="15">
        <f t="shared" si="88"/>
        <v>0.430249632892805</v>
      </c>
      <c r="Y927" s="15" t="str">
        <f>VLOOKUP(D927,Lookup_Table!A:C,3,0)</f>
        <v>Amit</v>
      </c>
      <c r="Z927" s="15" t="str">
        <f t="shared" si="89"/>
        <v>Achived</v>
      </c>
    </row>
    <row r="928" spans="1:26">
      <c r="A928" s="13" t="s">
        <v>1019</v>
      </c>
      <c r="B928" s="14">
        <v>45865</v>
      </c>
      <c r="C928" s="13" t="s">
        <v>55</v>
      </c>
      <c r="D928" s="13" t="s">
        <v>37</v>
      </c>
      <c r="E928" s="13" t="s">
        <v>38</v>
      </c>
      <c r="F928" s="13" t="s">
        <v>50</v>
      </c>
      <c r="G928" s="13" t="s">
        <v>51</v>
      </c>
      <c r="H928" s="13" t="s">
        <v>32</v>
      </c>
      <c r="I928" s="13" t="s">
        <v>33</v>
      </c>
      <c r="J928" s="13">
        <v>6</v>
      </c>
      <c r="K928" s="13">
        <v>155.14</v>
      </c>
      <c r="L928" s="13">
        <v>0.1</v>
      </c>
      <c r="M928" s="13">
        <v>837.76</v>
      </c>
      <c r="N928" s="13">
        <v>477.26</v>
      </c>
      <c r="O928" s="13">
        <v>360.5</v>
      </c>
      <c r="P928" s="13">
        <v>3.7</v>
      </c>
      <c r="Q928" s="13" t="s">
        <v>56</v>
      </c>
      <c r="R928" s="13">
        <v>2025</v>
      </c>
      <c r="S928" s="15" t="str">
        <f t="shared" si="84"/>
        <v>Low Profit</v>
      </c>
      <c r="T928" s="15" t="str">
        <f t="shared" si="85"/>
        <v>Low Sales</v>
      </c>
      <c r="U928" s="15" t="str">
        <f t="shared" si="86"/>
        <v>Needs Improvement</v>
      </c>
      <c r="V928" s="15" t="str">
        <f t="shared" si="87"/>
        <v>Normal Discount</v>
      </c>
      <c r="W928" s="15">
        <f>VLOOKUP(D928,Lookup_Table!$A:$C,2,FALSE)</f>
        <v>0.16</v>
      </c>
      <c r="X928" s="15">
        <f t="shared" si="88"/>
        <v>0.430314171122995</v>
      </c>
      <c r="Y928" s="15" t="str">
        <f>VLOOKUP(D928,Lookup_Table!A:C,3,0)</f>
        <v>Vikram</v>
      </c>
      <c r="Z928" s="15" t="str">
        <f t="shared" si="89"/>
        <v>Achived</v>
      </c>
    </row>
    <row r="929" spans="1:26">
      <c r="A929" s="13" t="s">
        <v>1020</v>
      </c>
      <c r="B929" s="14">
        <v>45910</v>
      </c>
      <c r="C929" s="13" t="s">
        <v>55</v>
      </c>
      <c r="D929" s="13" t="s">
        <v>80</v>
      </c>
      <c r="E929" s="13" t="s">
        <v>101</v>
      </c>
      <c r="F929" s="13" t="s">
        <v>30</v>
      </c>
      <c r="G929" s="13" t="s">
        <v>31</v>
      </c>
      <c r="H929" s="13" t="s">
        <v>32</v>
      </c>
      <c r="I929" s="13" t="s">
        <v>46</v>
      </c>
      <c r="J929" s="13">
        <v>6</v>
      </c>
      <c r="K929" s="13">
        <v>46.03</v>
      </c>
      <c r="L929" s="13">
        <v>0.05</v>
      </c>
      <c r="M929" s="13">
        <v>262.37</v>
      </c>
      <c r="N929" s="13">
        <v>149.15</v>
      </c>
      <c r="O929" s="13">
        <v>113.22</v>
      </c>
      <c r="P929" s="13">
        <v>4.3</v>
      </c>
      <c r="Q929" s="13" t="s">
        <v>53</v>
      </c>
      <c r="R929" s="13">
        <v>2025</v>
      </c>
      <c r="S929" s="15" t="str">
        <f t="shared" si="84"/>
        <v>Low Profit</v>
      </c>
      <c r="T929" s="15" t="str">
        <f t="shared" si="85"/>
        <v>Low Sales</v>
      </c>
      <c r="U929" s="15" t="str">
        <f t="shared" si="86"/>
        <v>Good</v>
      </c>
      <c r="V929" s="15" t="str">
        <f t="shared" si="87"/>
        <v>Normal Discount</v>
      </c>
      <c r="W929" s="15">
        <f>VLOOKUP(D929,Lookup_Table!$A:$C,2,FALSE)</f>
        <v>0.12</v>
      </c>
      <c r="X929" s="15">
        <f t="shared" si="88"/>
        <v>0.431527994816481</v>
      </c>
      <c r="Y929" s="15" t="str">
        <f>VLOOKUP(D929,Lookup_Table!A:C,3,0)</f>
        <v>Rahul</v>
      </c>
      <c r="Z929" s="15" t="str">
        <f t="shared" si="89"/>
        <v>Achived</v>
      </c>
    </row>
    <row r="930" spans="1:26">
      <c r="A930" s="13" t="s">
        <v>1021</v>
      </c>
      <c r="B930" s="14">
        <v>45903</v>
      </c>
      <c r="C930" s="13" t="s">
        <v>27</v>
      </c>
      <c r="D930" s="13" t="s">
        <v>60</v>
      </c>
      <c r="E930" s="13" t="s">
        <v>127</v>
      </c>
      <c r="F930" s="13" t="s">
        <v>39</v>
      </c>
      <c r="G930" s="13" t="s">
        <v>40</v>
      </c>
      <c r="H930" s="13" t="s">
        <v>41</v>
      </c>
      <c r="I930" s="13" t="s">
        <v>96</v>
      </c>
      <c r="J930" s="13">
        <v>3</v>
      </c>
      <c r="K930" s="13">
        <v>880.69</v>
      </c>
      <c r="L930" s="13">
        <v>0.15</v>
      </c>
      <c r="M930" s="13">
        <v>2245.76</v>
      </c>
      <c r="N930" s="13">
        <v>1276.41</v>
      </c>
      <c r="O930" s="13">
        <v>969.35</v>
      </c>
      <c r="P930" s="13">
        <v>4.2</v>
      </c>
      <c r="Q930" s="13" t="s">
        <v>53</v>
      </c>
      <c r="R930" s="13">
        <v>2025</v>
      </c>
      <c r="S930" s="15" t="str">
        <f t="shared" si="84"/>
        <v>High Profit</v>
      </c>
      <c r="T930" s="15" t="str">
        <f t="shared" si="85"/>
        <v>High Sales</v>
      </c>
      <c r="U930" s="15" t="str">
        <f t="shared" si="86"/>
        <v>Good</v>
      </c>
      <c r="V930" s="15" t="str">
        <f t="shared" si="87"/>
        <v>High Discount</v>
      </c>
      <c r="W930" s="15">
        <f>VLOOKUP(D930,Lookup_Table!$A:$C,2,FALSE)</f>
        <v>0.15</v>
      </c>
      <c r="X930" s="15">
        <f t="shared" si="88"/>
        <v>0.431635615559989</v>
      </c>
      <c r="Y930" s="15" t="str">
        <f>VLOOKUP(D930,Lookup_Table!A:C,3,0)</f>
        <v>Priya</v>
      </c>
      <c r="Z930" s="15" t="str">
        <f t="shared" si="89"/>
        <v>Achived</v>
      </c>
    </row>
    <row r="931" spans="1:26">
      <c r="A931" s="13" t="s">
        <v>1022</v>
      </c>
      <c r="B931" s="14">
        <v>45965</v>
      </c>
      <c r="C931" s="13" t="s">
        <v>55</v>
      </c>
      <c r="D931" s="13" t="s">
        <v>37</v>
      </c>
      <c r="E931" s="13" t="s">
        <v>93</v>
      </c>
      <c r="F931" s="13" t="s">
        <v>116</v>
      </c>
      <c r="G931" s="13" t="s">
        <v>117</v>
      </c>
      <c r="H931" s="13" t="s">
        <v>32</v>
      </c>
      <c r="I931" s="13" t="s">
        <v>33</v>
      </c>
      <c r="J931" s="13">
        <v>3</v>
      </c>
      <c r="K931" s="13">
        <v>26.99</v>
      </c>
      <c r="L931" s="13">
        <v>0.15</v>
      </c>
      <c r="M931" s="13">
        <v>68.82</v>
      </c>
      <c r="N931" s="13">
        <v>39.1</v>
      </c>
      <c r="O931" s="13">
        <v>29.72</v>
      </c>
      <c r="P931" s="13">
        <v>2.9</v>
      </c>
      <c r="Q931" s="13" t="s">
        <v>71</v>
      </c>
      <c r="R931" s="13">
        <v>2025</v>
      </c>
      <c r="S931" s="15" t="str">
        <f t="shared" si="84"/>
        <v>Low Profit</v>
      </c>
      <c r="T931" s="15" t="str">
        <f t="shared" si="85"/>
        <v>Low Sales</v>
      </c>
      <c r="U931" s="15" t="str">
        <f t="shared" si="86"/>
        <v>Needs Improvement</v>
      </c>
      <c r="V931" s="15" t="str">
        <f t="shared" si="87"/>
        <v>High Discount</v>
      </c>
      <c r="W931" s="15">
        <f>VLOOKUP(D931,Lookup_Table!$A:$C,2,FALSE)</f>
        <v>0.16</v>
      </c>
      <c r="X931" s="15">
        <f t="shared" si="88"/>
        <v>0.431851206044754</v>
      </c>
      <c r="Y931" s="15" t="str">
        <f>VLOOKUP(D931,Lookup_Table!A:C,3,0)</f>
        <v>Vikram</v>
      </c>
      <c r="Z931" s="15" t="str">
        <f t="shared" si="89"/>
        <v>Achived</v>
      </c>
    </row>
    <row r="932" spans="1:26">
      <c r="A932" s="13" t="s">
        <v>1023</v>
      </c>
      <c r="B932" s="14">
        <v>45887</v>
      </c>
      <c r="C932" s="13" t="s">
        <v>55</v>
      </c>
      <c r="D932" s="13" t="s">
        <v>28</v>
      </c>
      <c r="E932" s="13" t="s">
        <v>73</v>
      </c>
      <c r="F932" s="13" t="s">
        <v>39</v>
      </c>
      <c r="G932" s="13" t="s">
        <v>40</v>
      </c>
      <c r="H932" s="13" t="s">
        <v>41</v>
      </c>
      <c r="I932" s="13" t="s">
        <v>96</v>
      </c>
      <c r="J932" s="13">
        <v>3</v>
      </c>
      <c r="K932" s="13">
        <v>78.7</v>
      </c>
      <c r="L932" s="13">
        <v>0</v>
      </c>
      <c r="M932" s="13">
        <v>236.1</v>
      </c>
      <c r="N932" s="13">
        <v>133.86</v>
      </c>
      <c r="O932" s="13">
        <v>102.24</v>
      </c>
      <c r="P932" s="13">
        <v>3.5</v>
      </c>
      <c r="Q932" s="13" t="s">
        <v>47</v>
      </c>
      <c r="R932" s="13">
        <v>2025</v>
      </c>
      <c r="S932" s="15" t="str">
        <f t="shared" si="84"/>
        <v>Low Profit</v>
      </c>
      <c r="T932" s="15" t="str">
        <f t="shared" si="85"/>
        <v>Low Sales</v>
      </c>
      <c r="U932" s="15" t="str">
        <f t="shared" si="86"/>
        <v>Needs Improvement</v>
      </c>
      <c r="V932" s="15" t="str">
        <f t="shared" si="87"/>
        <v>Normal Discount</v>
      </c>
      <c r="W932" s="15">
        <f>VLOOKUP(D932,Lookup_Table!$A:$C,2,FALSE)</f>
        <v>0.2</v>
      </c>
      <c r="X932" s="15">
        <f t="shared" si="88"/>
        <v>0.433036848792884</v>
      </c>
      <c r="Y932" s="15" t="str">
        <f>VLOOKUP(D932,Lookup_Table!A:C,3,0)</f>
        <v>Sneha</v>
      </c>
      <c r="Z932" s="15" t="str">
        <f t="shared" si="89"/>
        <v>Achived</v>
      </c>
    </row>
    <row r="933" spans="1:26">
      <c r="A933" s="13" t="s">
        <v>1024</v>
      </c>
      <c r="B933" s="14">
        <v>45669</v>
      </c>
      <c r="C933" s="13" t="s">
        <v>55</v>
      </c>
      <c r="D933" s="13" t="s">
        <v>60</v>
      </c>
      <c r="E933" s="13" t="s">
        <v>127</v>
      </c>
      <c r="F933" s="13" t="s">
        <v>75</v>
      </c>
      <c r="G933" s="13" t="s">
        <v>76</v>
      </c>
      <c r="H933" s="13" t="s">
        <v>77</v>
      </c>
      <c r="I933" s="13" t="s">
        <v>46</v>
      </c>
      <c r="J933" s="13">
        <v>1</v>
      </c>
      <c r="K933" s="13">
        <v>208.46</v>
      </c>
      <c r="L933" s="13">
        <v>0</v>
      </c>
      <c r="M933" s="13">
        <v>208.46</v>
      </c>
      <c r="N933" s="13">
        <v>118.18</v>
      </c>
      <c r="O933" s="13">
        <v>90.28</v>
      </c>
      <c r="P933" s="13">
        <v>4.6</v>
      </c>
      <c r="Q933" s="13" t="s">
        <v>64</v>
      </c>
      <c r="R933" s="13">
        <v>2025</v>
      </c>
      <c r="S933" s="15" t="str">
        <f t="shared" si="84"/>
        <v>Low Profit</v>
      </c>
      <c r="T933" s="15" t="str">
        <f t="shared" si="85"/>
        <v>Low Sales</v>
      </c>
      <c r="U933" s="15" t="str">
        <f t="shared" si="86"/>
        <v>Good</v>
      </c>
      <c r="V933" s="15" t="str">
        <f t="shared" si="87"/>
        <v>Normal Discount</v>
      </c>
      <c r="W933" s="15">
        <f>VLOOKUP(D933,Lookup_Table!$A:$C,2,FALSE)</f>
        <v>0.15</v>
      </c>
      <c r="X933" s="15">
        <f t="shared" si="88"/>
        <v>0.433080686942339</v>
      </c>
      <c r="Y933" s="15" t="str">
        <f>VLOOKUP(D933,Lookup_Table!A:C,3,0)</f>
        <v>Priya</v>
      </c>
      <c r="Z933" s="15" t="str">
        <f t="shared" si="89"/>
        <v>Achived</v>
      </c>
    </row>
    <row r="934" spans="1:26">
      <c r="A934" s="13" t="s">
        <v>1025</v>
      </c>
      <c r="B934" s="14">
        <v>45992</v>
      </c>
      <c r="C934" s="13" t="s">
        <v>27</v>
      </c>
      <c r="D934" s="13" t="s">
        <v>80</v>
      </c>
      <c r="E934" s="13" t="s">
        <v>191</v>
      </c>
      <c r="F934" s="13" t="s">
        <v>62</v>
      </c>
      <c r="G934" s="13" t="s">
        <v>63</v>
      </c>
      <c r="H934" s="13" t="s">
        <v>32</v>
      </c>
      <c r="I934" s="13" t="s">
        <v>46</v>
      </c>
      <c r="J934" s="13">
        <v>2</v>
      </c>
      <c r="K934" s="13">
        <v>22.75</v>
      </c>
      <c r="L934" s="13">
        <v>0</v>
      </c>
      <c r="M934" s="13">
        <v>45.5</v>
      </c>
      <c r="N934" s="13">
        <v>25.79</v>
      </c>
      <c r="O934" s="13">
        <v>19.71</v>
      </c>
      <c r="P934" s="13">
        <v>4</v>
      </c>
      <c r="Q934" s="13" t="s">
        <v>34</v>
      </c>
      <c r="R934" s="13">
        <v>2025</v>
      </c>
      <c r="S934" s="15" t="str">
        <f t="shared" si="84"/>
        <v>Low Profit</v>
      </c>
      <c r="T934" s="15" t="str">
        <f t="shared" si="85"/>
        <v>Low Sales</v>
      </c>
      <c r="U934" s="15" t="str">
        <f t="shared" si="86"/>
        <v>Good</v>
      </c>
      <c r="V934" s="15" t="str">
        <f t="shared" si="87"/>
        <v>Normal Discount</v>
      </c>
      <c r="W934" s="15">
        <f>VLOOKUP(D934,Lookup_Table!$A:$C,2,FALSE)</f>
        <v>0.12</v>
      </c>
      <c r="X934" s="15">
        <f t="shared" si="88"/>
        <v>0.433186813186813</v>
      </c>
      <c r="Y934" s="15" t="str">
        <f>VLOOKUP(D934,Lookup_Table!A:C,3,0)</f>
        <v>Rahul</v>
      </c>
      <c r="Z934" s="15" t="str">
        <f t="shared" si="89"/>
        <v>Achived</v>
      </c>
    </row>
    <row r="935" spans="1:26">
      <c r="A935" s="13" t="s">
        <v>1026</v>
      </c>
      <c r="B935" s="14">
        <v>45838</v>
      </c>
      <c r="C935" s="13" t="s">
        <v>27</v>
      </c>
      <c r="D935" s="13" t="s">
        <v>28</v>
      </c>
      <c r="E935" s="13" t="s">
        <v>90</v>
      </c>
      <c r="F935" s="13" t="s">
        <v>116</v>
      </c>
      <c r="G935" s="13" t="s">
        <v>117</v>
      </c>
      <c r="H935" s="13" t="s">
        <v>32</v>
      </c>
      <c r="I935" s="13" t="s">
        <v>33</v>
      </c>
      <c r="J935" s="13">
        <v>5</v>
      </c>
      <c r="K935" s="13">
        <v>19.47</v>
      </c>
      <c r="L935" s="13">
        <v>0</v>
      </c>
      <c r="M935" s="13">
        <v>97.35</v>
      </c>
      <c r="N935" s="13">
        <v>55.16</v>
      </c>
      <c r="O935" s="13">
        <v>42.19</v>
      </c>
      <c r="P935" s="13">
        <v>3.8</v>
      </c>
      <c r="Q935" s="13" t="s">
        <v>58</v>
      </c>
      <c r="R935" s="13">
        <v>2025</v>
      </c>
      <c r="S935" s="15" t="str">
        <f t="shared" si="84"/>
        <v>Low Profit</v>
      </c>
      <c r="T935" s="15" t="str">
        <f t="shared" si="85"/>
        <v>Low Sales</v>
      </c>
      <c r="U935" s="15" t="str">
        <f t="shared" si="86"/>
        <v>Needs Improvement</v>
      </c>
      <c r="V935" s="15" t="str">
        <f t="shared" si="87"/>
        <v>Normal Discount</v>
      </c>
      <c r="W935" s="15">
        <f>VLOOKUP(D935,Lookup_Table!$A:$C,2,FALSE)</f>
        <v>0.2</v>
      </c>
      <c r="X935" s="15">
        <f t="shared" si="88"/>
        <v>0.433384694401644</v>
      </c>
      <c r="Y935" s="15" t="str">
        <f>VLOOKUP(D935,Lookup_Table!A:C,3,0)</f>
        <v>Sneha</v>
      </c>
      <c r="Z935" s="15" t="str">
        <f t="shared" si="89"/>
        <v>Achived</v>
      </c>
    </row>
    <row r="936" spans="1:26">
      <c r="A936" s="13" t="s">
        <v>1027</v>
      </c>
      <c r="B936" s="14">
        <v>45723</v>
      </c>
      <c r="C936" s="13" t="s">
        <v>36</v>
      </c>
      <c r="D936" s="13" t="s">
        <v>37</v>
      </c>
      <c r="E936" s="13" t="s">
        <v>93</v>
      </c>
      <c r="F936" s="13" t="s">
        <v>62</v>
      </c>
      <c r="G936" s="13" t="s">
        <v>63</v>
      </c>
      <c r="H936" s="13" t="s">
        <v>32</v>
      </c>
      <c r="I936" s="13" t="s">
        <v>52</v>
      </c>
      <c r="J936" s="13">
        <v>4</v>
      </c>
      <c r="K936" s="13">
        <v>393.98</v>
      </c>
      <c r="L936" s="13">
        <v>0.1</v>
      </c>
      <c r="M936" s="13">
        <v>1418.33</v>
      </c>
      <c r="N936" s="13">
        <v>803.55</v>
      </c>
      <c r="O936" s="13">
        <v>614.78</v>
      </c>
      <c r="P936" s="13">
        <v>4.7</v>
      </c>
      <c r="Q936" s="13" t="s">
        <v>94</v>
      </c>
      <c r="R936" s="13">
        <v>2025</v>
      </c>
      <c r="S936" s="15" t="str">
        <f t="shared" si="84"/>
        <v>High Profit</v>
      </c>
      <c r="T936" s="15" t="str">
        <f t="shared" si="85"/>
        <v>High Sales</v>
      </c>
      <c r="U936" s="15" t="str">
        <f t="shared" si="86"/>
        <v>Good</v>
      </c>
      <c r="V936" s="15" t="str">
        <f t="shared" si="87"/>
        <v>Normal Discount</v>
      </c>
      <c r="W936" s="15">
        <f>VLOOKUP(D936,Lookup_Table!$A:$C,2,FALSE)</f>
        <v>0.16</v>
      </c>
      <c r="X936" s="15">
        <f t="shared" si="88"/>
        <v>0.433453427622627</v>
      </c>
      <c r="Y936" s="15" t="str">
        <f>VLOOKUP(D936,Lookup_Table!A:C,3,0)</f>
        <v>Vikram</v>
      </c>
      <c r="Z936" s="15" t="str">
        <f t="shared" si="89"/>
        <v>Achived</v>
      </c>
    </row>
    <row r="937" spans="1:26">
      <c r="A937" s="13" t="s">
        <v>1028</v>
      </c>
      <c r="B937" s="14">
        <v>45690</v>
      </c>
      <c r="C937" s="13" t="s">
        <v>55</v>
      </c>
      <c r="D937" s="13" t="s">
        <v>80</v>
      </c>
      <c r="E937" s="13" t="s">
        <v>115</v>
      </c>
      <c r="F937" s="13" t="s">
        <v>111</v>
      </c>
      <c r="G937" s="13" t="s">
        <v>76</v>
      </c>
      <c r="H937" s="13" t="s">
        <v>77</v>
      </c>
      <c r="I937" s="13" t="s">
        <v>46</v>
      </c>
      <c r="J937" s="13">
        <v>1</v>
      </c>
      <c r="K937" s="13">
        <v>48.49</v>
      </c>
      <c r="L937" s="13">
        <v>0.15</v>
      </c>
      <c r="M937" s="13">
        <v>41.22</v>
      </c>
      <c r="N937" s="13">
        <v>23.34</v>
      </c>
      <c r="O937" s="13">
        <v>17.88</v>
      </c>
      <c r="P937" s="13">
        <v>4</v>
      </c>
      <c r="Q937" s="13" t="s">
        <v>105</v>
      </c>
      <c r="R937" s="13">
        <v>2025</v>
      </c>
      <c r="S937" s="15" t="str">
        <f t="shared" si="84"/>
        <v>Low Profit</v>
      </c>
      <c r="T937" s="15" t="str">
        <f t="shared" si="85"/>
        <v>Low Sales</v>
      </c>
      <c r="U937" s="15" t="str">
        <f t="shared" si="86"/>
        <v>Good</v>
      </c>
      <c r="V937" s="15" t="str">
        <f t="shared" si="87"/>
        <v>High Discount</v>
      </c>
      <c r="W937" s="15">
        <f>VLOOKUP(D937,Lookup_Table!$A:$C,2,FALSE)</f>
        <v>0.12</v>
      </c>
      <c r="X937" s="15">
        <f t="shared" si="88"/>
        <v>0.433770014556041</v>
      </c>
      <c r="Y937" s="15" t="str">
        <f>VLOOKUP(D937,Lookup_Table!A:C,3,0)</f>
        <v>Rahul</v>
      </c>
      <c r="Z937" s="15" t="str">
        <f t="shared" si="89"/>
        <v>Achived</v>
      </c>
    </row>
    <row r="938" spans="1:26">
      <c r="A938" s="13" t="s">
        <v>1029</v>
      </c>
      <c r="B938" s="14">
        <v>45828</v>
      </c>
      <c r="C938" s="13" t="s">
        <v>36</v>
      </c>
      <c r="D938" s="13" t="s">
        <v>60</v>
      </c>
      <c r="E938" s="13" t="s">
        <v>61</v>
      </c>
      <c r="F938" s="13" t="s">
        <v>39</v>
      </c>
      <c r="G938" s="13" t="s">
        <v>40</v>
      </c>
      <c r="H938" s="13" t="s">
        <v>41</v>
      </c>
      <c r="I938" s="13" t="s">
        <v>33</v>
      </c>
      <c r="J938" s="13">
        <v>2</v>
      </c>
      <c r="K938" s="13">
        <v>343.26</v>
      </c>
      <c r="L938" s="13">
        <v>0.1</v>
      </c>
      <c r="M938" s="13">
        <v>617.87</v>
      </c>
      <c r="N938" s="13">
        <v>349.76</v>
      </c>
      <c r="O938" s="13">
        <v>268.11</v>
      </c>
      <c r="P938" s="13">
        <v>4.9</v>
      </c>
      <c r="Q938" s="13" t="s">
        <v>58</v>
      </c>
      <c r="R938" s="13">
        <v>2025</v>
      </c>
      <c r="S938" s="15" t="str">
        <f t="shared" si="84"/>
        <v>Low Profit</v>
      </c>
      <c r="T938" s="15" t="str">
        <f t="shared" si="85"/>
        <v>Low Sales</v>
      </c>
      <c r="U938" s="15" t="str">
        <f t="shared" si="86"/>
        <v>Good</v>
      </c>
      <c r="V938" s="15" t="str">
        <f t="shared" si="87"/>
        <v>Normal Discount</v>
      </c>
      <c r="W938" s="15">
        <f>VLOOKUP(D938,Lookup_Table!$A:$C,2,FALSE)</f>
        <v>0.15</v>
      </c>
      <c r="X938" s="15">
        <f t="shared" si="88"/>
        <v>0.433926230436823</v>
      </c>
      <c r="Y938" s="15" t="str">
        <f>VLOOKUP(D938,Lookup_Table!A:C,3,0)</f>
        <v>Priya</v>
      </c>
      <c r="Z938" s="15" t="str">
        <f t="shared" si="89"/>
        <v>Achived</v>
      </c>
    </row>
    <row r="939" spans="1:26">
      <c r="A939" s="13" t="s">
        <v>1030</v>
      </c>
      <c r="B939" s="14">
        <v>45786</v>
      </c>
      <c r="C939" s="13" t="s">
        <v>36</v>
      </c>
      <c r="D939" s="13" t="s">
        <v>28</v>
      </c>
      <c r="E939" s="13" t="s">
        <v>29</v>
      </c>
      <c r="F939" s="13" t="s">
        <v>98</v>
      </c>
      <c r="G939" s="13" t="s">
        <v>99</v>
      </c>
      <c r="H939" s="13" t="s">
        <v>77</v>
      </c>
      <c r="I939" s="13" t="s">
        <v>96</v>
      </c>
      <c r="J939" s="13">
        <v>2</v>
      </c>
      <c r="K939" s="13">
        <v>140.03</v>
      </c>
      <c r="L939" s="13">
        <v>0.1</v>
      </c>
      <c r="M939" s="13">
        <v>252.05</v>
      </c>
      <c r="N939" s="13">
        <v>142.67</v>
      </c>
      <c r="O939" s="13">
        <v>109.38</v>
      </c>
      <c r="P939" s="13">
        <v>2.9</v>
      </c>
      <c r="Q939" s="13" t="s">
        <v>42</v>
      </c>
      <c r="R939" s="13">
        <v>2025</v>
      </c>
      <c r="S939" s="15" t="str">
        <f t="shared" si="84"/>
        <v>Low Profit</v>
      </c>
      <c r="T939" s="15" t="str">
        <f t="shared" si="85"/>
        <v>Low Sales</v>
      </c>
      <c r="U939" s="15" t="str">
        <f t="shared" si="86"/>
        <v>Needs Improvement</v>
      </c>
      <c r="V939" s="15" t="str">
        <f t="shared" si="87"/>
        <v>Normal Discount</v>
      </c>
      <c r="W939" s="15">
        <f>VLOOKUP(D939,Lookup_Table!$A:$C,2,FALSE)</f>
        <v>0.2</v>
      </c>
      <c r="X939" s="15">
        <f t="shared" si="88"/>
        <v>0.433961515572307</v>
      </c>
      <c r="Y939" s="15" t="str">
        <f>VLOOKUP(D939,Lookup_Table!A:C,3,0)</f>
        <v>Sneha</v>
      </c>
      <c r="Z939" s="15" t="str">
        <f t="shared" si="89"/>
        <v>Achived</v>
      </c>
    </row>
    <row r="940" spans="1:26">
      <c r="A940" s="13" t="s">
        <v>1031</v>
      </c>
      <c r="B940" s="14">
        <v>45733</v>
      </c>
      <c r="C940" s="13" t="s">
        <v>36</v>
      </c>
      <c r="D940" s="13" t="s">
        <v>60</v>
      </c>
      <c r="E940" s="13" t="s">
        <v>127</v>
      </c>
      <c r="F940" s="13" t="s">
        <v>82</v>
      </c>
      <c r="G940" s="13" t="s">
        <v>83</v>
      </c>
      <c r="H940" s="13" t="s">
        <v>77</v>
      </c>
      <c r="I940" s="13" t="s">
        <v>96</v>
      </c>
      <c r="J940" s="13">
        <v>1</v>
      </c>
      <c r="K940" s="13">
        <v>549.8</v>
      </c>
      <c r="L940" s="13">
        <v>0.1</v>
      </c>
      <c r="M940" s="13">
        <v>494.82</v>
      </c>
      <c r="N940" s="13">
        <v>279.92</v>
      </c>
      <c r="O940" s="13">
        <v>214.9</v>
      </c>
      <c r="P940" s="13">
        <v>5</v>
      </c>
      <c r="Q940" s="13" t="s">
        <v>94</v>
      </c>
      <c r="R940" s="13">
        <v>2025</v>
      </c>
      <c r="S940" s="15" t="str">
        <f t="shared" si="84"/>
        <v>Low Profit</v>
      </c>
      <c r="T940" s="15" t="str">
        <f t="shared" si="85"/>
        <v>Low Sales</v>
      </c>
      <c r="U940" s="15" t="str">
        <f t="shared" si="86"/>
        <v>Good</v>
      </c>
      <c r="V940" s="15" t="str">
        <f t="shared" si="87"/>
        <v>Normal Discount</v>
      </c>
      <c r="W940" s="15">
        <f>VLOOKUP(D940,Lookup_Table!$A:$C,2,FALSE)</f>
        <v>0.15</v>
      </c>
      <c r="X940" s="15">
        <f t="shared" si="88"/>
        <v>0.434299341174569</v>
      </c>
      <c r="Y940" s="15" t="str">
        <f>VLOOKUP(D940,Lookup_Table!A:C,3,0)</f>
        <v>Priya</v>
      </c>
      <c r="Z940" s="15" t="str">
        <f t="shared" si="89"/>
        <v>Achived</v>
      </c>
    </row>
    <row r="941" spans="1:26">
      <c r="A941" s="13" t="s">
        <v>1032</v>
      </c>
      <c r="B941" s="14">
        <v>45688</v>
      </c>
      <c r="C941" s="13" t="s">
        <v>27</v>
      </c>
      <c r="D941" s="13" t="s">
        <v>28</v>
      </c>
      <c r="E941" s="13" t="s">
        <v>90</v>
      </c>
      <c r="F941" s="13" t="s">
        <v>50</v>
      </c>
      <c r="G941" s="13" t="s">
        <v>51</v>
      </c>
      <c r="H941" s="13" t="s">
        <v>32</v>
      </c>
      <c r="I941" s="13" t="s">
        <v>52</v>
      </c>
      <c r="J941" s="13">
        <v>2</v>
      </c>
      <c r="K941" s="13">
        <v>138.96</v>
      </c>
      <c r="L941" s="13">
        <v>0.1</v>
      </c>
      <c r="M941" s="13">
        <v>250.13</v>
      </c>
      <c r="N941" s="13">
        <v>141.47</v>
      </c>
      <c r="O941" s="13">
        <v>108.66</v>
      </c>
      <c r="P941" s="13">
        <v>3.4</v>
      </c>
      <c r="Q941" s="13" t="s">
        <v>64</v>
      </c>
      <c r="R941" s="13">
        <v>2025</v>
      </c>
      <c r="S941" s="15" t="str">
        <f t="shared" si="84"/>
        <v>Low Profit</v>
      </c>
      <c r="T941" s="15" t="str">
        <f t="shared" si="85"/>
        <v>Low Sales</v>
      </c>
      <c r="U941" s="15" t="str">
        <f t="shared" si="86"/>
        <v>Needs Improvement</v>
      </c>
      <c r="V941" s="15" t="str">
        <f t="shared" si="87"/>
        <v>Normal Discount</v>
      </c>
      <c r="W941" s="15">
        <f>VLOOKUP(D941,Lookup_Table!$A:$C,2,FALSE)</f>
        <v>0.2</v>
      </c>
      <c r="X941" s="15">
        <f t="shared" si="88"/>
        <v>0.434414104665574</v>
      </c>
      <c r="Y941" s="15" t="str">
        <f>VLOOKUP(D941,Lookup_Table!A:C,3,0)</f>
        <v>Sneha</v>
      </c>
      <c r="Z941" s="15" t="str">
        <f t="shared" si="89"/>
        <v>Achived</v>
      </c>
    </row>
    <row r="942" spans="1:26">
      <c r="A942" s="13" t="s">
        <v>1033</v>
      </c>
      <c r="B942" s="14">
        <v>45894</v>
      </c>
      <c r="C942" s="13" t="s">
        <v>27</v>
      </c>
      <c r="D942" s="13" t="s">
        <v>28</v>
      </c>
      <c r="E942" s="13" t="s">
        <v>90</v>
      </c>
      <c r="F942" s="13" t="s">
        <v>116</v>
      </c>
      <c r="G942" s="13" t="s">
        <v>117</v>
      </c>
      <c r="H942" s="13" t="s">
        <v>32</v>
      </c>
      <c r="I942" s="13" t="s">
        <v>46</v>
      </c>
      <c r="J942" s="13">
        <v>6</v>
      </c>
      <c r="K942" s="13">
        <v>160.19</v>
      </c>
      <c r="L942" s="13">
        <v>0.1</v>
      </c>
      <c r="M942" s="13">
        <v>865.03</v>
      </c>
      <c r="N942" s="13">
        <v>488.87</v>
      </c>
      <c r="O942" s="13">
        <v>376.16</v>
      </c>
      <c r="P942" s="13">
        <v>3.1</v>
      </c>
      <c r="Q942" s="13" t="s">
        <v>47</v>
      </c>
      <c r="R942" s="13">
        <v>2025</v>
      </c>
      <c r="S942" s="15" t="str">
        <f t="shared" si="84"/>
        <v>Low Profit</v>
      </c>
      <c r="T942" s="15" t="str">
        <f t="shared" si="85"/>
        <v>Low Sales</v>
      </c>
      <c r="U942" s="15" t="str">
        <f t="shared" si="86"/>
        <v>Needs Improvement</v>
      </c>
      <c r="V942" s="15" t="str">
        <f t="shared" si="87"/>
        <v>Normal Discount</v>
      </c>
      <c r="W942" s="15">
        <f>VLOOKUP(D942,Lookup_Table!$A:$C,2,FALSE)</f>
        <v>0.2</v>
      </c>
      <c r="X942" s="15">
        <f t="shared" si="88"/>
        <v>0.434851970451892</v>
      </c>
      <c r="Y942" s="15" t="str">
        <f>VLOOKUP(D942,Lookup_Table!A:C,3,0)</f>
        <v>Sneha</v>
      </c>
      <c r="Z942" s="15" t="str">
        <f t="shared" si="89"/>
        <v>Achived</v>
      </c>
    </row>
    <row r="943" spans="1:26">
      <c r="A943" s="13" t="s">
        <v>1034</v>
      </c>
      <c r="B943" s="14">
        <v>45938</v>
      </c>
      <c r="C943" s="13" t="s">
        <v>36</v>
      </c>
      <c r="D943" s="13" t="s">
        <v>37</v>
      </c>
      <c r="E943" s="13" t="s">
        <v>109</v>
      </c>
      <c r="F943" s="13" t="s">
        <v>98</v>
      </c>
      <c r="G943" s="13" t="s">
        <v>99</v>
      </c>
      <c r="H943" s="13" t="s">
        <v>77</v>
      </c>
      <c r="I943" s="13" t="s">
        <v>52</v>
      </c>
      <c r="J943" s="13">
        <v>6</v>
      </c>
      <c r="K943" s="13">
        <v>418.07</v>
      </c>
      <c r="L943" s="13">
        <v>0</v>
      </c>
      <c r="M943" s="13">
        <v>2508.42</v>
      </c>
      <c r="N943" s="13">
        <v>1417.09</v>
      </c>
      <c r="O943" s="13">
        <v>1091.33</v>
      </c>
      <c r="P943" s="13">
        <v>4.9</v>
      </c>
      <c r="Q943" s="13" t="s">
        <v>87</v>
      </c>
      <c r="R943" s="13">
        <v>2025</v>
      </c>
      <c r="S943" s="15" t="str">
        <f t="shared" si="84"/>
        <v>High Profit</v>
      </c>
      <c r="T943" s="15" t="str">
        <f t="shared" si="85"/>
        <v>High Sales</v>
      </c>
      <c r="U943" s="15" t="str">
        <f t="shared" si="86"/>
        <v>Good</v>
      </c>
      <c r="V943" s="15" t="str">
        <f t="shared" si="87"/>
        <v>Normal Discount</v>
      </c>
      <c r="W943" s="15">
        <f>VLOOKUP(D943,Lookup_Table!$A:$C,2,FALSE)</f>
        <v>0.16</v>
      </c>
      <c r="X943" s="15">
        <f t="shared" si="88"/>
        <v>0.435066695369994</v>
      </c>
      <c r="Y943" s="15" t="str">
        <f>VLOOKUP(D943,Lookup_Table!A:C,3,0)</f>
        <v>Vikram</v>
      </c>
      <c r="Z943" s="15" t="str">
        <f t="shared" si="89"/>
        <v>Achived</v>
      </c>
    </row>
    <row r="944" spans="1:26">
      <c r="A944" s="13" t="s">
        <v>1035</v>
      </c>
      <c r="B944" s="14">
        <v>45828</v>
      </c>
      <c r="C944" s="13" t="s">
        <v>55</v>
      </c>
      <c r="D944" s="13" t="s">
        <v>44</v>
      </c>
      <c r="E944" s="13" t="s">
        <v>137</v>
      </c>
      <c r="F944" s="13" t="s">
        <v>116</v>
      </c>
      <c r="G944" s="13" t="s">
        <v>117</v>
      </c>
      <c r="H944" s="13" t="s">
        <v>32</v>
      </c>
      <c r="I944" s="13" t="s">
        <v>33</v>
      </c>
      <c r="J944" s="13">
        <v>2</v>
      </c>
      <c r="K944" s="13">
        <v>1168.21</v>
      </c>
      <c r="L944" s="13">
        <v>0.1</v>
      </c>
      <c r="M944" s="13">
        <v>2102.78</v>
      </c>
      <c r="N944" s="13">
        <v>1187.54</v>
      </c>
      <c r="O944" s="13">
        <v>915.24</v>
      </c>
      <c r="P944" s="13">
        <v>3.2</v>
      </c>
      <c r="Q944" s="13" t="s">
        <v>58</v>
      </c>
      <c r="R944" s="13">
        <v>2025</v>
      </c>
      <c r="S944" s="15" t="str">
        <f t="shared" si="84"/>
        <v>High Profit</v>
      </c>
      <c r="T944" s="15" t="str">
        <f t="shared" si="85"/>
        <v>High Sales</v>
      </c>
      <c r="U944" s="15" t="str">
        <f t="shared" si="86"/>
        <v>Needs Improvement</v>
      </c>
      <c r="V944" s="15" t="str">
        <f t="shared" si="87"/>
        <v>Normal Discount</v>
      </c>
      <c r="W944" s="15">
        <f>VLOOKUP(D944,Lookup_Table!$A:$C,2,FALSE)</f>
        <v>0.18</v>
      </c>
      <c r="X944" s="15">
        <f t="shared" si="88"/>
        <v>0.435252380182425</v>
      </c>
      <c r="Y944" s="15" t="str">
        <f>VLOOKUP(D944,Lookup_Table!A:C,3,0)</f>
        <v>Amit</v>
      </c>
      <c r="Z944" s="15" t="str">
        <f t="shared" si="89"/>
        <v>Achived</v>
      </c>
    </row>
    <row r="945" spans="1:26">
      <c r="A945" s="13" t="s">
        <v>1036</v>
      </c>
      <c r="B945" s="14">
        <v>45670</v>
      </c>
      <c r="C945" s="13" t="s">
        <v>55</v>
      </c>
      <c r="D945" s="13" t="s">
        <v>28</v>
      </c>
      <c r="E945" s="13" t="s">
        <v>90</v>
      </c>
      <c r="F945" s="13" t="s">
        <v>111</v>
      </c>
      <c r="G945" s="13" t="s">
        <v>76</v>
      </c>
      <c r="H945" s="13" t="s">
        <v>77</v>
      </c>
      <c r="I945" s="13" t="s">
        <v>33</v>
      </c>
      <c r="J945" s="13">
        <v>7</v>
      </c>
      <c r="K945" s="13">
        <v>24.83</v>
      </c>
      <c r="L945" s="13">
        <v>0.2</v>
      </c>
      <c r="M945" s="13">
        <v>139.05</v>
      </c>
      <c r="N945" s="13">
        <v>78.5</v>
      </c>
      <c r="O945" s="13">
        <v>60.55</v>
      </c>
      <c r="P945" s="13">
        <v>4.3</v>
      </c>
      <c r="Q945" s="13" t="s">
        <v>64</v>
      </c>
      <c r="R945" s="13">
        <v>2025</v>
      </c>
      <c r="S945" s="15" t="str">
        <f t="shared" si="84"/>
        <v>Low Profit</v>
      </c>
      <c r="T945" s="15" t="str">
        <f t="shared" si="85"/>
        <v>Low Sales</v>
      </c>
      <c r="U945" s="15" t="str">
        <f t="shared" si="86"/>
        <v>Good</v>
      </c>
      <c r="V945" s="15" t="str">
        <f t="shared" si="87"/>
        <v>High Discount</v>
      </c>
      <c r="W945" s="15">
        <f>VLOOKUP(D945,Lookup_Table!$A:$C,2,FALSE)</f>
        <v>0.2</v>
      </c>
      <c r="X945" s="15">
        <f t="shared" si="88"/>
        <v>0.435454872348076</v>
      </c>
      <c r="Y945" s="15" t="str">
        <f>VLOOKUP(D945,Lookup_Table!A:C,3,0)</f>
        <v>Sneha</v>
      </c>
      <c r="Z945" s="15" t="str">
        <f t="shared" si="89"/>
        <v>Achived</v>
      </c>
    </row>
    <row r="946" spans="1:26">
      <c r="A946" s="13" t="s">
        <v>1037</v>
      </c>
      <c r="B946" s="14">
        <v>45785</v>
      </c>
      <c r="C946" s="13" t="s">
        <v>27</v>
      </c>
      <c r="D946" s="13" t="s">
        <v>28</v>
      </c>
      <c r="E946" s="13" t="s">
        <v>29</v>
      </c>
      <c r="F946" s="13" t="s">
        <v>111</v>
      </c>
      <c r="G946" s="13" t="s">
        <v>76</v>
      </c>
      <c r="H946" s="13" t="s">
        <v>77</v>
      </c>
      <c r="I946" s="13" t="s">
        <v>96</v>
      </c>
      <c r="J946" s="13">
        <v>6</v>
      </c>
      <c r="K946" s="13">
        <v>142.96</v>
      </c>
      <c r="L946" s="13">
        <v>0.1</v>
      </c>
      <c r="M946" s="13">
        <v>771.98</v>
      </c>
      <c r="N946" s="13">
        <v>435.49</v>
      </c>
      <c r="O946" s="13">
        <v>336.49</v>
      </c>
      <c r="P946" s="13">
        <v>4.2</v>
      </c>
      <c r="Q946" s="13" t="s">
        <v>42</v>
      </c>
      <c r="R946" s="13">
        <v>2025</v>
      </c>
      <c r="S946" s="15" t="str">
        <f t="shared" si="84"/>
        <v>Low Profit</v>
      </c>
      <c r="T946" s="15" t="str">
        <f t="shared" si="85"/>
        <v>Low Sales</v>
      </c>
      <c r="U946" s="15" t="str">
        <f t="shared" si="86"/>
        <v>Good</v>
      </c>
      <c r="V946" s="15" t="str">
        <f t="shared" si="87"/>
        <v>Normal Discount</v>
      </c>
      <c r="W946" s="15">
        <f>VLOOKUP(D946,Lookup_Table!$A:$C,2,FALSE)</f>
        <v>0.2</v>
      </c>
      <c r="X946" s="15">
        <f t="shared" si="88"/>
        <v>0.435879167854089</v>
      </c>
      <c r="Y946" s="15" t="str">
        <f>VLOOKUP(D946,Lookup_Table!A:C,3,0)</f>
        <v>Sneha</v>
      </c>
      <c r="Z946" s="15" t="str">
        <f t="shared" si="89"/>
        <v>Achived</v>
      </c>
    </row>
    <row r="947" spans="1:26">
      <c r="A947" s="13" t="s">
        <v>1038</v>
      </c>
      <c r="B947" s="14">
        <v>45846</v>
      </c>
      <c r="C947" s="13" t="s">
        <v>55</v>
      </c>
      <c r="D947" s="13" t="s">
        <v>28</v>
      </c>
      <c r="E947" s="13" t="s">
        <v>90</v>
      </c>
      <c r="F947" s="13" t="s">
        <v>39</v>
      </c>
      <c r="G947" s="13" t="s">
        <v>40</v>
      </c>
      <c r="H947" s="13" t="s">
        <v>41</v>
      </c>
      <c r="I947" s="13" t="s">
        <v>52</v>
      </c>
      <c r="J947" s="13">
        <v>6</v>
      </c>
      <c r="K947" s="13">
        <v>109.69</v>
      </c>
      <c r="L947" s="13">
        <v>0.15</v>
      </c>
      <c r="M947" s="13">
        <v>559.42</v>
      </c>
      <c r="N947" s="13">
        <v>315.56</v>
      </c>
      <c r="O947" s="13">
        <v>243.86</v>
      </c>
      <c r="P947" s="13">
        <v>2.9</v>
      </c>
      <c r="Q947" s="13" t="s">
        <v>56</v>
      </c>
      <c r="R947" s="13">
        <v>2025</v>
      </c>
      <c r="S947" s="15" t="str">
        <f t="shared" si="84"/>
        <v>Low Profit</v>
      </c>
      <c r="T947" s="15" t="str">
        <f t="shared" si="85"/>
        <v>Low Sales</v>
      </c>
      <c r="U947" s="15" t="str">
        <f t="shared" si="86"/>
        <v>Needs Improvement</v>
      </c>
      <c r="V947" s="15" t="str">
        <f t="shared" si="87"/>
        <v>High Discount</v>
      </c>
      <c r="W947" s="15">
        <f>VLOOKUP(D947,Lookup_Table!$A:$C,2,FALSE)</f>
        <v>0.2</v>
      </c>
      <c r="X947" s="15">
        <f t="shared" si="88"/>
        <v>0.435915769904544</v>
      </c>
      <c r="Y947" s="15" t="str">
        <f>VLOOKUP(D947,Lookup_Table!A:C,3,0)</f>
        <v>Sneha</v>
      </c>
      <c r="Z947" s="15" t="str">
        <f t="shared" si="89"/>
        <v>Achived</v>
      </c>
    </row>
    <row r="948" spans="1:26">
      <c r="A948" s="13" t="s">
        <v>1039</v>
      </c>
      <c r="B948" s="14">
        <v>45842</v>
      </c>
      <c r="C948" s="13" t="s">
        <v>55</v>
      </c>
      <c r="D948" s="13" t="s">
        <v>37</v>
      </c>
      <c r="E948" s="13" t="s">
        <v>109</v>
      </c>
      <c r="F948" s="13" t="s">
        <v>111</v>
      </c>
      <c r="G948" s="13" t="s">
        <v>76</v>
      </c>
      <c r="H948" s="13" t="s">
        <v>77</v>
      </c>
      <c r="I948" s="13" t="s">
        <v>33</v>
      </c>
      <c r="J948" s="13">
        <v>2</v>
      </c>
      <c r="K948" s="13">
        <v>286.56</v>
      </c>
      <c r="L948" s="13">
        <v>0</v>
      </c>
      <c r="M948" s="13">
        <v>573.12</v>
      </c>
      <c r="N948" s="13">
        <v>323.24</v>
      </c>
      <c r="O948" s="13">
        <v>249.88</v>
      </c>
      <c r="P948" s="13">
        <v>3.8</v>
      </c>
      <c r="Q948" s="13" t="s">
        <v>56</v>
      </c>
      <c r="R948" s="13">
        <v>2025</v>
      </c>
      <c r="S948" s="15" t="str">
        <f t="shared" si="84"/>
        <v>Low Profit</v>
      </c>
      <c r="T948" s="15" t="str">
        <f t="shared" si="85"/>
        <v>Low Sales</v>
      </c>
      <c r="U948" s="15" t="str">
        <f t="shared" si="86"/>
        <v>Needs Improvement</v>
      </c>
      <c r="V948" s="15" t="str">
        <f t="shared" si="87"/>
        <v>Normal Discount</v>
      </c>
      <c r="W948" s="15">
        <f>VLOOKUP(D948,Lookup_Table!$A:$C,2,FALSE)</f>
        <v>0.16</v>
      </c>
      <c r="X948" s="15">
        <f t="shared" si="88"/>
        <v>0.435999441652708</v>
      </c>
      <c r="Y948" s="15" t="str">
        <f>VLOOKUP(D948,Lookup_Table!A:C,3,0)</f>
        <v>Vikram</v>
      </c>
      <c r="Z948" s="15" t="str">
        <f t="shared" si="89"/>
        <v>Achived</v>
      </c>
    </row>
    <row r="949" spans="1:26">
      <c r="A949" s="13" t="s">
        <v>1040</v>
      </c>
      <c r="B949" s="14">
        <v>45701</v>
      </c>
      <c r="C949" s="13" t="s">
        <v>55</v>
      </c>
      <c r="D949" s="13" t="s">
        <v>44</v>
      </c>
      <c r="E949" s="13" t="s">
        <v>45</v>
      </c>
      <c r="F949" s="13" t="s">
        <v>30</v>
      </c>
      <c r="G949" s="13" t="s">
        <v>31</v>
      </c>
      <c r="H949" s="13" t="s">
        <v>32</v>
      </c>
      <c r="I949" s="13" t="s">
        <v>52</v>
      </c>
      <c r="J949" s="13">
        <v>1</v>
      </c>
      <c r="K949" s="13">
        <v>1328.58</v>
      </c>
      <c r="L949" s="13">
        <v>0.1</v>
      </c>
      <c r="M949" s="13">
        <v>1195.72</v>
      </c>
      <c r="N949" s="13">
        <v>674.17</v>
      </c>
      <c r="O949" s="13">
        <v>521.55</v>
      </c>
      <c r="P949" s="13">
        <v>4.5</v>
      </c>
      <c r="Q949" s="13" t="s">
        <v>105</v>
      </c>
      <c r="R949" s="13">
        <v>2025</v>
      </c>
      <c r="S949" s="15" t="str">
        <f t="shared" si="84"/>
        <v>High Profit</v>
      </c>
      <c r="T949" s="15" t="str">
        <f t="shared" si="85"/>
        <v>High Sales</v>
      </c>
      <c r="U949" s="15" t="str">
        <f t="shared" si="86"/>
        <v>Good</v>
      </c>
      <c r="V949" s="15" t="str">
        <f t="shared" si="87"/>
        <v>Normal Discount</v>
      </c>
      <c r="W949" s="15">
        <f>VLOOKUP(D949,Lookup_Table!$A:$C,2,FALSE)</f>
        <v>0.18</v>
      </c>
      <c r="X949" s="15">
        <f t="shared" si="88"/>
        <v>0.436180711203292</v>
      </c>
      <c r="Y949" s="15" t="str">
        <f>VLOOKUP(D949,Lookup_Table!A:C,3,0)</f>
        <v>Amit</v>
      </c>
      <c r="Z949" s="15" t="str">
        <f t="shared" si="89"/>
        <v>Achived</v>
      </c>
    </row>
    <row r="950" spans="1:26">
      <c r="A950" s="13" t="s">
        <v>1041</v>
      </c>
      <c r="B950" s="14">
        <v>45906</v>
      </c>
      <c r="C950" s="13" t="s">
        <v>55</v>
      </c>
      <c r="D950" s="13" t="s">
        <v>28</v>
      </c>
      <c r="E950" s="13" t="s">
        <v>90</v>
      </c>
      <c r="F950" s="13" t="s">
        <v>75</v>
      </c>
      <c r="G950" s="13" t="s">
        <v>76</v>
      </c>
      <c r="H950" s="13" t="s">
        <v>77</v>
      </c>
      <c r="I950" s="13" t="s">
        <v>46</v>
      </c>
      <c r="J950" s="13">
        <v>1</v>
      </c>
      <c r="K950" s="13">
        <v>38.56</v>
      </c>
      <c r="L950" s="13">
        <v>0.05</v>
      </c>
      <c r="M950" s="13">
        <v>36.63</v>
      </c>
      <c r="N950" s="13">
        <v>20.64</v>
      </c>
      <c r="O950" s="13">
        <v>15.99</v>
      </c>
      <c r="P950" s="13">
        <v>3</v>
      </c>
      <c r="Q950" s="13" t="s">
        <v>53</v>
      </c>
      <c r="R950" s="13">
        <v>2025</v>
      </c>
      <c r="S950" s="15" t="str">
        <f t="shared" si="84"/>
        <v>Low Profit</v>
      </c>
      <c r="T950" s="15" t="str">
        <f t="shared" si="85"/>
        <v>Low Sales</v>
      </c>
      <c r="U950" s="15" t="str">
        <f t="shared" si="86"/>
        <v>Needs Improvement</v>
      </c>
      <c r="V950" s="15" t="str">
        <f t="shared" si="87"/>
        <v>Normal Discount</v>
      </c>
      <c r="W950" s="15">
        <f>VLOOKUP(D950,Lookup_Table!$A:$C,2,FALSE)</f>
        <v>0.2</v>
      </c>
      <c r="X950" s="15">
        <f t="shared" si="88"/>
        <v>0.436527436527437</v>
      </c>
      <c r="Y950" s="15" t="str">
        <f>VLOOKUP(D950,Lookup_Table!A:C,3,0)</f>
        <v>Sneha</v>
      </c>
      <c r="Z950" s="15" t="str">
        <f t="shared" si="89"/>
        <v>Achived</v>
      </c>
    </row>
    <row r="951" spans="1:26">
      <c r="A951" s="13" t="s">
        <v>1042</v>
      </c>
      <c r="B951" s="14">
        <v>45851</v>
      </c>
      <c r="C951" s="13" t="s">
        <v>27</v>
      </c>
      <c r="D951" s="13" t="s">
        <v>37</v>
      </c>
      <c r="E951" s="13" t="s">
        <v>38</v>
      </c>
      <c r="F951" s="13" t="s">
        <v>39</v>
      </c>
      <c r="G951" s="13" t="s">
        <v>40</v>
      </c>
      <c r="H951" s="13" t="s">
        <v>41</v>
      </c>
      <c r="I951" s="13" t="s">
        <v>52</v>
      </c>
      <c r="J951" s="13">
        <v>6</v>
      </c>
      <c r="K951" s="13">
        <v>265.12</v>
      </c>
      <c r="L951" s="13">
        <v>0.1</v>
      </c>
      <c r="M951" s="13">
        <v>1431.65</v>
      </c>
      <c r="N951" s="13">
        <v>806.25</v>
      </c>
      <c r="O951" s="13">
        <v>625.4</v>
      </c>
      <c r="P951" s="13">
        <v>5</v>
      </c>
      <c r="Q951" s="13" t="s">
        <v>56</v>
      </c>
      <c r="R951" s="13">
        <v>2025</v>
      </c>
      <c r="S951" s="15" t="str">
        <f t="shared" si="84"/>
        <v>High Profit</v>
      </c>
      <c r="T951" s="15" t="str">
        <f t="shared" si="85"/>
        <v>High Sales</v>
      </c>
      <c r="U951" s="15" t="str">
        <f t="shared" si="86"/>
        <v>Good</v>
      </c>
      <c r="V951" s="15" t="str">
        <f t="shared" si="87"/>
        <v>Normal Discount</v>
      </c>
      <c r="W951" s="15">
        <f>VLOOKUP(D951,Lookup_Table!$A:$C,2,FALSE)</f>
        <v>0.16</v>
      </c>
      <c r="X951" s="15">
        <f t="shared" si="88"/>
        <v>0.436838612789439</v>
      </c>
      <c r="Y951" s="15" t="str">
        <f>VLOOKUP(D951,Lookup_Table!A:C,3,0)</f>
        <v>Vikram</v>
      </c>
      <c r="Z951" s="15" t="str">
        <f t="shared" si="89"/>
        <v>Achived</v>
      </c>
    </row>
    <row r="952" spans="1:26">
      <c r="A952" s="13" t="s">
        <v>1043</v>
      </c>
      <c r="B952" s="14">
        <v>45761</v>
      </c>
      <c r="C952" s="13" t="s">
        <v>55</v>
      </c>
      <c r="D952" s="13" t="s">
        <v>37</v>
      </c>
      <c r="E952" s="13" t="s">
        <v>93</v>
      </c>
      <c r="F952" s="13" t="s">
        <v>75</v>
      </c>
      <c r="G952" s="13" t="s">
        <v>76</v>
      </c>
      <c r="H952" s="13" t="s">
        <v>77</v>
      </c>
      <c r="I952" s="13" t="s">
        <v>46</v>
      </c>
      <c r="J952" s="13">
        <v>7</v>
      </c>
      <c r="K952" s="13">
        <v>486.92</v>
      </c>
      <c r="L952" s="13">
        <v>0.05</v>
      </c>
      <c r="M952" s="13">
        <v>3238.02</v>
      </c>
      <c r="N952" s="13">
        <v>1823.5</v>
      </c>
      <c r="O952" s="13">
        <v>1414.52</v>
      </c>
      <c r="P952" s="13">
        <v>4.5</v>
      </c>
      <c r="Q952" s="13" t="s">
        <v>84</v>
      </c>
      <c r="R952" s="13">
        <v>2025</v>
      </c>
      <c r="S952" s="15" t="str">
        <f t="shared" si="84"/>
        <v>High Profit</v>
      </c>
      <c r="T952" s="15" t="str">
        <f t="shared" si="85"/>
        <v>High Sales</v>
      </c>
      <c r="U952" s="15" t="str">
        <f t="shared" si="86"/>
        <v>Good</v>
      </c>
      <c r="V952" s="15" t="str">
        <f t="shared" si="87"/>
        <v>Normal Discount</v>
      </c>
      <c r="W952" s="15">
        <f>VLOOKUP(D952,Lookup_Table!$A:$C,2,FALSE)</f>
        <v>0.16</v>
      </c>
      <c r="X952" s="15">
        <f t="shared" si="88"/>
        <v>0.436847209096917</v>
      </c>
      <c r="Y952" s="15" t="str">
        <f>VLOOKUP(D952,Lookup_Table!A:C,3,0)</f>
        <v>Vikram</v>
      </c>
      <c r="Z952" s="15" t="str">
        <f t="shared" si="89"/>
        <v>Achived</v>
      </c>
    </row>
    <row r="953" spans="1:26">
      <c r="A953" s="13" t="s">
        <v>1044</v>
      </c>
      <c r="B953" s="14">
        <v>45746</v>
      </c>
      <c r="C953" s="13" t="s">
        <v>27</v>
      </c>
      <c r="D953" s="13" t="s">
        <v>80</v>
      </c>
      <c r="E953" s="13" t="s">
        <v>115</v>
      </c>
      <c r="F953" s="13" t="s">
        <v>50</v>
      </c>
      <c r="G953" s="13" t="s">
        <v>51</v>
      </c>
      <c r="H953" s="13" t="s">
        <v>32</v>
      </c>
      <c r="I953" s="13" t="s">
        <v>96</v>
      </c>
      <c r="J953" s="13">
        <v>6</v>
      </c>
      <c r="K953" s="13">
        <v>36.99</v>
      </c>
      <c r="L953" s="13">
        <v>0.15</v>
      </c>
      <c r="M953" s="13">
        <v>188.65</v>
      </c>
      <c r="N953" s="13">
        <v>106.23</v>
      </c>
      <c r="O953" s="13">
        <v>82.42</v>
      </c>
      <c r="P953" s="13">
        <v>3</v>
      </c>
      <c r="Q953" s="13" t="s">
        <v>94</v>
      </c>
      <c r="R953" s="13">
        <v>2025</v>
      </c>
      <c r="S953" s="15" t="str">
        <f t="shared" si="84"/>
        <v>Low Profit</v>
      </c>
      <c r="T953" s="15" t="str">
        <f t="shared" si="85"/>
        <v>Low Sales</v>
      </c>
      <c r="U953" s="15" t="str">
        <f t="shared" si="86"/>
        <v>Needs Improvement</v>
      </c>
      <c r="V953" s="15" t="str">
        <f t="shared" si="87"/>
        <v>High Discount</v>
      </c>
      <c r="W953" s="15">
        <f>VLOOKUP(D953,Lookup_Table!$A:$C,2,FALSE)</f>
        <v>0.12</v>
      </c>
      <c r="X953" s="15">
        <f t="shared" si="88"/>
        <v>0.436893718526372</v>
      </c>
      <c r="Y953" s="15" t="str">
        <f>VLOOKUP(D953,Lookup_Table!A:C,3,0)</f>
        <v>Rahul</v>
      </c>
      <c r="Z953" s="15" t="str">
        <f t="shared" si="89"/>
        <v>Achived</v>
      </c>
    </row>
    <row r="954" spans="1:26">
      <c r="A954" s="13" t="s">
        <v>1045</v>
      </c>
      <c r="B954" s="14">
        <v>45923</v>
      </c>
      <c r="C954" s="13" t="s">
        <v>36</v>
      </c>
      <c r="D954" s="13" t="s">
        <v>80</v>
      </c>
      <c r="E954" s="13" t="s">
        <v>101</v>
      </c>
      <c r="F954" s="13" t="s">
        <v>75</v>
      </c>
      <c r="G954" s="13" t="s">
        <v>76</v>
      </c>
      <c r="H954" s="13" t="s">
        <v>77</v>
      </c>
      <c r="I954" s="13" t="s">
        <v>33</v>
      </c>
      <c r="J954" s="13">
        <v>4</v>
      </c>
      <c r="K954" s="13">
        <v>13.01</v>
      </c>
      <c r="L954" s="13">
        <v>0.1</v>
      </c>
      <c r="M954" s="13">
        <v>46.84</v>
      </c>
      <c r="N954" s="13">
        <v>26.36</v>
      </c>
      <c r="O954" s="13">
        <v>20.48</v>
      </c>
      <c r="P954" s="13">
        <v>2.6</v>
      </c>
      <c r="Q954" s="13" t="s">
        <v>53</v>
      </c>
      <c r="R954" s="13">
        <v>2025</v>
      </c>
      <c r="S954" s="15" t="str">
        <f t="shared" si="84"/>
        <v>Low Profit</v>
      </c>
      <c r="T954" s="15" t="str">
        <f t="shared" si="85"/>
        <v>Low Sales</v>
      </c>
      <c r="U954" s="15" t="str">
        <f t="shared" si="86"/>
        <v>Needs Improvement</v>
      </c>
      <c r="V954" s="15" t="str">
        <f t="shared" si="87"/>
        <v>Normal Discount</v>
      </c>
      <c r="W954" s="15">
        <f>VLOOKUP(D954,Lookup_Table!$A:$C,2,FALSE)</f>
        <v>0.12</v>
      </c>
      <c r="X954" s="15">
        <f t="shared" si="88"/>
        <v>0.437233134073441</v>
      </c>
      <c r="Y954" s="15" t="str">
        <f>VLOOKUP(D954,Lookup_Table!A:C,3,0)</f>
        <v>Rahul</v>
      </c>
      <c r="Z954" s="15" t="str">
        <f t="shared" si="89"/>
        <v>Achived</v>
      </c>
    </row>
    <row r="955" spans="1:26">
      <c r="A955" s="13" t="s">
        <v>1046</v>
      </c>
      <c r="B955" s="14">
        <v>45753</v>
      </c>
      <c r="C955" s="13" t="s">
        <v>27</v>
      </c>
      <c r="D955" s="13" t="s">
        <v>37</v>
      </c>
      <c r="E955" s="13" t="s">
        <v>93</v>
      </c>
      <c r="F955" s="13" t="s">
        <v>30</v>
      </c>
      <c r="G955" s="13" t="s">
        <v>31</v>
      </c>
      <c r="H955" s="13" t="s">
        <v>32</v>
      </c>
      <c r="I955" s="13" t="s">
        <v>46</v>
      </c>
      <c r="J955" s="13">
        <v>3</v>
      </c>
      <c r="K955" s="13">
        <v>497.31</v>
      </c>
      <c r="L955" s="13">
        <v>0.05</v>
      </c>
      <c r="M955" s="13">
        <v>1417.33</v>
      </c>
      <c r="N955" s="13">
        <v>796.79</v>
      </c>
      <c r="O955" s="13">
        <v>620.54</v>
      </c>
      <c r="P955" s="13">
        <v>2.6</v>
      </c>
      <c r="Q955" s="13" t="s">
        <v>84</v>
      </c>
      <c r="R955" s="13">
        <v>2025</v>
      </c>
      <c r="S955" s="15" t="str">
        <f t="shared" si="84"/>
        <v>High Profit</v>
      </c>
      <c r="T955" s="15" t="str">
        <f t="shared" si="85"/>
        <v>High Sales</v>
      </c>
      <c r="U955" s="15" t="str">
        <f t="shared" si="86"/>
        <v>Needs Improvement</v>
      </c>
      <c r="V955" s="15" t="str">
        <f t="shared" si="87"/>
        <v>Normal Discount</v>
      </c>
      <c r="W955" s="15">
        <f>VLOOKUP(D955,Lookup_Table!$A:$C,2,FALSE)</f>
        <v>0.16</v>
      </c>
      <c r="X955" s="15">
        <f t="shared" si="88"/>
        <v>0.437823231004777</v>
      </c>
      <c r="Y955" s="15" t="str">
        <f>VLOOKUP(D955,Lookup_Table!A:C,3,0)</f>
        <v>Vikram</v>
      </c>
      <c r="Z955" s="15" t="str">
        <f t="shared" si="89"/>
        <v>Achived</v>
      </c>
    </row>
    <row r="956" spans="1:26">
      <c r="A956" s="13" t="s">
        <v>1047</v>
      </c>
      <c r="B956" s="14">
        <v>45695</v>
      </c>
      <c r="C956" s="13" t="s">
        <v>27</v>
      </c>
      <c r="D956" s="13" t="s">
        <v>80</v>
      </c>
      <c r="E956" s="13" t="s">
        <v>191</v>
      </c>
      <c r="F956" s="13" t="s">
        <v>39</v>
      </c>
      <c r="G956" s="13" t="s">
        <v>40</v>
      </c>
      <c r="H956" s="13" t="s">
        <v>41</v>
      </c>
      <c r="I956" s="13" t="s">
        <v>52</v>
      </c>
      <c r="J956" s="13">
        <v>4</v>
      </c>
      <c r="K956" s="13">
        <v>34.7</v>
      </c>
      <c r="L956" s="13">
        <v>0.15</v>
      </c>
      <c r="M956" s="13">
        <v>117.98</v>
      </c>
      <c r="N956" s="13">
        <v>66.31</v>
      </c>
      <c r="O956" s="13">
        <v>51.67</v>
      </c>
      <c r="P956" s="13">
        <v>4.6</v>
      </c>
      <c r="Q956" s="13" t="s">
        <v>105</v>
      </c>
      <c r="R956" s="13">
        <v>2025</v>
      </c>
      <c r="S956" s="15" t="str">
        <f t="shared" si="84"/>
        <v>Low Profit</v>
      </c>
      <c r="T956" s="15" t="str">
        <f t="shared" si="85"/>
        <v>Low Sales</v>
      </c>
      <c r="U956" s="15" t="str">
        <f t="shared" si="86"/>
        <v>Good</v>
      </c>
      <c r="V956" s="15" t="str">
        <f t="shared" si="87"/>
        <v>High Discount</v>
      </c>
      <c r="W956" s="15">
        <f>VLOOKUP(D956,Lookup_Table!$A:$C,2,FALSE)</f>
        <v>0.12</v>
      </c>
      <c r="X956" s="15">
        <f t="shared" si="88"/>
        <v>0.43795558569249</v>
      </c>
      <c r="Y956" s="15" t="str">
        <f>VLOOKUP(D956,Lookup_Table!A:C,3,0)</f>
        <v>Rahul</v>
      </c>
      <c r="Z956" s="15" t="str">
        <f t="shared" si="89"/>
        <v>Achived</v>
      </c>
    </row>
    <row r="957" spans="1:26">
      <c r="A957" s="13" t="s">
        <v>1048</v>
      </c>
      <c r="B957" s="14">
        <v>45933</v>
      </c>
      <c r="C957" s="13" t="s">
        <v>27</v>
      </c>
      <c r="D957" s="13" t="s">
        <v>44</v>
      </c>
      <c r="E957" s="13" t="s">
        <v>137</v>
      </c>
      <c r="F957" s="13" t="s">
        <v>50</v>
      </c>
      <c r="G957" s="13" t="s">
        <v>51</v>
      </c>
      <c r="H957" s="13" t="s">
        <v>32</v>
      </c>
      <c r="I957" s="13" t="s">
        <v>46</v>
      </c>
      <c r="J957" s="13">
        <v>4</v>
      </c>
      <c r="K957" s="13">
        <v>402.02</v>
      </c>
      <c r="L957" s="13">
        <v>0.1</v>
      </c>
      <c r="M957" s="13">
        <v>1447.27</v>
      </c>
      <c r="N957" s="13">
        <v>813.17</v>
      </c>
      <c r="O957" s="13">
        <v>634.1</v>
      </c>
      <c r="P957" s="13">
        <v>3.2</v>
      </c>
      <c r="Q957" s="13" t="s">
        <v>87</v>
      </c>
      <c r="R957" s="13">
        <v>2025</v>
      </c>
      <c r="S957" s="15" t="str">
        <f t="shared" si="84"/>
        <v>High Profit</v>
      </c>
      <c r="T957" s="15" t="str">
        <f t="shared" si="85"/>
        <v>High Sales</v>
      </c>
      <c r="U957" s="15" t="str">
        <f t="shared" si="86"/>
        <v>Needs Improvement</v>
      </c>
      <c r="V957" s="15" t="str">
        <f t="shared" si="87"/>
        <v>Normal Discount</v>
      </c>
      <c r="W957" s="15">
        <f>VLOOKUP(D957,Lookup_Table!$A:$C,2,FALSE)</f>
        <v>0.18</v>
      </c>
      <c r="X957" s="15">
        <f t="shared" si="88"/>
        <v>0.438135247742301</v>
      </c>
      <c r="Y957" s="15" t="str">
        <f>VLOOKUP(D957,Lookup_Table!A:C,3,0)</f>
        <v>Amit</v>
      </c>
      <c r="Z957" s="15" t="str">
        <f t="shared" si="89"/>
        <v>Achived</v>
      </c>
    </row>
    <row r="958" spans="1:26">
      <c r="A958" s="13" t="s">
        <v>1049</v>
      </c>
      <c r="B958" s="14">
        <v>45973</v>
      </c>
      <c r="C958" s="13" t="s">
        <v>55</v>
      </c>
      <c r="D958" s="13" t="s">
        <v>80</v>
      </c>
      <c r="E958" s="13" t="s">
        <v>81</v>
      </c>
      <c r="F958" s="13" t="s">
        <v>82</v>
      </c>
      <c r="G958" s="13" t="s">
        <v>83</v>
      </c>
      <c r="H958" s="13" t="s">
        <v>77</v>
      </c>
      <c r="I958" s="13" t="s">
        <v>52</v>
      </c>
      <c r="J958" s="13">
        <v>7</v>
      </c>
      <c r="K958" s="13">
        <v>69.95</v>
      </c>
      <c r="L958" s="13">
        <v>0.1</v>
      </c>
      <c r="M958" s="13">
        <v>440.69</v>
      </c>
      <c r="N958" s="13">
        <v>247.57</v>
      </c>
      <c r="O958" s="13">
        <v>193.12</v>
      </c>
      <c r="P958" s="13">
        <v>4.7</v>
      </c>
      <c r="Q958" s="13" t="s">
        <v>71</v>
      </c>
      <c r="R958" s="13">
        <v>2025</v>
      </c>
      <c r="S958" s="15" t="str">
        <f t="shared" si="84"/>
        <v>Low Profit</v>
      </c>
      <c r="T958" s="15" t="str">
        <f t="shared" si="85"/>
        <v>Low Sales</v>
      </c>
      <c r="U958" s="15" t="str">
        <f t="shared" si="86"/>
        <v>Good</v>
      </c>
      <c r="V958" s="15" t="str">
        <f t="shared" si="87"/>
        <v>Normal Discount</v>
      </c>
      <c r="W958" s="15">
        <f>VLOOKUP(D958,Lookup_Table!$A:$C,2,FALSE)</f>
        <v>0.12</v>
      </c>
      <c r="X958" s="15">
        <f t="shared" si="88"/>
        <v>0.438221879325603</v>
      </c>
      <c r="Y958" s="15" t="str">
        <f>VLOOKUP(D958,Lookup_Table!A:C,3,0)</f>
        <v>Rahul</v>
      </c>
      <c r="Z958" s="15" t="str">
        <f t="shared" si="89"/>
        <v>Achived</v>
      </c>
    </row>
    <row r="959" spans="1:26">
      <c r="A959" s="13" t="s">
        <v>1050</v>
      </c>
      <c r="B959" s="14">
        <v>45755</v>
      </c>
      <c r="C959" s="13" t="s">
        <v>55</v>
      </c>
      <c r="D959" s="13" t="s">
        <v>44</v>
      </c>
      <c r="E959" s="13" t="s">
        <v>143</v>
      </c>
      <c r="F959" s="13" t="s">
        <v>67</v>
      </c>
      <c r="G959" s="13" t="s">
        <v>68</v>
      </c>
      <c r="H959" s="13" t="s">
        <v>69</v>
      </c>
      <c r="I959" s="13" t="s">
        <v>46</v>
      </c>
      <c r="J959" s="13">
        <v>1</v>
      </c>
      <c r="K959" s="13">
        <v>556.23</v>
      </c>
      <c r="L959" s="13">
        <v>0.1</v>
      </c>
      <c r="M959" s="13">
        <v>500.61</v>
      </c>
      <c r="N959" s="13">
        <v>281.16</v>
      </c>
      <c r="O959" s="13">
        <v>219.45</v>
      </c>
      <c r="P959" s="13">
        <v>4.3</v>
      </c>
      <c r="Q959" s="13" t="s">
        <v>84</v>
      </c>
      <c r="R959" s="13">
        <v>2025</v>
      </c>
      <c r="S959" s="15" t="str">
        <f t="shared" si="84"/>
        <v>Low Profit</v>
      </c>
      <c r="T959" s="15" t="str">
        <f t="shared" si="85"/>
        <v>Low Sales</v>
      </c>
      <c r="U959" s="15" t="str">
        <f t="shared" si="86"/>
        <v>Good</v>
      </c>
      <c r="V959" s="15" t="str">
        <f t="shared" si="87"/>
        <v>Normal Discount</v>
      </c>
      <c r="W959" s="15">
        <f>VLOOKUP(D959,Lookup_Table!$A:$C,2,FALSE)</f>
        <v>0.18</v>
      </c>
      <c r="X959" s="15">
        <f t="shared" si="88"/>
        <v>0.438365194462755</v>
      </c>
      <c r="Y959" s="15" t="str">
        <f>VLOOKUP(D959,Lookup_Table!A:C,3,0)</f>
        <v>Amit</v>
      </c>
      <c r="Z959" s="15" t="str">
        <f t="shared" si="89"/>
        <v>Achived</v>
      </c>
    </row>
    <row r="960" spans="1:26">
      <c r="A960" s="13" t="s">
        <v>1051</v>
      </c>
      <c r="B960" s="14">
        <v>45878</v>
      </c>
      <c r="C960" s="13" t="s">
        <v>27</v>
      </c>
      <c r="D960" s="13" t="s">
        <v>80</v>
      </c>
      <c r="E960" s="13" t="s">
        <v>81</v>
      </c>
      <c r="F960" s="13" t="s">
        <v>98</v>
      </c>
      <c r="G960" s="13" t="s">
        <v>99</v>
      </c>
      <c r="H960" s="13" t="s">
        <v>77</v>
      </c>
      <c r="I960" s="13" t="s">
        <v>96</v>
      </c>
      <c r="J960" s="13">
        <v>5</v>
      </c>
      <c r="K960" s="13">
        <v>23.05</v>
      </c>
      <c r="L960" s="13">
        <v>0.1</v>
      </c>
      <c r="M960" s="13">
        <v>103.72</v>
      </c>
      <c r="N960" s="13">
        <v>58.25</v>
      </c>
      <c r="O960" s="13">
        <v>45.47</v>
      </c>
      <c r="P960" s="13">
        <v>4.3</v>
      </c>
      <c r="Q960" s="13" t="s">
        <v>47</v>
      </c>
      <c r="R960" s="13">
        <v>2025</v>
      </c>
      <c r="S960" s="15" t="str">
        <f t="shared" si="84"/>
        <v>Low Profit</v>
      </c>
      <c r="T960" s="15" t="str">
        <f t="shared" si="85"/>
        <v>Low Sales</v>
      </c>
      <c r="U960" s="15" t="str">
        <f t="shared" si="86"/>
        <v>Good</v>
      </c>
      <c r="V960" s="15" t="str">
        <f t="shared" si="87"/>
        <v>Normal Discount</v>
      </c>
      <c r="W960" s="15">
        <f>VLOOKUP(D960,Lookup_Table!$A:$C,2,FALSE)</f>
        <v>0.12</v>
      </c>
      <c r="X960" s="15">
        <f t="shared" si="88"/>
        <v>0.438391824141921</v>
      </c>
      <c r="Y960" s="15" t="str">
        <f>VLOOKUP(D960,Lookup_Table!A:C,3,0)</f>
        <v>Rahul</v>
      </c>
      <c r="Z960" s="15" t="str">
        <f t="shared" si="89"/>
        <v>Achived</v>
      </c>
    </row>
    <row r="961" spans="1:26">
      <c r="A961" s="13" t="s">
        <v>1052</v>
      </c>
      <c r="B961" s="14">
        <v>45746</v>
      </c>
      <c r="C961" s="13" t="s">
        <v>55</v>
      </c>
      <c r="D961" s="13" t="s">
        <v>37</v>
      </c>
      <c r="E961" s="13" t="s">
        <v>93</v>
      </c>
      <c r="F961" s="13" t="s">
        <v>30</v>
      </c>
      <c r="G961" s="13" t="s">
        <v>31</v>
      </c>
      <c r="H961" s="13" t="s">
        <v>32</v>
      </c>
      <c r="I961" s="13" t="s">
        <v>46</v>
      </c>
      <c r="J961" s="13">
        <v>5</v>
      </c>
      <c r="K961" s="13">
        <v>43.96</v>
      </c>
      <c r="L961" s="13">
        <v>0.1</v>
      </c>
      <c r="M961" s="13">
        <v>197.82</v>
      </c>
      <c r="N961" s="13">
        <v>111.08</v>
      </c>
      <c r="O961" s="13">
        <v>86.74</v>
      </c>
      <c r="P961" s="13">
        <v>3.6</v>
      </c>
      <c r="Q961" s="13" t="s">
        <v>94</v>
      </c>
      <c r="R961" s="13">
        <v>2025</v>
      </c>
      <c r="S961" s="15" t="str">
        <f t="shared" si="84"/>
        <v>Low Profit</v>
      </c>
      <c r="T961" s="15" t="str">
        <f t="shared" si="85"/>
        <v>Low Sales</v>
      </c>
      <c r="U961" s="15" t="str">
        <f t="shared" si="86"/>
        <v>Needs Improvement</v>
      </c>
      <c r="V961" s="15" t="str">
        <f t="shared" si="87"/>
        <v>Normal Discount</v>
      </c>
      <c r="W961" s="15">
        <f>VLOOKUP(D961,Lookup_Table!$A:$C,2,FALSE)</f>
        <v>0.16</v>
      </c>
      <c r="X961" s="15">
        <f t="shared" si="88"/>
        <v>0.438479425740572</v>
      </c>
      <c r="Y961" s="15" t="str">
        <f>VLOOKUP(D961,Lookup_Table!A:C,3,0)</f>
        <v>Vikram</v>
      </c>
      <c r="Z961" s="15" t="str">
        <f t="shared" si="89"/>
        <v>Achived</v>
      </c>
    </row>
    <row r="962" spans="1:26">
      <c r="A962" s="13" t="s">
        <v>1053</v>
      </c>
      <c r="B962" s="14">
        <v>45725</v>
      </c>
      <c r="C962" s="13" t="s">
        <v>27</v>
      </c>
      <c r="D962" s="13" t="s">
        <v>28</v>
      </c>
      <c r="E962" s="13" t="s">
        <v>90</v>
      </c>
      <c r="F962" s="13" t="s">
        <v>39</v>
      </c>
      <c r="G962" s="13" t="s">
        <v>40</v>
      </c>
      <c r="H962" s="13" t="s">
        <v>41</v>
      </c>
      <c r="I962" s="13" t="s">
        <v>96</v>
      </c>
      <c r="J962" s="13">
        <v>5</v>
      </c>
      <c r="K962" s="13">
        <v>160.94</v>
      </c>
      <c r="L962" s="13">
        <v>0.15</v>
      </c>
      <c r="M962" s="13">
        <v>684</v>
      </c>
      <c r="N962" s="13">
        <v>384.07</v>
      </c>
      <c r="O962" s="13">
        <v>299.93</v>
      </c>
      <c r="P962" s="13">
        <v>3.2</v>
      </c>
      <c r="Q962" s="13" t="s">
        <v>94</v>
      </c>
      <c r="R962" s="13">
        <v>2025</v>
      </c>
      <c r="S962" s="15" t="str">
        <f t="shared" ref="S962:S1001" si="90">IF(O962&gt;500,"High Profit","Low Profit")</f>
        <v>Low Profit</v>
      </c>
      <c r="T962" s="15" t="str">
        <f t="shared" ref="T962:T1001" si="91">IF(M962&gt;1000,"High Sales","Low Sales")</f>
        <v>Low Sales</v>
      </c>
      <c r="U962" s="15" t="str">
        <f t="shared" ref="U962:U1001" si="92">IF(P962&gt;=4,"Good","Needs Improvement")</f>
        <v>Needs Improvement</v>
      </c>
      <c r="V962" s="15" t="str">
        <f t="shared" ref="V962:V1001" si="93">IF(L962&gt;=15%,"High Discount","Normal Discount")</f>
        <v>High Discount</v>
      </c>
      <c r="W962" s="15">
        <f>VLOOKUP(D962,Lookup_Table!$A:$C,2,FALSE)</f>
        <v>0.2</v>
      </c>
      <c r="X962" s="15">
        <f t="shared" ref="X962:X1001" si="94">O962/M962</f>
        <v>0.438494152046784</v>
      </c>
      <c r="Y962" s="15" t="str">
        <f>VLOOKUP(D962,Lookup_Table!A:C,3,0)</f>
        <v>Sneha</v>
      </c>
      <c r="Z962" s="15" t="str">
        <f t="shared" ref="Z962:Z1001" si="95">IF(X962&gt;=W962,"Achived","Not Achieved")</f>
        <v>Achived</v>
      </c>
    </row>
    <row r="963" spans="1:26">
      <c r="A963" s="13" t="s">
        <v>1054</v>
      </c>
      <c r="B963" s="14">
        <v>45756</v>
      </c>
      <c r="C963" s="13" t="s">
        <v>27</v>
      </c>
      <c r="D963" s="13" t="s">
        <v>28</v>
      </c>
      <c r="E963" s="13" t="s">
        <v>90</v>
      </c>
      <c r="F963" s="13" t="s">
        <v>62</v>
      </c>
      <c r="G963" s="13" t="s">
        <v>63</v>
      </c>
      <c r="H963" s="13" t="s">
        <v>32</v>
      </c>
      <c r="I963" s="13" t="s">
        <v>52</v>
      </c>
      <c r="J963" s="13">
        <v>5</v>
      </c>
      <c r="K963" s="13">
        <v>22.98</v>
      </c>
      <c r="L963" s="13">
        <v>0</v>
      </c>
      <c r="M963" s="13">
        <v>114.9</v>
      </c>
      <c r="N963" s="13">
        <v>64.5</v>
      </c>
      <c r="O963" s="13">
        <v>50.4</v>
      </c>
      <c r="P963" s="13">
        <v>3.2</v>
      </c>
      <c r="Q963" s="13" t="s">
        <v>84</v>
      </c>
      <c r="R963" s="13">
        <v>2025</v>
      </c>
      <c r="S963" s="15" t="str">
        <f t="shared" si="90"/>
        <v>Low Profit</v>
      </c>
      <c r="T963" s="15" t="str">
        <f t="shared" si="91"/>
        <v>Low Sales</v>
      </c>
      <c r="U963" s="15" t="str">
        <f t="shared" si="92"/>
        <v>Needs Improvement</v>
      </c>
      <c r="V963" s="15" t="str">
        <f t="shared" si="93"/>
        <v>Normal Discount</v>
      </c>
      <c r="W963" s="15">
        <f>VLOOKUP(D963,Lookup_Table!$A:$C,2,FALSE)</f>
        <v>0.2</v>
      </c>
      <c r="X963" s="15">
        <f t="shared" si="94"/>
        <v>0.438642297650131</v>
      </c>
      <c r="Y963" s="15" t="str">
        <f>VLOOKUP(D963,Lookup_Table!A:C,3,0)</f>
        <v>Sneha</v>
      </c>
      <c r="Z963" s="15" t="str">
        <f t="shared" si="95"/>
        <v>Achived</v>
      </c>
    </row>
    <row r="964" spans="1:26">
      <c r="A964" s="13" t="s">
        <v>1055</v>
      </c>
      <c r="B964" s="14">
        <v>45977</v>
      </c>
      <c r="C964" s="13" t="s">
        <v>27</v>
      </c>
      <c r="D964" s="13" t="s">
        <v>44</v>
      </c>
      <c r="E964" s="13" t="s">
        <v>143</v>
      </c>
      <c r="F964" s="13" t="s">
        <v>116</v>
      </c>
      <c r="G964" s="13" t="s">
        <v>117</v>
      </c>
      <c r="H964" s="13" t="s">
        <v>32</v>
      </c>
      <c r="I964" s="13" t="s">
        <v>33</v>
      </c>
      <c r="J964" s="13">
        <v>7</v>
      </c>
      <c r="K964" s="13">
        <v>602.92</v>
      </c>
      <c r="L964" s="13">
        <v>0</v>
      </c>
      <c r="M964" s="13">
        <v>4220.44</v>
      </c>
      <c r="N964" s="13">
        <v>2369.13</v>
      </c>
      <c r="O964" s="13">
        <v>1851.31</v>
      </c>
      <c r="P964" s="13">
        <v>4.4</v>
      </c>
      <c r="Q964" s="13" t="s">
        <v>71</v>
      </c>
      <c r="R964" s="13">
        <v>2025</v>
      </c>
      <c r="S964" s="15" t="str">
        <f t="shared" si="90"/>
        <v>High Profit</v>
      </c>
      <c r="T964" s="15" t="str">
        <f t="shared" si="91"/>
        <v>High Sales</v>
      </c>
      <c r="U964" s="15" t="str">
        <f t="shared" si="92"/>
        <v>Good</v>
      </c>
      <c r="V964" s="15" t="str">
        <f t="shared" si="93"/>
        <v>Normal Discount</v>
      </c>
      <c r="W964" s="15">
        <f>VLOOKUP(D964,Lookup_Table!$A:$C,2,FALSE)</f>
        <v>0.18</v>
      </c>
      <c r="X964" s="15">
        <f t="shared" si="94"/>
        <v>0.438653315768024</v>
      </c>
      <c r="Y964" s="15" t="str">
        <f>VLOOKUP(D964,Lookup_Table!A:C,3,0)</f>
        <v>Amit</v>
      </c>
      <c r="Z964" s="15" t="str">
        <f t="shared" si="95"/>
        <v>Achived</v>
      </c>
    </row>
    <row r="965" spans="1:26">
      <c r="A965" s="13" t="s">
        <v>1056</v>
      </c>
      <c r="B965" s="14">
        <v>45781</v>
      </c>
      <c r="C965" s="13" t="s">
        <v>27</v>
      </c>
      <c r="D965" s="13" t="s">
        <v>80</v>
      </c>
      <c r="E965" s="13" t="s">
        <v>191</v>
      </c>
      <c r="F965" s="13" t="s">
        <v>98</v>
      </c>
      <c r="G965" s="13" t="s">
        <v>99</v>
      </c>
      <c r="H965" s="13" t="s">
        <v>77</v>
      </c>
      <c r="I965" s="13" t="s">
        <v>33</v>
      </c>
      <c r="J965" s="13">
        <v>2</v>
      </c>
      <c r="K965" s="13">
        <v>18.64</v>
      </c>
      <c r="L965" s="13">
        <v>0.05</v>
      </c>
      <c r="M965" s="13">
        <v>35.42</v>
      </c>
      <c r="N965" s="13">
        <v>19.88</v>
      </c>
      <c r="O965" s="13">
        <v>15.54</v>
      </c>
      <c r="P965" s="13">
        <v>3.2</v>
      </c>
      <c r="Q965" s="13" t="s">
        <v>42</v>
      </c>
      <c r="R965" s="13">
        <v>2025</v>
      </c>
      <c r="S965" s="15" t="str">
        <f t="shared" si="90"/>
        <v>Low Profit</v>
      </c>
      <c r="T965" s="15" t="str">
        <f t="shared" si="91"/>
        <v>Low Sales</v>
      </c>
      <c r="U965" s="15" t="str">
        <f t="shared" si="92"/>
        <v>Needs Improvement</v>
      </c>
      <c r="V965" s="15" t="str">
        <f t="shared" si="93"/>
        <v>Normal Discount</v>
      </c>
      <c r="W965" s="15">
        <f>VLOOKUP(D965,Lookup_Table!$A:$C,2,FALSE)</f>
        <v>0.12</v>
      </c>
      <c r="X965" s="15">
        <f t="shared" si="94"/>
        <v>0.438735177865613</v>
      </c>
      <c r="Y965" s="15" t="str">
        <f>VLOOKUP(D965,Lookup_Table!A:C,3,0)</f>
        <v>Rahul</v>
      </c>
      <c r="Z965" s="15" t="str">
        <f t="shared" si="95"/>
        <v>Achived</v>
      </c>
    </row>
    <row r="966" spans="1:26">
      <c r="A966" s="13" t="s">
        <v>1057</v>
      </c>
      <c r="B966" s="14">
        <v>45724</v>
      </c>
      <c r="C966" s="13" t="s">
        <v>27</v>
      </c>
      <c r="D966" s="13" t="s">
        <v>28</v>
      </c>
      <c r="E966" s="13" t="s">
        <v>90</v>
      </c>
      <c r="F966" s="13" t="s">
        <v>82</v>
      </c>
      <c r="G966" s="13" t="s">
        <v>83</v>
      </c>
      <c r="H966" s="13" t="s">
        <v>77</v>
      </c>
      <c r="I966" s="13" t="s">
        <v>33</v>
      </c>
      <c r="J966" s="13">
        <v>1</v>
      </c>
      <c r="K966" s="13">
        <v>62.13</v>
      </c>
      <c r="L966" s="13">
        <v>0.1</v>
      </c>
      <c r="M966" s="13">
        <v>55.92</v>
      </c>
      <c r="N966" s="13">
        <v>31.33</v>
      </c>
      <c r="O966" s="13">
        <v>24.59</v>
      </c>
      <c r="P966" s="13">
        <v>3.7</v>
      </c>
      <c r="Q966" s="13" t="s">
        <v>94</v>
      </c>
      <c r="R966" s="13">
        <v>2025</v>
      </c>
      <c r="S966" s="15" t="str">
        <f t="shared" si="90"/>
        <v>Low Profit</v>
      </c>
      <c r="T966" s="15" t="str">
        <f t="shared" si="91"/>
        <v>Low Sales</v>
      </c>
      <c r="U966" s="15" t="str">
        <f t="shared" si="92"/>
        <v>Needs Improvement</v>
      </c>
      <c r="V966" s="15" t="str">
        <f t="shared" si="93"/>
        <v>Normal Discount</v>
      </c>
      <c r="W966" s="15">
        <f>VLOOKUP(D966,Lookup_Table!$A:$C,2,FALSE)</f>
        <v>0.2</v>
      </c>
      <c r="X966" s="15">
        <f t="shared" si="94"/>
        <v>0.439735336194564</v>
      </c>
      <c r="Y966" s="15" t="str">
        <f>VLOOKUP(D966,Lookup_Table!A:C,3,0)</f>
        <v>Sneha</v>
      </c>
      <c r="Z966" s="15" t="str">
        <f t="shared" si="95"/>
        <v>Achived</v>
      </c>
    </row>
    <row r="967" spans="1:26">
      <c r="A967" s="13" t="s">
        <v>1058</v>
      </c>
      <c r="B967" s="14">
        <v>46022</v>
      </c>
      <c r="C967" s="13" t="s">
        <v>27</v>
      </c>
      <c r="D967" s="13" t="s">
        <v>37</v>
      </c>
      <c r="E967" s="13" t="s">
        <v>38</v>
      </c>
      <c r="F967" s="13" t="s">
        <v>82</v>
      </c>
      <c r="G967" s="13" t="s">
        <v>83</v>
      </c>
      <c r="H967" s="13" t="s">
        <v>77</v>
      </c>
      <c r="I967" s="13" t="s">
        <v>96</v>
      </c>
      <c r="J967" s="13">
        <v>7</v>
      </c>
      <c r="K967" s="13">
        <v>87.36</v>
      </c>
      <c r="L967" s="13">
        <v>0</v>
      </c>
      <c r="M967" s="13">
        <v>611.52</v>
      </c>
      <c r="N967" s="13">
        <v>342.47</v>
      </c>
      <c r="O967" s="13">
        <v>269.05</v>
      </c>
      <c r="P967" s="13">
        <v>4.5</v>
      </c>
      <c r="Q967" s="13" t="s">
        <v>34</v>
      </c>
      <c r="R967" s="13">
        <v>2025</v>
      </c>
      <c r="S967" s="15" t="str">
        <f t="shared" si="90"/>
        <v>Low Profit</v>
      </c>
      <c r="T967" s="15" t="str">
        <f t="shared" si="91"/>
        <v>Low Sales</v>
      </c>
      <c r="U967" s="15" t="str">
        <f t="shared" si="92"/>
        <v>Good</v>
      </c>
      <c r="V967" s="15" t="str">
        <f t="shared" si="93"/>
        <v>Normal Discount</v>
      </c>
      <c r="W967" s="15">
        <f>VLOOKUP(D967,Lookup_Table!$A:$C,2,FALSE)</f>
        <v>0.16</v>
      </c>
      <c r="X967" s="15">
        <f t="shared" si="94"/>
        <v>0.439969256933543</v>
      </c>
      <c r="Y967" s="15" t="str">
        <f>VLOOKUP(D967,Lookup_Table!A:C,3,0)</f>
        <v>Vikram</v>
      </c>
      <c r="Z967" s="15" t="str">
        <f t="shared" si="95"/>
        <v>Achived</v>
      </c>
    </row>
    <row r="968" spans="1:26">
      <c r="A968" s="13" t="s">
        <v>1059</v>
      </c>
      <c r="B968" s="14">
        <v>45809</v>
      </c>
      <c r="C968" s="13" t="s">
        <v>27</v>
      </c>
      <c r="D968" s="13" t="s">
        <v>80</v>
      </c>
      <c r="E968" s="13" t="s">
        <v>81</v>
      </c>
      <c r="F968" s="13" t="s">
        <v>50</v>
      </c>
      <c r="G968" s="13" t="s">
        <v>51</v>
      </c>
      <c r="H968" s="13" t="s">
        <v>32</v>
      </c>
      <c r="I968" s="13" t="s">
        <v>46</v>
      </c>
      <c r="J968" s="13">
        <v>2</v>
      </c>
      <c r="K968" s="13">
        <v>30.19</v>
      </c>
      <c r="L968" s="13">
        <v>0</v>
      </c>
      <c r="M968" s="13">
        <v>60.38</v>
      </c>
      <c r="N968" s="13">
        <v>33.79</v>
      </c>
      <c r="O968" s="13">
        <v>26.59</v>
      </c>
      <c r="P968" s="13">
        <v>2.8</v>
      </c>
      <c r="Q968" s="13" t="s">
        <v>58</v>
      </c>
      <c r="R968" s="13">
        <v>2025</v>
      </c>
      <c r="S968" s="15" t="str">
        <f t="shared" si="90"/>
        <v>Low Profit</v>
      </c>
      <c r="T968" s="15" t="str">
        <f t="shared" si="91"/>
        <v>Low Sales</v>
      </c>
      <c r="U968" s="15" t="str">
        <f t="shared" si="92"/>
        <v>Needs Improvement</v>
      </c>
      <c r="V968" s="15" t="str">
        <f t="shared" si="93"/>
        <v>Normal Discount</v>
      </c>
      <c r="W968" s="15">
        <f>VLOOKUP(D968,Lookup_Table!$A:$C,2,FALSE)</f>
        <v>0.12</v>
      </c>
      <c r="X968" s="15">
        <f t="shared" si="94"/>
        <v>0.440377608479629</v>
      </c>
      <c r="Y968" s="15" t="str">
        <f>VLOOKUP(D968,Lookup_Table!A:C,3,0)</f>
        <v>Rahul</v>
      </c>
      <c r="Z968" s="15" t="str">
        <f t="shared" si="95"/>
        <v>Achived</v>
      </c>
    </row>
    <row r="969" spans="1:26">
      <c r="A969" s="13" t="s">
        <v>1060</v>
      </c>
      <c r="B969" s="14">
        <v>45679</v>
      </c>
      <c r="C969" s="13" t="s">
        <v>27</v>
      </c>
      <c r="D969" s="13" t="s">
        <v>60</v>
      </c>
      <c r="E969" s="13" t="s">
        <v>150</v>
      </c>
      <c r="F969" s="13" t="s">
        <v>98</v>
      </c>
      <c r="G969" s="13" t="s">
        <v>99</v>
      </c>
      <c r="H969" s="13" t="s">
        <v>77</v>
      </c>
      <c r="I969" s="13" t="s">
        <v>33</v>
      </c>
      <c r="J969" s="13">
        <v>6</v>
      </c>
      <c r="K969" s="13">
        <v>383.04</v>
      </c>
      <c r="L969" s="13">
        <v>0.15</v>
      </c>
      <c r="M969" s="13">
        <v>1953.5</v>
      </c>
      <c r="N969" s="13">
        <v>1092.72</v>
      </c>
      <c r="O969" s="13">
        <v>860.78</v>
      </c>
      <c r="P969" s="13">
        <v>3.8</v>
      </c>
      <c r="Q969" s="13" t="s">
        <v>64</v>
      </c>
      <c r="R969" s="13">
        <v>2025</v>
      </c>
      <c r="S969" s="15" t="str">
        <f t="shared" si="90"/>
        <v>High Profit</v>
      </c>
      <c r="T969" s="15" t="str">
        <f t="shared" si="91"/>
        <v>High Sales</v>
      </c>
      <c r="U969" s="15" t="str">
        <f t="shared" si="92"/>
        <v>Needs Improvement</v>
      </c>
      <c r="V969" s="15" t="str">
        <f t="shared" si="93"/>
        <v>High Discount</v>
      </c>
      <c r="W969" s="15">
        <f>VLOOKUP(D969,Lookup_Table!$A:$C,2,FALSE)</f>
        <v>0.15</v>
      </c>
      <c r="X969" s="15">
        <f t="shared" si="94"/>
        <v>0.44063475812644</v>
      </c>
      <c r="Y969" s="15" t="str">
        <f>VLOOKUP(D969,Lookup_Table!A:C,3,0)</f>
        <v>Priya</v>
      </c>
      <c r="Z969" s="15" t="str">
        <f t="shared" si="95"/>
        <v>Achived</v>
      </c>
    </row>
    <row r="970" spans="1:26">
      <c r="A970" s="13" t="s">
        <v>1061</v>
      </c>
      <c r="B970" s="14">
        <v>45925</v>
      </c>
      <c r="C970" s="13" t="s">
        <v>27</v>
      </c>
      <c r="D970" s="13" t="s">
        <v>60</v>
      </c>
      <c r="E970" s="13" t="s">
        <v>61</v>
      </c>
      <c r="F970" s="13" t="s">
        <v>30</v>
      </c>
      <c r="G970" s="13" t="s">
        <v>31</v>
      </c>
      <c r="H970" s="13" t="s">
        <v>32</v>
      </c>
      <c r="I970" s="13" t="s">
        <v>96</v>
      </c>
      <c r="J970" s="13">
        <v>7</v>
      </c>
      <c r="K970" s="13">
        <v>202.18</v>
      </c>
      <c r="L970" s="13">
        <v>0.15</v>
      </c>
      <c r="M970" s="13">
        <v>1202.97</v>
      </c>
      <c r="N970" s="13">
        <v>672.85</v>
      </c>
      <c r="O970" s="13">
        <v>530.12</v>
      </c>
      <c r="P970" s="13">
        <v>4.6</v>
      </c>
      <c r="Q970" s="13" t="s">
        <v>53</v>
      </c>
      <c r="R970" s="13">
        <v>2025</v>
      </c>
      <c r="S970" s="15" t="str">
        <f t="shared" si="90"/>
        <v>High Profit</v>
      </c>
      <c r="T970" s="15" t="str">
        <f t="shared" si="91"/>
        <v>High Sales</v>
      </c>
      <c r="U970" s="15" t="str">
        <f t="shared" si="92"/>
        <v>Good</v>
      </c>
      <c r="V970" s="15" t="str">
        <f t="shared" si="93"/>
        <v>High Discount</v>
      </c>
      <c r="W970" s="15">
        <f>VLOOKUP(D970,Lookup_Table!$A:$C,2,FALSE)</f>
        <v>0.15</v>
      </c>
      <c r="X970" s="15">
        <f t="shared" si="94"/>
        <v>0.44067599358255</v>
      </c>
      <c r="Y970" s="15" t="str">
        <f>VLOOKUP(D970,Lookup_Table!A:C,3,0)</f>
        <v>Priya</v>
      </c>
      <c r="Z970" s="15" t="str">
        <f t="shared" si="95"/>
        <v>Achived</v>
      </c>
    </row>
    <row r="971" spans="1:26">
      <c r="A971" s="13" t="s">
        <v>1062</v>
      </c>
      <c r="B971" s="14">
        <v>45798</v>
      </c>
      <c r="C971" s="13" t="s">
        <v>36</v>
      </c>
      <c r="D971" s="13" t="s">
        <v>44</v>
      </c>
      <c r="E971" s="13" t="s">
        <v>45</v>
      </c>
      <c r="F971" s="13" t="s">
        <v>67</v>
      </c>
      <c r="G971" s="13" t="s">
        <v>68</v>
      </c>
      <c r="H971" s="13" t="s">
        <v>69</v>
      </c>
      <c r="I971" s="13" t="s">
        <v>96</v>
      </c>
      <c r="J971" s="13">
        <v>1</v>
      </c>
      <c r="K971" s="13">
        <v>657.11</v>
      </c>
      <c r="L971" s="13">
        <v>0.15</v>
      </c>
      <c r="M971" s="13">
        <v>558.54</v>
      </c>
      <c r="N971" s="13">
        <v>312.4</v>
      </c>
      <c r="O971" s="13">
        <v>246.14</v>
      </c>
      <c r="P971" s="13">
        <v>3.8</v>
      </c>
      <c r="Q971" s="13" t="s">
        <v>42</v>
      </c>
      <c r="R971" s="13">
        <v>2025</v>
      </c>
      <c r="S971" s="15" t="str">
        <f t="shared" si="90"/>
        <v>Low Profit</v>
      </c>
      <c r="T971" s="15" t="str">
        <f t="shared" si="91"/>
        <v>Low Sales</v>
      </c>
      <c r="U971" s="15" t="str">
        <f t="shared" si="92"/>
        <v>Needs Improvement</v>
      </c>
      <c r="V971" s="15" t="str">
        <f t="shared" si="93"/>
        <v>High Discount</v>
      </c>
      <c r="W971" s="15">
        <f>VLOOKUP(D971,Lookup_Table!$A:$C,2,FALSE)</f>
        <v>0.18</v>
      </c>
      <c r="X971" s="15">
        <f t="shared" si="94"/>
        <v>0.440684642102625</v>
      </c>
      <c r="Y971" s="15" t="str">
        <f>VLOOKUP(D971,Lookup_Table!A:C,3,0)</f>
        <v>Amit</v>
      </c>
      <c r="Z971" s="15" t="str">
        <f t="shared" si="95"/>
        <v>Achived</v>
      </c>
    </row>
    <row r="972" spans="1:26">
      <c r="A972" s="13" t="s">
        <v>1063</v>
      </c>
      <c r="B972" s="14">
        <v>45991</v>
      </c>
      <c r="C972" s="13" t="s">
        <v>36</v>
      </c>
      <c r="D972" s="13" t="s">
        <v>28</v>
      </c>
      <c r="E972" s="13" t="s">
        <v>73</v>
      </c>
      <c r="F972" s="13" t="s">
        <v>39</v>
      </c>
      <c r="G972" s="13" t="s">
        <v>40</v>
      </c>
      <c r="H972" s="13" t="s">
        <v>41</v>
      </c>
      <c r="I972" s="13" t="s">
        <v>52</v>
      </c>
      <c r="J972" s="13">
        <v>7</v>
      </c>
      <c r="K972" s="13">
        <v>64.49</v>
      </c>
      <c r="L972" s="13">
        <v>0.1</v>
      </c>
      <c r="M972" s="13">
        <v>406.29</v>
      </c>
      <c r="N972" s="13">
        <v>227.22</v>
      </c>
      <c r="O972" s="13">
        <v>179.07</v>
      </c>
      <c r="P972" s="13">
        <v>4.6</v>
      </c>
      <c r="Q972" s="13" t="s">
        <v>71</v>
      </c>
      <c r="R972" s="13">
        <v>2025</v>
      </c>
      <c r="S972" s="15" t="str">
        <f t="shared" si="90"/>
        <v>Low Profit</v>
      </c>
      <c r="T972" s="15" t="str">
        <f t="shared" si="91"/>
        <v>Low Sales</v>
      </c>
      <c r="U972" s="15" t="str">
        <f t="shared" si="92"/>
        <v>Good</v>
      </c>
      <c r="V972" s="15" t="str">
        <f t="shared" si="93"/>
        <v>Normal Discount</v>
      </c>
      <c r="W972" s="15">
        <f>VLOOKUP(D972,Lookup_Table!$A:$C,2,FALSE)</f>
        <v>0.2</v>
      </c>
      <c r="X972" s="15">
        <f t="shared" si="94"/>
        <v>0.440744295946245</v>
      </c>
      <c r="Y972" s="15" t="str">
        <f>VLOOKUP(D972,Lookup_Table!A:C,3,0)</f>
        <v>Sneha</v>
      </c>
      <c r="Z972" s="15" t="str">
        <f t="shared" si="95"/>
        <v>Achived</v>
      </c>
    </row>
    <row r="973" spans="1:26">
      <c r="A973" s="13" t="s">
        <v>1064</v>
      </c>
      <c r="B973" s="14">
        <v>45800</v>
      </c>
      <c r="C973" s="13" t="s">
        <v>36</v>
      </c>
      <c r="D973" s="13" t="s">
        <v>80</v>
      </c>
      <c r="E973" s="13" t="s">
        <v>191</v>
      </c>
      <c r="F973" s="13" t="s">
        <v>116</v>
      </c>
      <c r="G973" s="13" t="s">
        <v>117</v>
      </c>
      <c r="H973" s="13" t="s">
        <v>32</v>
      </c>
      <c r="I973" s="13" t="s">
        <v>52</v>
      </c>
      <c r="J973" s="13">
        <v>5</v>
      </c>
      <c r="K973" s="13">
        <v>65.89</v>
      </c>
      <c r="L973" s="13">
        <v>0.1</v>
      </c>
      <c r="M973" s="13">
        <v>296.5</v>
      </c>
      <c r="N973" s="13">
        <v>165.58</v>
      </c>
      <c r="O973" s="13">
        <v>130.92</v>
      </c>
      <c r="P973" s="13">
        <v>3</v>
      </c>
      <c r="Q973" s="13" t="s">
        <v>42</v>
      </c>
      <c r="R973" s="13">
        <v>2025</v>
      </c>
      <c r="S973" s="15" t="str">
        <f t="shared" si="90"/>
        <v>Low Profit</v>
      </c>
      <c r="T973" s="15" t="str">
        <f t="shared" si="91"/>
        <v>Low Sales</v>
      </c>
      <c r="U973" s="15" t="str">
        <f t="shared" si="92"/>
        <v>Needs Improvement</v>
      </c>
      <c r="V973" s="15" t="str">
        <f t="shared" si="93"/>
        <v>Normal Discount</v>
      </c>
      <c r="W973" s="15">
        <f>VLOOKUP(D973,Lookup_Table!$A:$C,2,FALSE)</f>
        <v>0.12</v>
      </c>
      <c r="X973" s="15">
        <f t="shared" si="94"/>
        <v>0.441551433389545</v>
      </c>
      <c r="Y973" s="15" t="str">
        <f>VLOOKUP(D973,Lookup_Table!A:C,3,0)</f>
        <v>Rahul</v>
      </c>
      <c r="Z973" s="15" t="str">
        <f t="shared" si="95"/>
        <v>Achived</v>
      </c>
    </row>
    <row r="974" spans="1:26">
      <c r="A974" s="13" t="s">
        <v>1065</v>
      </c>
      <c r="B974" s="14">
        <v>45683</v>
      </c>
      <c r="C974" s="13" t="s">
        <v>27</v>
      </c>
      <c r="D974" s="13" t="s">
        <v>80</v>
      </c>
      <c r="E974" s="13" t="s">
        <v>101</v>
      </c>
      <c r="F974" s="13" t="s">
        <v>50</v>
      </c>
      <c r="G974" s="13" t="s">
        <v>51</v>
      </c>
      <c r="H974" s="13" t="s">
        <v>32</v>
      </c>
      <c r="I974" s="13" t="s">
        <v>33</v>
      </c>
      <c r="J974" s="13">
        <v>5</v>
      </c>
      <c r="K974" s="13">
        <v>34.53</v>
      </c>
      <c r="L974" s="13">
        <v>0.05</v>
      </c>
      <c r="M974" s="13">
        <v>164.02</v>
      </c>
      <c r="N974" s="13">
        <v>91.48</v>
      </c>
      <c r="O974" s="13">
        <v>72.54</v>
      </c>
      <c r="P974" s="13">
        <v>2.8</v>
      </c>
      <c r="Q974" s="13" t="s">
        <v>64</v>
      </c>
      <c r="R974" s="13">
        <v>2025</v>
      </c>
      <c r="S974" s="15" t="str">
        <f t="shared" si="90"/>
        <v>Low Profit</v>
      </c>
      <c r="T974" s="15" t="str">
        <f t="shared" si="91"/>
        <v>Low Sales</v>
      </c>
      <c r="U974" s="15" t="str">
        <f t="shared" si="92"/>
        <v>Needs Improvement</v>
      </c>
      <c r="V974" s="15" t="str">
        <f t="shared" si="93"/>
        <v>Normal Discount</v>
      </c>
      <c r="W974" s="15">
        <f>VLOOKUP(D974,Lookup_Table!$A:$C,2,FALSE)</f>
        <v>0.12</v>
      </c>
      <c r="X974" s="15">
        <f t="shared" si="94"/>
        <v>0.442263138641629</v>
      </c>
      <c r="Y974" s="15" t="str">
        <f>VLOOKUP(D974,Lookup_Table!A:C,3,0)</f>
        <v>Rahul</v>
      </c>
      <c r="Z974" s="15" t="str">
        <f t="shared" si="95"/>
        <v>Achived</v>
      </c>
    </row>
    <row r="975" spans="1:26">
      <c r="A975" s="13" t="s">
        <v>1066</v>
      </c>
      <c r="B975" s="14">
        <v>45911</v>
      </c>
      <c r="C975" s="13" t="s">
        <v>55</v>
      </c>
      <c r="D975" s="13" t="s">
        <v>44</v>
      </c>
      <c r="E975" s="13" t="s">
        <v>104</v>
      </c>
      <c r="F975" s="13" t="s">
        <v>82</v>
      </c>
      <c r="G975" s="13" t="s">
        <v>83</v>
      </c>
      <c r="H975" s="13" t="s">
        <v>77</v>
      </c>
      <c r="I975" s="13" t="s">
        <v>96</v>
      </c>
      <c r="J975" s="13">
        <v>5</v>
      </c>
      <c r="K975" s="13">
        <v>1210.95</v>
      </c>
      <c r="L975" s="13">
        <v>0.05</v>
      </c>
      <c r="M975" s="13">
        <v>5752.01</v>
      </c>
      <c r="N975" s="13">
        <v>3206.22</v>
      </c>
      <c r="O975" s="13">
        <v>2545.79</v>
      </c>
      <c r="P975" s="13">
        <v>2.7</v>
      </c>
      <c r="Q975" s="13" t="s">
        <v>53</v>
      </c>
      <c r="R975" s="13">
        <v>2025</v>
      </c>
      <c r="S975" s="15" t="str">
        <f t="shared" si="90"/>
        <v>High Profit</v>
      </c>
      <c r="T975" s="15" t="str">
        <f t="shared" si="91"/>
        <v>High Sales</v>
      </c>
      <c r="U975" s="15" t="str">
        <f t="shared" si="92"/>
        <v>Needs Improvement</v>
      </c>
      <c r="V975" s="15" t="str">
        <f t="shared" si="93"/>
        <v>Normal Discount</v>
      </c>
      <c r="W975" s="15">
        <f>VLOOKUP(D975,Lookup_Table!$A:$C,2,FALSE)</f>
        <v>0.18</v>
      </c>
      <c r="X975" s="15">
        <f t="shared" si="94"/>
        <v>0.442591372407211</v>
      </c>
      <c r="Y975" s="15" t="str">
        <f>VLOOKUP(D975,Lookup_Table!A:C,3,0)</f>
        <v>Amit</v>
      </c>
      <c r="Z975" s="15" t="str">
        <f t="shared" si="95"/>
        <v>Achived</v>
      </c>
    </row>
    <row r="976" spans="1:26">
      <c r="A976" s="13" t="s">
        <v>1067</v>
      </c>
      <c r="B976" s="14">
        <v>45750</v>
      </c>
      <c r="C976" s="13" t="s">
        <v>27</v>
      </c>
      <c r="D976" s="13" t="s">
        <v>44</v>
      </c>
      <c r="E976" s="13" t="s">
        <v>104</v>
      </c>
      <c r="F976" s="13" t="s">
        <v>98</v>
      </c>
      <c r="G976" s="13" t="s">
        <v>99</v>
      </c>
      <c r="H976" s="13" t="s">
        <v>77</v>
      </c>
      <c r="I976" s="13" t="s">
        <v>96</v>
      </c>
      <c r="J976" s="13">
        <v>5</v>
      </c>
      <c r="K976" s="13">
        <v>1335.77</v>
      </c>
      <c r="L976" s="13">
        <v>0.15</v>
      </c>
      <c r="M976" s="13">
        <v>5677.02</v>
      </c>
      <c r="N976" s="13">
        <v>3163.9</v>
      </c>
      <c r="O976" s="13">
        <v>2513.12</v>
      </c>
      <c r="P976" s="13">
        <v>2.7</v>
      </c>
      <c r="Q976" s="13" t="s">
        <v>84</v>
      </c>
      <c r="R976" s="13">
        <v>2025</v>
      </c>
      <c r="S976" s="15" t="str">
        <f t="shared" si="90"/>
        <v>High Profit</v>
      </c>
      <c r="T976" s="15" t="str">
        <f t="shared" si="91"/>
        <v>High Sales</v>
      </c>
      <c r="U976" s="15" t="str">
        <f t="shared" si="92"/>
        <v>Needs Improvement</v>
      </c>
      <c r="V976" s="15" t="str">
        <f t="shared" si="93"/>
        <v>High Discount</v>
      </c>
      <c r="W976" s="15">
        <f>VLOOKUP(D976,Lookup_Table!$A:$C,2,FALSE)</f>
        <v>0.18</v>
      </c>
      <c r="X976" s="15">
        <f t="shared" si="94"/>
        <v>0.442682956903446</v>
      </c>
      <c r="Y976" s="15" t="str">
        <f>VLOOKUP(D976,Lookup_Table!A:C,3,0)</f>
        <v>Amit</v>
      </c>
      <c r="Z976" s="15" t="str">
        <f t="shared" si="95"/>
        <v>Achived</v>
      </c>
    </row>
    <row r="977" spans="1:26">
      <c r="A977" s="13" t="s">
        <v>1068</v>
      </c>
      <c r="B977" s="14">
        <v>45700</v>
      </c>
      <c r="C977" s="13" t="s">
        <v>55</v>
      </c>
      <c r="D977" s="13" t="s">
        <v>80</v>
      </c>
      <c r="E977" s="13" t="s">
        <v>81</v>
      </c>
      <c r="F977" s="13" t="s">
        <v>50</v>
      </c>
      <c r="G977" s="13" t="s">
        <v>51</v>
      </c>
      <c r="H977" s="13" t="s">
        <v>32</v>
      </c>
      <c r="I977" s="13" t="s">
        <v>96</v>
      </c>
      <c r="J977" s="13">
        <v>3</v>
      </c>
      <c r="K977" s="13">
        <v>41.26</v>
      </c>
      <c r="L977" s="13">
        <v>0.05</v>
      </c>
      <c r="M977" s="13">
        <v>117.59</v>
      </c>
      <c r="N977" s="13">
        <v>65.52</v>
      </c>
      <c r="O977" s="13">
        <v>52.07</v>
      </c>
      <c r="P977" s="13">
        <v>4</v>
      </c>
      <c r="Q977" s="13" t="s">
        <v>105</v>
      </c>
      <c r="R977" s="13">
        <v>2025</v>
      </c>
      <c r="S977" s="15" t="str">
        <f t="shared" si="90"/>
        <v>Low Profit</v>
      </c>
      <c r="T977" s="15" t="str">
        <f t="shared" si="91"/>
        <v>Low Sales</v>
      </c>
      <c r="U977" s="15" t="str">
        <f t="shared" si="92"/>
        <v>Good</v>
      </c>
      <c r="V977" s="15" t="str">
        <f t="shared" si="93"/>
        <v>Normal Discount</v>
      </c>
      <c r="W977" s="15">
        <f>VLOOKUP(D977,Lookup_Table!$A:$C,2,FALSE)</f>
        <v>0.12</v>
      </c>
      <c r="X977" s="15">
        <f t="shared" si="94"/>
        <v>0.442809762734926</v>
      </c>
      <c r="Y977" s="15" t="str">
        <f>VLOOKUP(D977,Lookup_Table!A:C,3,0)</f>
        <v>Rahul</v>
      </c>
      <c r="Z977" s="15" t="str">
        <f t="shared" si="95"/>
        <v>Achived</v>
      </c>
    </row>
    <row r="978" spans="1:26">
      <c r="A978" s="13" t="s">
        <v>1069</v>
      </c>
      <c r="B978" s="14">
        <v>45970</v>
      </c>
      <c r="C978" s="13" t="s">
        <v>55</v>
      </c>
      <c r="D978" s="13" t="s">
        <v>37</v>
      </c>
      <c r="E978" s="13" t="s">
        <v>93</v>
      </c>
      <c r="F978" s="13" t="s">
        <v>75</v>
      </c>
      <c r="G978" s="13" t="s">
        <v>76</v>
      </c>
      <c r="H978" s="13" t="s">
        <v>77</v>
      </c>
      <c r="I978" s="13" t="s">
        <v>46</v>
      </c>
      <c r="J978" s="13">
        <v>5</v>
      </c>
      <c r="K978" s="13">
        <v>146.91</v>
      </c>
      <c r="L978" s="13">
        <v>0.1</v>
      </c>
      <c r="M978" s="13">
        <v>661.1</v>
      </c>
      <c r="N978" s="13">
        <v>368.25</v>
      </c>
      <c r="O978" s="13">
        <v>292.85</v>
      </c>
      <c r="P978" s="13">
        <v>4</v>
      </c>
      <c r="Q978" s="13" t="s">
        <v>71</v>
      </c>
      <c r="R978" s="13">
        <v>2025</v>
      </c>
      <c r="S978" s="15" t="str">
        <f t="shared" si="90"/>
        <v>Low Profit</v>
      </c>
      <c r="T978" s="15" t="str">
        <f t="shared" si="91"/>
        <v>Low Sales</v>
      </c>
      <c r="U978" s="15" t="str">
        <f t="shared" si="92"/>
        <v>Good</v>
      </c>
      <c r="V978" s="15" t="str">
        <f t="shared" si="93"/>
        <v>Normal Discount</v>
      </c>
      <c r="W978" s="15">
        <f>VLOOKUP(D978,Lookup_Table!$A:$C,2,FALSE)</f>
        <v>0.16</v>
      </c>
      <c r="X978" s="15">
        <f t="shared" si="94"/>
        <v>0.442973831492966</v>
      </c>
      <c r="Y978" s="15" t="str">
        <f>VLOOKUP(D978,Lookup_Table!A:C,3,0)</f>
        <v>Vikram</v>
      </c>
      <c r="Z978" s="15" t="str">
        <f t="shared" si="95"/>
        <v>Achived</v>
      </c>
    </row>
    <row r="979" spans="1:26">
      <c r="A979" s="13" t="s">
        <v>1070</v>
      </c>
      <c r="B979" s="14">
        <v>45687</v>
      </c>
      <c r="C979" s="13" t="s">
        <v>36</v>
      </c>
      <c r="D979" s="13" t="s">
        <v>60</v>
      </c>
      <c r="E979" s="13" t="s">
        <v>127</v>
      </c>
      <c r="F979" s="13" t="s">
        <v>30</v>
      </c>
      <c r="G979" s="13" t="s">
        <v>31</v>
      </c>
      <c r="H979" s="13" t="s">
        <v>32</v>
      </c>
      <c r="I979" s="13" t="s">
        <v>33</v>
      </c>
      <c r="J979" s="13">
        <v>7</v>
      </c>
      <c r="K979" s="13">
        <v>251.86</v>
      </c>
      <c r="L979" s="13">
        <v>0.15</v>
      </c>
      <c r="M979" s="13">
        <v>1498.57</v>
      </c>
      <c r="N979" s="13">
        <v>834.57</v>
      </c>
      <c r="O979" s="13">
        <v>664</v>
      </c>
      <c r="P979" s="13">
        <v>4.9</v>
      </c>
      <c r="Q979" s="13" t="s">
        <v>64</v>
      </c>
      <c r="R979" s="13">
        <v>2025</v>
      </c>
      <c r="S979" s="15" t="str">
        <f t="shared" si="90"/>
        <v>High Profit</v>
      </c>
      <c r="T979" s="15" t="str">
        <f t="shared" si="91"/>
        <v>High Sales</v>
      </c>
      <c r="U979" s="15" t="str">
        <f t="shared" si="92"/>
        <v>Good</v>
      </c>
      <c r="V979" s="15" t="str">
        <f t="shared" si="93"/>
        <v>High Discount</v>
      </c>
      <c r="W979" s="15">
        <f>VLOOKUP(D979,Lookup_Table!$A:$C,2,FALSE)</f>
        <v>0.15</v>
      </c>
      <c r="X979" s="15">
        <f t="shared" si="94"/>
        <v>0.443089078254603</v>
      </c>
      <c r="Y979" s="15" t="str">
        <f>VLOOKUP(D979,Lookup_Table!A:C,3,0)</f>
        <v>Priya</v>
      </c>
      <c r="Z979" s="15" t="str">
        <f t="shared" si="95"/>
        <v>Achived</v>
      </c>
    </row>
    <row r="980" spans="1:26">
      <c r="A980" s="13" t="s">
        <v>1071</v>
      </c>
      <c r="B980" s="14">
        <v>45765</v>
      </c>
      <c r="C980" s="13" t="s">
        <v>36</v>
      </c>
      <c r="D980" s="13" t="s">
        <v>37</v>
      </c>
      <c r="E980" s="13" t="s">
        <v>109</v>
      </c>
      <c r="F980" s="13" t="s">
        <v>50</v>
      </c>
      <c r="G980" s="13" t="s">
        <v>51</v>
      </c>
      <c r="H980" s="13" t="s">
        <v>32</v>
      </c>
      <c r="I980" s="13" t="s">
        <v>96</v>
      </c>
      <c r="J980" s="13">
        <v>7</v>
      </c>
      <c r="K980" s="13">
        <v>49.35</v>
      </c>
      <c r="L980" s="13">
        <v>0.15</v>
      </c>
      <c r="M980" s="13">
        <v>293.63</v>
      </c>
      <c r="N980" s="13">
        <v>163.48</v>
      </c>
      <c r="O980" s="13">
        <v>130.15</v>
      </c>
      <c r="P980" s="13">
        <v>4.3</v>
      </c>
      <c r="Q980" s="13" t="s">
        <v>84</v>
      </c>
      <c r="R980" s="13">
        <v>2025</v>
      </c>
      <c r="S980" s="15" t="str">
        <f t="shared" si="90"/>
        <v>Low Profit</v>
      </c>
      <c r="T980" s="15" t="str">
        <f t="shared" si="91"/>
        <v>Low Sales</v>
      </c>
      <c r="U980" s="15" t="str">
        <f t="shared" si="92"/>
        <v>Good</v>
      </c>
      <c r="V980" s="15" t="str">
        <f t="shared" si="93"/>
        <v>High Discount</v>
      </c>
      <c r="W980" s="15">
        <f>VLOOKUP(D980,Lookup_Table!$A:$C,2,FALSE)</f>
        <v>0.16</v>
      </c>
      <c r="X980" s="15">
        <f t="shared" si="94"/>
        <v>0.443244900044273</v>
      </c>
      <c r="Y980" s="15" t="str">
        <f>VLOOKUP(D980,Lookup_Table!A:C,3,0)</f>
        <v>Vikram</v>
      </c>
      <c r="Z980" s="15" t="str">
        <f t="shared" si="95"/>
        <v>Achived</v>
      </c>
    </row>
    <row r="981" spans="1:26">
      <c r="A981" s="13" t="s">
        <v>1072</v>
      </c>
      <c r="B981" s="14">
        <v>45795</v>
      </c>
      <c r="C981" s="13" t="s">
        <v>36</v>
      </c>
      <c r="D981" s="13" t="s">
        <v>44</v>
      </c>
      <c r="E981" s="13" t="s">
        <v>104</v>
      </c>
      <c r="F981" s="13" t="s">
        <v>98</v>
      </c>
      <c r="G981" s="13" t="s">
        <v>99</v>
      </c>
      <c r="H981" s="13" t="s">
        <v>77</v>
      </c>
      <c r="I981" s="13" t="s">
        <v>96</v>
      </c>
      <c r="J981" s="13">
        <v>6</v>
      </c>
      <c r="K981" s="13">
        <v>728.78</v>
      </c>
      <c r="L981" s="13">
        <v>0.05</v>
      </c>
      <c r="M981" s="13">
        <v>4154.05</v>
      </c>
      <c r="N981" s="13">
        <v>2310.79</v>
      </c>
      <c r="O981" s="13">
        <v>1843.26</v>
      </c>
      <c r="P981" s="13">
        <v>2.8</v>
      </c>
      <c r="Q981" s="13" t="s">
        <v>42</v>
      </c>
      <c r="R981" s="13">
        <v>2025</v>
      </c>
      <c r="S981" s="15" t="str">
        <f t="shared" si="90"/>
        <v>High Profit</v>
      </c>
      <c r="T981" s="15" t="str">
        <f t="shared" si="91"/>
        <v>High Sales</v>
      </c>
      <c r="U981" s="15" t="str">
        <f t="shared" si="92"/>
        <v>Needs Improvement</v>
      </c>
      <c r="V981" s="15" t="str">
        <f t="shared" si="93"/>
        <v>Normal Discount</v>
      </c>
      <c r="W981" s="15">
        <f>VLOOKUP(D981,Lookup_Table!$A:$C,2,FALSE)</f>
        <v>0.18</v>
      </c>
      <c r="X981" s="15">
        <f t="shared" si="94"/>
        <v>0.443726002335071</v>
      </c>
      <c r="Y981" s="15" t="str">
        <f>VLOOKUP(D981,Lookup_Table!A:C,3,0)</f>
        <v>Amit</v>
      </c>
      <c r="Z981" s="15" t="str">
        <f t="shared" si="95"/>
        <v>Achived</v>
      </c>
    </row>
    <row r="982" spans="1:26">
      <c r="A982" s="13" t="s">
        <v>1073</v>
      </c>
      <c r="B982" s="14">
        <v>45909</v>
      </c>
      <c r="C982" s="13" t="s">
        <v>27</v>
      </c>
      <c r="D982" s="13" t="s">
        <v>44</v>
      </c>
      <c r="E982" s="13" t="s">
        <v>45</v>
      </c>
      <c r="F982" s="13" t="s">
        <v>111</v>
      </c>
      <c r="G982" s="13" t="s">
        <v>76</v>
      </c>
      <c r="H982" s="13" t="s">
        <v>77</v>
      </c>
      <c r="I982" s="13" t="s">
        <v>46</v>
      </c>
      <c r="J982" s="13">
        <v>1</v>
      </c>
      <c r="K982" s="13">
        <v>115.78</v>
      </c>
      <c r="L982" s="13">
        <v>0.1</v>
      </c>
      <c r="M982" s="13">
        <v>104.2</v>
      </c>
      <c r="N982" s="13">
        <v>57.95</v>
      </c>
      <c r="O982" s="13">
        <v>46.25</v>
      </c>
      <c r="P982" s="13">
        <v>2.6</v>
      </c>
      <c r="Q982" s="13" t="s">
        <v>53</v>
      </c>
      <c r="R982" s="13">
        <v>2025</v>
      </c>
      <c r="S982" s="15" t="str">
        <f t="shared" si="90"/>
        <v>Low Profit</v>
      </c>
      <c r="T982" s="15" t="str">
        <f t="shared" si="91"/>
        <v>Low Sales</v>
      </c>
      <c r="U982" s="15" t="str">
        <f t="shared" si="92"/>
        <v>Needs Improvement</v>
      </c>
      <c r="V982" s="15" t="str">
        <f t="shared" si="93"/>
        <v>Normal Discount</v>
      </c>
      <c r="W982" s="15">
        <f>VLOOKUP(D982,Lookup_Table!$A:$C,2,FALSE)</f>
        <v>0.18</v>
      </c>
      <c r="X982" s="15">
        <f t="shared" si="94"/>
        <v>0.443857965451056</v>
      </c>
      <c r="Y982" s="15" t="str">
        <f>VLOOKUP(D982,Lookup_Table!A:C,3,0)</f>
        <v>Amit</v>
      </c>
      <c r="Z982" s="15" t="str">
        <f t="shared" si="95"/>
        <v>Achived</v>
      </c>
    </row>
    <row r="983" spans="1:26">
      <c r="A983" s="13" t="s">
        <v>1074</v>
      </c>
      <c r="B983" s="14">
        <v>46016</v>
      </c>
      <c r="C983" s="13" t="s">
        <v>27</v>
      </c>
      <c r="D983" s="13" t="s">
        <v>60</v>
      </c>
      <c r="E983" s="13" t="s">
        <v>66</v>
      </c>
      <c r="F983" s="13" t="s">
        <v>111</v>
      </c>
      <c r="G983" s="13" t="s">
        <v>76</v>
      </c>
      <c r="H983" s="13" t="s">
        <v>77</v>
      </c>
      <c r="I983" s="13" t="s">
        <v>96</v>
      </c>
      <c r="J983" s="13">
        <v>3</v>
      </c>
      <c r="K983" s="13">
        <v>133.31</v>
      </c>
      <c r="L983" s="13">
        <v>0.15</v>
      </c>
      <c r="M983" s="13">
        <v>339.94</v>
      </c>
      <c r="N983" s="13">
        <v>189.02</v>
      </c>
      <c r="O983" s="13">
        <v>150.92</v>
      </c>
      <c r="P983" s="13">
        <v>3.2</v>
      </c>
      <c r="Q983" s="13" t="s">
        <v>34</v>
      </c>
      <c r="R983" s="13">
        <v>2025</v>
      </c>
      <c r="S983" s="15" t="str">
        <f t="shared" si="90"/>
        <v>Low Profit</v>
      </c>
      <c r="T983" s="15" t="str">
        <f t="shared" si="91"/>
        <v>Low Sales</v>
      </c>
      <c r="U983" s="15" t="str">
        <f t="shared" si="92"/>
        <v>Needs Improvement</v>
      </c>
      <c r="V983" s="15" t="str">
        <f t="shared" si="93"/>
        <v>High Discount</v>
      </c>
      <c r="W983" s="15">
        <f>VLOOKUP(D983,Lookup_Table!$A:$C,2,FALSE)</f>
        <v>0.15</v>
      </c>
      <c r="X983" s="15">
        <f t="shared" si="94"/>
        <v>0.443960698946873</v>
      </c>
      <c r="Y983" s="15" t="str">
        <f>VLOOKUP(D983,Lookup_Table!A:C,3,0)</f>
        <v>Priya</v>
      </c>
      <c r="Z983" s="15" t="str">
        <f t="shared" si="95"/>
        <v>Achived</v>
      </c>
    </row>
    <row r="984" spans="1:26">
      <c r="A984" s="13" t="s">
        <v>1075</v>
      </c>
      <c r="B984" s="14">
        <v>45939</v>
      </c>
      <c r="C984" s="13" t="s">
        <v>55</v>
      </c>
      <c r="D984" s="13" t="s">
        <v>60</v>
      </c>
      <c r="E984" s="13" t="s">
        <v>61</v>
      </c>
      <c r="F984" s="13" t="s">
        <v>111</v>
      </c>
      <c r="G984" s="13" t="s">
        <v>76</v>
      </c>
      <c r="H984" s="13" t="s">
        <v>77</v>
      </c>
      <c r="I984" s="13" t="s">
        <v>33</v>
      </c>
      <c r="J984" s="13">
        <v>6</v>
      </c>
      <c r="K984" s="13">
        <v>738.64</v>
      </c>
      <c r="L984" s="13">
        <v>0.1</v>
      </c>
      <c r="M984" s="13">
        <v>3988.66</v>
      </c>
      <c r="N984" s="13">
        <v>2215.73</v>
      </c>
      <c r="O984" s="13">
        <v>1772.93</v>
      </c>
      <c r="P984" s="13">
        <v>4.2</v>
      </c>
      <c r="Q984" s="13" t="s">
        <v>87</v>
      </c>
      <c r="R984" s="13">
        <v>2025</v>
      </c>
      <c r="S984" s="15" t="str">
        <f t="shared" si="90"/>
        <v>High Profit</v>
      </c>
      <c r="T984" s="15" t="str">
        <f t="shared" si="91"/>
        <v>High Sales</v>
      </c>
      <c r="U984" s="15" t="str">
        <f t="shared" si="92"/>
        <v>Good</v>
      </c>
      <c r="V984" s="15" t="str">
        <f t="shared" si="93"/>
        <v>Normal Discount</v>
      </c>
      <c r="W984" s="15">
        <f>VLOOKUP(D984,Lookup_Table!$A:$C,2,FALSE)</f>
        <v>0.15</v>
      </c>
      <c r="X984" s="15">
        <f t="shared" si="94"/>
        <v>0.444492636624831</v>
      </c>
      <c r="Y984" s="15" t="str">
        <f>VLOOKUP(D984,Lookup_Table!A:C,3,0)</f>
        <v>Priya</v>
      </c>
      <c r="Z984" s="15" t="str">
        <f t="shared" si="95"/>
        <v>Achived</v>
      </c>
    </row>
    <row r="985" spans="1:26">
      <c r="A985" s="13" t="s">
        <v>1076</v>
      </c>
      <c r="B985" s="14">
        <v>45687</v>
      </c>
      <c r="C985" s="13" t="s">
        <v>36</v>
      </c>
      <c r="D985" s="13" t="s">
        <v>37</v>
      </c>
      <c r="E985" s="13" t="s">
        <v>38</v>
      </c>
      <c r="F985" s="13" t="s">
        <v>39</v>
      </c>
      <c r="G985" s="13" t="s">
        <v>40</v>
      </c>
      <c r="H985" s="13" t="s">
        <v>41</v>
      </c>
      <c r="I985" s="13" t="s">
        <v>96</v>
      </c>
      <c r="J985" s="13">
        <v>7</v>
      </c>
      <c r="K985" s="13">
        <v>70.93</v>
      </c>
      <c r="L985" s="13">
        <v>0</v>
      </c>
      <c r="M985" s="13">
        <v>496.51</v>
      </c>
      <c r="N985" s="13">
        <v>275.11</v>
      </c>
      <c r="O985" s="13">
        <v>221.4</v>
      </c>
      <c r="P985" s="13">
        <v>2.6</v>
      </c>
      <c r="Q985" s="13" t="s">
        <v>64</v>
      </c>
      <c r="R985" s="13">
        <v>2025</v>
      </c>
      <c r="S985" s="15" t="str">
        <f t="shared" si="90"/>
        <v>Low Profit</v>
      </c>
      <c r="T985" s="15" t="str">
        <f t="shared" si="91"/>
        <v>Low Sales</v>
      </c>
      <c r="U985" s="15" t="str">
        <f t="shared" si="92"/>
        <v>Needs Improvement</v>
      </c>
      <c r="V985" s="15" t="str">
        <f t="shared" si="93"/>
        <v>Normal Discount</v>
      </c>
      <c r="W985" s="15">
        <f>VLOOKUP(D985,Lookup_Table!$A:$C,2,FALSE)</f>
        <v>0.16</v>
      </c>
      <c r="X985" s="15">
        <f t="shared" si="94"/>
        <v>0.445912469033856</v>
      </c>
      <c r="Y985" s="15" t="str">
        <f>VLOOKUP(D985,Lookup_Table!A:C,3,0)</f>
        <v>Vikram</v>
      </c>
      <c r="Z985" s="15" t="str">
        <f t="shared" si="95"/>
        <v>Achived</v>
      </c>
    </row>
    <row r="986" spans="1:26">
      <c r="A986" s="13" t="s">
        <v>1077</v>
      </c>
      <c r="B986" s="14">
        <v>45943</v>
      </c>
      <c r="C986" s="13" t="s">
        <v>27</v>
      </c>
      <c r="D986" s="13" t="s">
        <v>37</v>
      </c>
      <c r="E986" s="13" t="s">
        <v>93</v>
      </c>
      <c r="F986" s="13" t="s">
        <v>98</v>
      </c>
      <c r="G986" s="13" t="s">
        <v>99</v>
      </c>
      <c r="H986" s="13" t="s">
        <v>77</v>
      </c>
      <c r="I986" s="13" t="s">
        <v>96</v>
      </c>
      <c r="J986" s="13">
        <v>5</v>
      </c>
      <c r="K986" s="13">
        <v>104.81</v>
      </c>
      <c r="L986" s="13">
        <v>0.05</v>
      </c>
      <c r="M986" s="13">
        <v>497.85</v>
      </c>
      <c r="N986" s="13">
        <v>275.76</v>
      </c>
      <c r="O986" s="13">
        <v>222.09</v>
      </c>
      <c r="P986" s="13">
        <v>4.1</v>
      </c>
      <c r="Q986" s="13" t="s">
        <v>87</v>
      </c>
      <c r="R986" s="13">
        <v>2025</v>
      </c>
      <c r="S986" s="15" t="str">
        <f t="shared" si="90"/>
        <v>Low Profit</v>
      </c>
      <c r="T986" s="15" t="str">
        <f t="shared" si="91"/>
        <v>Low Sales</v>
      </c>
      <c r="U986" s="15" t="str">
        <f t="shared" si="92"/>
        <v>Good</v>
      </c>
      <c r="V986" s="15" t="str">
        <f t="shared" si="93"/>
        <v>Normal Discount</v>
      </c>
      <c r="W986" s="15">
        <f>VLOOKUP(D986,Lookup_Table!$A:$C,2,FALSE)</f>
        <v>0.16</v>
      </c>
      <c r="X986" s="15">
        <f t="shared" si="94"/>
        <v>0.446098222356131</v>
      </c>
      <c r="Y986" s="15" t="str">
        <f>VLOOKUP(D986,Lookup_Table!A:C,3,0)</f>
        <v>Vikram</v>
      </c>
      <c r="Z986" s="15" t="str">
        <f t="shared" si="95"/>
        <v>Achived</v>
      </c>
    </row>
    <row r="987" spans="1:26">
      <c r="A987" s="13" t="s">
        <v>1078</v>
      </c>
      <c r="B987" s="14">
        <v>45996</v>
      </c>
      <c r="C987" s="13" t="s">
        <v>36</v>
      </c>
      <c r="D987" s="13" t="s">
        <v>37</v>
      </c>
      <c r="E987" s="13" t="s">
        <v>93</v>
      </c>
      <c r="F987" s="13" t="s">
        <v>98</v>
      </c>
      <c r="G987" s="13" t="s">
        <v>99</v>
      </c>
      <c r="H987" s="13" t="s">
        <v>77</v>
      </c>
      <c r="I987" s="13" t="s">
        <v>96</v>
      </c>
      <c r="J987" s="13">
        <v>4</v>
      </c>
      <c r="K987" s="13">
        <v>180.72</v>
      </c>
      <c r="L987" s="13">
        <v>0</v>
      </c>
      <c r="M987" s="13">
        <v>722.88</v>
      </c>
      <c r="N987" s="13">
        <v>400.35</v>
      </c>
      <c r="O987" s="13">
        <v>322.53</v>
      </c>
      <c r="P987" s="13">
        <v>4.1</v>
      </c>
      <c r="Q987" s="13" t="s">
        <v>34</v>
      </c>
      <c r="R987" s="13">
        <v>2025</v>
      </c>
      <c r="S987" s="15" t="str">
        <f t="shared" si="90"/>
        <v>Low Profit</v>
      </c>
      <c r="T987" s="15" t="str">
        <f t="shared" si="91"/>
        <v>Low Sales</v>
      </c>
      <c r="U987" s="15" t="str">
        <f t="shared" si="92"/>
        <v>Good</v>
      </c>
      <c r="V987" s="15" t="str">
        <f t="shared" si="93"/>
        <v>Normal Discount</v>
      </c>
      <c r="W987" s="15">
        <f>VLOOKUP(D987,Lookup_Table!$A:$C,2,FALSE)</f>
        <v>0.16</v>
      </c>
      <c r="X987" s="15">
        <f t="shared" si="94"/>
        <v>0.44617363877822</v>
      </c>
      <c r="Y987" s="15" t="str">
        <f>VLOOKUP(D987,Lookup_Table!A:C,3,0)</f>
        <v>Vikram</v>
      </c>
      <c r="Z987" s="15" t="str">
        <f t="shared" si="95"/>
        <v>Achived</v>
      </c>
    </row>
    <row r="988" spans="1:26">
      <c r="A988" s="13" t="s">
        <v>1079</v>
      </c>
      <c r="B988" s="14">
        <v>45863</v>
      </c>
      <c r="C988" s="13" t="s">
        <v>55</v>
      </c>
      <c r="D988" s="13" t="s">
        <v>28</v>
      </c>
      <c r="E988" s="13" t="s">
        <v>49</v>
      </c>
      <c r="F988" s="13" t="s">
        <v>98</v>
      </c>
      <c r="G988" s="13" t="s">
        <v>99</v>
      </c>
      <c r="H988" s="13" t="s">
        <v>77</v>
      </c>
      <c r="I988" s="13" t="s">
        <v>33</v>
      </c>
      <c r="J988" s="13">
        <v>4</v>
      </c>
      <c r="K988" s="13">
        <v>116.84</v>
      </c>
      <c r="L988" s="13">
        <v>0.05</v>
      </c>
      <c r="M988" s="13">
        <v>443.99</v>
      </c>
      <c r="N988" s="13">
        <v>245.76</v>
      </c>
      <c r="O988" s="13">
        <v>198.23</v>
      </c>
      <c r="P988" s="13">
        <v>3.4</v>
      </c>
      <c r="Q988" s="13" t="s">
        <v>56</v>
      </c>
      <c r="R988" s="13">
        <v>2025</v>
      </c>
      <c r="S988" s="15" t="str">
        <f t="shared" si="90"/>
        <v>Low Profit</v>
      </c>
      <c r="T988" s="15" t="str">
        <f t="shared" si="91"/>
        <v>Low Sales</v>
      </c>
      <c r="U988" s="15" t="str">
        <f t="shared" si="92"/>
        <v>Needs Improvement</v>
      </c>
      <c r="V988" s="15" t="str">
        <f t="shared" si="93"/>
        <v>Normal Discount</v>
      </c>
      <c r="W988" s="15">
        <f>VLOOKUP(D988,Lookup_Table!$A:$C,2,FALSE)</f>
        <v>0.2</v>
      </c>
      <c r="X988" s="15">
        <f t="shared" si="94"/>
        <v>0.446474019685128</v>
      </c>
      <c r="Y988" s="15" t="str">
        <f>VLOOKUP(D988,Lookup_Table!A:C,3,0)</f>
        <v>Sneha</v>
      </c>
      <c r="Z988" s="15" t="str">
        <f t="shared" si="95"/>
        <v>Achived</v>
      </c>
    </row>
    <row r="989" spans="1:26">
      <c r="A989" s="13" t="s">
        <v>1080</v>
      </c>
      <c r="B989" s="14">
        <v>45820</v>
      </c>
      <c r="C989" s="13" t="s">
        <v>36</v>
      </c>
      <c r="D989" s="13" t="s">
        <v>37</v>
      </c>
      <c r="E989" s="13" t="s">
        <v>93</v>
      </c>
      <c r="F989" s="13" t="s">
        <v>67</v>
      </c>
      <c r="G989" s="13" t="s">
        <v>68</v>
      </c>
      <c r="H989" s="13" t="s">
        <v>69</v>
      </c>
      <c r="I989" s="13" t="s">
        <v>52</v>
      </c>
      <c r="J989" s="13">
        <v>5</v>
      </c>
      <c r="K989" s="13">
        <v>356.09</v>
      </c>
      <c r="L989" s="13">
        <v>0.1</v>
      </c>
      <c r="M989" s="13">
        <v>1602.4</v>
      </c>
      <c r="N989" s="13">
        <v>885.8</v>
      </c>
      <c r="O989" s="13">
        <v>716.6</v>
      </c>
      <c r="P989" s="13">
        <v>3</v>
      </c>
      <c r="Q989" s="13" t="s">
        <v>58</v>
      </c>
      <c r="R989" s="13">
        <v>2025</v>
      </c>
      <c r="S989" s="15" t="str">
        <f t="shared" si="90"/>
        <v>High Profit</v>
      </c>
      <c r="T989" s="15" t="str">
        <f t="shared" si="91"/>
        <v>High Sales</v>
      </c>
      <c r="U989" s="15" t="str">
        <f t="shared" si="92"/>
        <v>Needs Improvement</v>
      </c>
      <c r="V989" s="15" t="str">
        <f t="shared" si="93"/>
        <v>Normal Discount</v>
      </c>
      <c r="W989" s="15">
        <f>VLOOKUP(D989,Lookup_Table!$A:$C,2,FALSE)</f>
        <v>0.16</v>
      </c>
      <c r="X989" s="15">
        <f t="shared" si="94"/>
        <v>0.447204193709436</v>
      </c>
      <c r="Y989" s="15" t="str">
        <f>VLOOKUP(D989,Lookup_Table!A:C,3,0)</f>
        <v>Vikram</v>
      </c>
      <c r="Z989" s="15" t="str">
        <f t="shared" si="95"/>
        <v>Achived</v>
      </c>
    </row>
    <row r="990" spans="1:26">
      <c r="A990" s="13" t="s">
        <v>1081</v>
      </c>
      <c r="B990" s="14">
        <v>45910</v>
      </c>
      <c r="C990" s="13" t="s">
        <v>27</v>
      </c>
      <c r="D990" s="13" t="s">
        <v>28</v>
      </c>
      <c r="E990" s="13" t="s">
        <v>29</v>
      </c>
      <c r="F990" s="13" t="s">
        <v>30</v>
      </c>
      <c r="G990" s="13" t="s">
        <v>31</v>
      </c>
      <c r="H990" s="13" t="s">
        <v>32</v>
      </c>
      <c r="I990" s="13" t="s">
        <v>52</v>
      </c>
      <c r="J990" s="13">
        <v>7</v>
      </c>
      <c r="K990" s="13">
        <v>16.73</v>
      </c>
      <c r="L990" s="13">
        <v>0.2</v>
      </c>
      <c r="M990" s="13">
        <v>93.69</v>
      </c>
      <c r="N990" s="13">
        <v>51.79</v>
      </c>
      <c r="O990" s="13">
        <v>41.9</v>
      </c>
      <c r="P990" s="13">
        <v>4.7</v>
      </c>
      <c r="Q990" s="13" t="s">
        <v>53</v>
      </c>
      <c r="R990" s="13">
        <v>2025</v>
      </c>
      <c r="S990" s="15" t="str">
        <f t="shared" si="90"/>
        <v>Low Profit</v>
      </c>
      <c r="T990" s="15" t="str">
        <f t="shared" si="91"/>
        <v>Low Sales</v>
      </c>
      <c r="U990" s="15" t="str">
        <f t="shared" si="92"/>
        <v>Good</v>
      </c>
      <c r="V990" s="15" t="str">
        <f t="shared" si="93"/>
        <v>High Discount</v>
      </c>
      <c r="W990" s="15">
        <f>VLOOKUP(D990,Lookup_Table!$A:$C,2,FALSE)</f>
        <v>0.2</v>
      </c>
      <c r="X990" s="15">
        <f t="shared" si="94"/>
        <v>0.447219553847796</v>
      </c>
      <c r="Y990" s="15" t="str">
        <f>VLOOKUP(D990,Lookup_Table!A:C,3,0)</f>
        <v>Sneha</v>
      </c>
      <c r="Z990" s="15" t="str">
        <f t="shared" si="95"/>
        <v>Achived</v>
      </c>
    </row>
    <row r="991" spans="1:26">
      <c r="A991" s="13" t="s">
        <v>1082</v>
      </c>
      <c r="B991" s="14">
        <v>45806</v>
      </c>
      <c r="C991" s="13" t="s">
        <v>55</v>
      </c>
      <c r="D991" s="13" t="s">
        <v>28</v>
      </c>
      <c r="E991" s="13" t="s">
        <v>49</v>
      </c>
      <c r="F991" s="13" t="s">
        <v>82</v>
      </c>
      <c r="G991" s="13" t="s">
        <v>83</v>
      </c>
      <c r="H991" s="13" t="s">
        <v>77</v>
      </c>
      <c r="I991" s="13" t="s">
        <v>33</v>
      </c>
      <c r="J991" s="13">
        <v>3</v>
      </c>
      <c r="K991" s="13">
        <v>29.49</v>
      </c>
      <c r="L991" s="13">
        <v>0.05</v>
      </c>
      <c r="M991" s="13">
        <v>84.05</v>
      </c>
      <c r="N991" s="13">
        <v>46.46</v>
      </c>
      <c r="O991" s="13">
        <v>37.59</v>
      </c>
      <c r="P991" s="13">
        <v>4.5</v>
      </c>
      <c r="Q991" s="13" t="s">
        <v>42</v>
      </c>
      <c r="R991" s="13">
        <v>2025</v>
      </c>
      <c r="S991" s="15" t="str">
        <f t="shared" si="90"/>
        <v>Low Profit</v>
      </c>
      <c r="T991" s="15" t="str">
        <f t="shared" si="91"/>
        <v>Low Sales</v>
      </c>
      <c r="U991" s="15" t="str">
        <f t="shared" si="92"/>
        <v>Good</v>
      </c>
      <c r="V991" s="15" t="str">
        <f t="shared" si="93"/>
        <v>Normal Discount</v>
      </c>
      <c r="W991" s="15">
        <f>VLOOKUP(D991,Lookup_Table!$A:$C,2,FALSE)</f>
        <v>0.2</v>
      </c>
      <c r="X991" s="15">
        <f t="shared" si="94"/>
        <v>0.447233789411065</v>
      </c>
      <c r="Y991" s="15" t="str">
        <f>VLOOKUP(D991,Lookup_Table!A:C,3,0)</f>
        <v>Sneha</v>
      </c>
      <c r="Z991" s="15" t="str">
        <f t="shared" si="95"/>
        <v>Achived</v>
      </c>
    </row>
    <row r="992" spans="1:26">
      <c r="A992" s="13" t="s">
        <v>1083</v>
      </c>
      <c r="B992" s="14">
        <v>45701</v>
      </c>
      <c r="C992" s="13" t="s">
        <v>27</v>
      </c>
      <c r="D992" s="13" t="s">
        <v>60</v>
      </c>
      <c r="E992" s="13" t="s">
        <v>150</v>
      </c>
      <c r="F992" s="13" t="s">
        <v>111</v>
      </c>
      <c r="G992" s="13" t="s">
        <v>76</v>
      </c>
      <c r="H992" s="13" t="s">
        <v>77</v>
      </c>
      <c r="I992" s="13" t="s">
        <v>33</v>
      </c>
      <c r="J992" s="13">
        <v>3</v>
      </c>
      <c r="K992" s="13">
        <v>804.31</v>
      </c>
      <c r="L992" s="13">
        <v>0.2</v>
      </c>
      <c r="M992" s="13">
        <v>1930.34</v>
      </c>
      <c r="N992" s="13">
        <v>1066.58</v>
      </c>
      <c r="O992" s="13">
        <v>863.76</v>
      </c>
      <c r="P992" s="13">
        <v>3.4</v>
      </c>
      <c r="Q992" s="13" t="s">
        <v>105</v>
      </c>
      <c r="R992" s="13">
        <v>2025</v>
      </c>
      <c r="S992" s="15" t="str">
        <f t="shared" si="90"/>
        <v>High Profit</v>
      </c>
      <c r="T992" s="15" t="str">
        <f t="shared" si="91"/>
        <v>High Sales</v>
      </c>
      <c r="U992" s="15" t="str">
        <f t="shared" si="92"/>
        <v>Needs Improvement</v>
      </c>
      <c r="V992" s="15" t="str">
        <f t="shared" si="93"/>
        <v>High Discount</v>
      </c>
      <c r="W992" s="15">
        <f>VLOOKUP(D992,Lookup_Table!$A:$C,2,FALSE)</f>
        <v>0.15</v>
      </c>
      <c r="X992" s="15">
        <f t="shared" si="94"/>
        <v>0.447465213382098</v>
      </c>
      <c r="Y992" s="15" t="str">
        <f>VLOOKUP(D992,Lookup_Table!A:C,3,0)</f>
        <v>Priya</v>
      </c>
      <c r="Z992" s="15" t="str">
        <f t="shared" si="95"/>
        <v>Achived</v>
      </c>
    </row>
    <row r="993" spans="1:26">
      <c r="A993" s="13" t="s">
        <v>1084</v>
      </c>
      <c r="B993" s="14">
        <v>45851</v>
      </c>
      <c r="C993" s="13" t="s">
        <v>36</v>
      </c>
      <c r="D993" s="13" t="s">
        <v>60</v>
      </c>
      <c r="E993" s="13" t="s">
        <v>61</v>
      </c>
      <c r="F993" s="13" t="s">
        <v>30</v>
      </c>
      <c r="G993" s="13" t="s">
        <v>31</v>
      </c>
      <c r="H993" s="13" t="s">
        <v>32</v>
      </c>
      <c r="I993" s="13" t="s">
        <v>46</v>
      </c>
      <c r="J993" s="13">
        <v>1</v>
      </c>
      <c r="K993" s="13">
        <v>590.02</v>
      </c>
      <c r="L993" s="13">
        <v>0</v>
      </c>
      <c r="M993" s="13">
        <v>590.02</v>
      </c>
      <c r="N993" s="13">
        <v>325.99</v>
      </c>
      <c r="O993" s="13">
        <v>264.03</v>
      </c>
      <c r="P993" s="13">
        <v>4.7</v>
      </c>
      <c r="Q993" s="13" t="s">
        <v>56</v>
      </c>
      <c r="R993" s="13">
        <v>2025</v>
      </c>
      <c r="S993" s="15" t="str">
        <f t="shared" si="90"/>
        <v>Low Profit</v>
      </c>
      <c r="T993" s="15" t="str">
        <f t="shared" si="91"/>
        <v>Low Sales</v>
      </c>
      <c r="U993" s="15" t="str">
        <f t="shared" si="92"/>
        <v>Good</v>
      </c>
      <c r="V993" s="15" t="str">
        <f t="shared" si="93"/>
        <v>Normal Discount</v>
      </c>
      <c r="W993" s="15">
        <f>VLOOKUP(D993,Lookup_Table!$A:$C,2,FALSE)</f>
        <v>0.15</v>
      </c>
      <c r="X993" s="15">
        <f t="shared" si="94"/>
        <v>0.447493305311684</v>
      </c>
      <c r="Y993" s="15" t="str">
        <f>VLOOKUP(D993,Lookup_Table!A:C,3,0)</f>
        <v>Priya</v>
      </c>
      <c r="Z993" s="15" t="str">
        <f t="shared" si="95"/>
        <v>Achived</v>
      </c>
    </row>
    <row r="994" spans="1:26">
      <c r="A994" s="13" t="s">
        <v>1085</v>
      </c>
      <c r="B994" s="14">
        <v>45895</v>
      </c>
      <c r="C994" s="13" t="s">
        <v>55</v>
      </c>
      <c r="D994" s="13" t="s">
        <v>28</v>
      </c>
      <c r="E994" s="13" t="s">
        <v>49</v>
      </c>
      <c r="F994" s="13" t="s">
        <v>39</v>
      </c>
      <c r="G994" s="13" t="s">
        <v>40</v>
      </c>
      <c r="H994" s="13" t="s">
        <v>41</v>
      </c>
      <c r="I994" s="13" t="s">
        <v>52</v>
      </c>
      <c r="J994" s="13">
        <v>2</v>
      </c>
      <c r="K994" s="13">
        <v>121.52</v>
      </c>
      <c r="L994" s="13">
        <v>0.1</v>
      </c>
      <c r="M994" s="13">
        <v>218.74</v>
      </c>
      <c r="N994" s="13">
        <v>120.77</v>
      </c>
      <c r="O994" s="13">
        <v>97.97</v>
      </c>
      <c r="P994" s="13">
        <v>2.6</v>
      </c>
      <c r="Q994" s="13" t="s">
        <v>47</v>
      </c>
      <c r="R994" s="13">
        <v>2025</v>
      </c>
      <c r="S994" s="15" t="str">
        <f t="shared" si="90"/>
        <v>Low Profit</v>
      </c>
      <c r="T994" s="15" t="str">
        <f t="shared" si="91"/>
        <v>Low Sales</v>
      </c>
      <c r="U994" s="15" t="str">
        <f t="shared" si="92"/>
        <v>Needs Improvement</v>
      </c>
      <c r="V994" s="15" t="str">
        <f t="shared" si="93"/>
        <v>Normal Discount</v>
      </c>
      <c r="W994" s="15">
        <f>VLOOKUP(D994,Lookup_Table!$A:$C,2,FALSE)</f>
        <v>0.2</v>
      </c>
      <c r="X994" s="15">
        <f t="shared" si="94"/>
        <v>0.447883331809454</v>
      </c>
      <c r="Y994" s="15" t="str">
        <f>VLOOKUP(D994,Lookup_Table!A:C,3,0)</f>
        <v>Sneha</v>
      </c>
      <c r="Z994" s="15" t="str">
        <f t="shared" si="95"/>
        <v>Achived</v>
      </c>
    </row>
    <row r="995" spans="1:26">
      <c r="A995" s="13" t="s">
        <v>1086</v>
      </c>
      <c r="B995" s="14">
        <v>45794</v>
      </c>
      <c r="C995" s="13" t="s">
        <v>27</v>
      </c>
      <c r="D995" s="13" t="s">
        <v>28</v>
      </c>
      <c r="E995" s="13" t="s">
        <v>73</v>
      </c>
      <c r="F995" s="13" t="s">
        <v>82</v>
      </c>
      <c r="G995" s="13" t="s">
        <v>83</v>
      </c>
      <c r="H995" s="13" t="s">
        <v>77</v>
      </c>
      <c r="I995" s="13" t="s">
        <v>96</v>
      </c>
      <c r="J995" s="13">
        <v>7</v>
      </c>
      <c r="K995" s="13">
        <v>21.66</v>
      </c>
      <c r="L995" s="13">
        <v>0.15</v>
      </c>
      <c r="M995" s="13">
        <v>128.88</v>
      </c>
      <c r="N995" s="13">
        <v>71.09</v>
      </c>
      <c r="O995" s="13">
        <v>57.79</v>
      </c>
      <c r="P995" s="13">
        <v>3.1</v>
      </c>
      <c r="Q995" s="13" t="s">
        <v>42</v>
      </c>
      <c r="R995" s="13">
        <v>2025</v>
      </c>
      <c r="S995" s="15" t="str">
        <f t="shared" si="90"/>
        <v>Low Profit</v>
      </c>
      <c r="T995" s="15" t="str">
        <f t="shared" si="91"/>
        <v>Low Sales</v>
      </c>
      <c r="U995" s="15" t="str">
        <f t="shared" si="92"/>
        <v>Needs Improvement</v>
      </c>
      <c r="V995" s="15" t="str">
        <f t="shared" si="93"/>
        <v>High Discount</v>
      </c>
      <c r="W995" s="15">
        <f>VLOOKUP(D995,Lookup_Table!$A:$C,2,FALSE)</f>
        <v>0.2</v>
      </c>
      <c r="X995" s="15">
        <f t="shared" si="94"/>
        <v>0.448401613904407</v>
      </c>
      <c r="Y995" s="15" t="str">
        <f>VLOOKUP(D995,Lookup_Table!A:C,3,0)</f>
        <v>Sneha</v>
      </c>
      <c r="Z995" s="15" t="str">
        <f t="shared" si="95"/>
        <v>Achived</v>
      </c>
    </row>
    <row r="996" spans="1:26">
      <c r="A996" s="13" t="s">
        <v>1087</v>
      </c>
      <c r="B996" s="14">
        <v>45975</v>
      </c>
      <c r="C996" s="13" t="s">
        <v>36</v>
      </c>
      <c r="D996" s="13" t="s">
        <v>60</v>
      </c>
      <c r="E996" s="13" t="s">
        <v>150</v>
      </c>
      <c r="F996" s="13" t="s">
        <v>75</v>
      </c>
      <c r="G996" s="13" t="s">
        <v>76</v>
      </c>
      <c r="H996" s="13" t="s">
        <v>77</v>
      </c>
      <c r="I996" s="13" t="s">
        <v>52</v>
      </c>
      <c r="J996" s="13">
        <v>7</v>
      </c>
      <c r="K996" s="13">
        <v>559.54</v>
      </c>
      <c r="L996" s="13">
        <v>0.05</v>
      </c>
      <c r="M996" s="13">
        <v>3720.94</v>
      </c>
      <c r="N996" s="13">
        <v>2050.6</v>
      </c>
      <c r="O996" s="13">
        <v>1670.34</v>
      </c>
      <c r="P996" s="13">
        <v>3.7</v>
      </c>
      <c r="Q996" s="13" t="s">
        <v>71</v>
      </c>
      <c r="R996" s="13">
        <v>2025</v>
      </c>
      <c r="S996" s="15" t="str">
        <f t="shared" si="90"/>
        <v>High Profit</v>
      </c>
      <c r="T996" s="15" t="str">
        <f t="shared" si="91"/>
        <v>High Sales</v>
      </c>
      <c r="U996" s="15" t="str">
        <f t="shared" si="92"/>
        <v>Needs Improvement</v>
      </c>
      <c r="V996" s="15" t="str">
        <f t="shared" si="93"/>
        <v>Normal Discount</v>
      </c>
      <c r="W996" s="15">
        <f>VLOOKUP(D996,Lookup_Table!$A:$C,2,FALSE)</f>
        <v>0.15</v>
      </c>
      <c r="X996" s="15">
        <f t="shared" si="94"/>
        <v>0.448902696630421</v>
      </c>
      <c r="Y996" s="15" t="str">
        <f>VLOOKUP(D996,Lookup_Table!A:C,3,0)</f>
        <v>Priya</v>
      </c>
      <c r="Z996" s="15" t="str">
        <f t="shared" si="95"/>
        <v>Achived</v>
      </c>
    </row>
    <row r="997" spans="1:26">
      <c r="A997" s="13" t="s">
        <v>1088</v>
      </c>
      <c r="B997" s="14">
        <v>46016</v>
      </c>
      <c r="C997" s="13" t="s">
        <v>27</v>
      </c>
      <c r="D997" s="13" t="s">
        <v>37</v>
      </c>
      <c r="E997" s="13" t="s">
        <v>93</v>
      </c>
      <c r="F997" s="13" t="s">
        <v>62</v>
      </c>
      <c r="G997" s="13" t="s">
        <v>63</v>
      </c>
      <c r="H997" s="13" t="s">
        <v>32</v>
      </c>
      <c r="I997" s="13" t="s">
        <v>52</v>
      </c>
      <c r="J997" s="13">
        <v>1</v>
      </c>
      <c r="K997" s="13">
        <v>231.81</v>
      </c>
      <c r="L997" s="13">
        <v>0.1</v>
      </c>
      <c r="M997" s="13">
        <v>208.63</v>
      </c>
      <c r="N997" s="13">
        <v>114.83</v>
      </c>
      <c r="O997" s="13">
        <v>93.8</v>
      </c>
      <c r="P997" s="13">
        <v>4.7</v>
      </c>
      <c r="Q997" s="13" t="s">
        <v>34</v>
      </c>
      <c r="R997" s="13">
        <v>2025</v>
      </c>
      <c r="S997" s="15" t="str">
        <f t="shared" si="90"/>
        <v>Low Profit</v>
      </c>
      <c r="T997" s="15" t="str">
        <f t="shared" si="91"/>
        <v>Low Sales</v>
      </c>
      <c r="U997" s="15" t="str">
        <f t="shared" si="92"/>
        <v>Good</v>
      </c>
      <c r="V997" s="15" t="str">
        <f t="shared" si="93"/>
        <v>Normal Discount</v>
      </c>
      <c r="W997" s="15">
        <f>VLOOKUP(D997,Lookup_Table!$A:$C,2,FALSE)</f>
        <v>0.16</v>
      </c>
      <c r="X997" s="15">
        <f t="shared" si="94"/>
        <v>0.449599769927623</v>
      </c>
      <c r="Y997" s="15" t="str">
        <f>VLOOKUP(D997,Lookup_Table!A:C,3,0)</f>
        <v>Vikram</v>
      </c>
      <c r="Z997" s="15" t="str">
        <f t="shared" si="95"/>
        <v>Achived</v>
      </c>
    </row>
    <row r="998" spans="1:26">
      <c r="A998" s="13" t="s">
        <v>1089</v>
      </c>
      <c r="B998" s="14">
        <v>45668</v>
      </c>
      <c r="C998" s="13" t="s">
        <v>55</v>
      </c>
      <c r="D998" s="13" t="s">
        <v>37</v>
      </c>
      <c r="E998" s="13" t="s">
        <v>109</v>
      </c>
      <c r="F998" s="13" t="s">
        <v>67</v>
      </c>
      <c r="G998" s="13" t="s">
        <v>68</v>
      </c>
      <c r="H998" s="13" t="s">
        <v>69</v>
      </c>
      <c r="I998" s="13" t="s">
        <v>46</v>
      </c>
      <c r="J998" s="13">
        <v>5</v>
      </c>
      <c r="K998" s="13">
        <v>293.57</v>
      </c>
      <c r="L998" s="13">
        <v>0.15</v>
      </c>
      <c r="M998" s="13">
        <v>1247.67</v>
      </c>
      <c r="N998" s="13">
        <v>686.51</v>
      </c>
      <c r="O998" s="13">
        <v>561.16</v>
      </c>
      <c r="P998" s="13">
        <v>3.1</v>
      </c>
      <c r="Q998" s="13" t="s">
        <v>64</v>
      </c>
      <c r="R998" s="13">
        <v>2025</v>
      </c>
      <c r="S998" s="15" t="str">
        <f t="shared" si="90"/>
        <v>High Profit</v>
      </c>
      <c r="T998" s="15" t="str">
        <f t="shared" si="91"/>
        <v>High Sales</v>
      </c>
      <c r="U998" s="15" t="str">
        <f t="shared" si="92"/>
        <v>Needs Improvement</v>
      </c>
      <c r="V998" s="15" t="str">
        <f t="shared" si="93"/>
        <v>High Discount</v>
      </c>
      <c r="W998" s="15">
        <f>VLOOKUP(D998,Lookup_Table!$A:$C,2,FALSE)</f>
        <v>0.16</v>
      </c>
      <c r="X998" s="15">
        <f t="shared" si="94"/>
        <v>0.449766364503434</v>
      </c>
      <c r="Y998" s="15" t="str">
        <f>VLOOKUP(D998,Lookup_Table!A:C,3,0)</f>
        <v>Vikram</v>
      </c>
      <c r="Z998" s="15" t="str">
        <f t="shared" si="95"/>
        <v>Achived</v>
      </c>
    </row>
    <row r="999" spans="1:26">
      <c r="A999" s="13" t="s">
        <v>1090</v>
      </c>
      <c r="B999" s="14">
        <v>45704</v>
      </c>
      <c r="C999" s="13" t="s">
        <v>55</v>
      </c>
      <c r="D999" s="13" t="s">
        <v>28</v>
      </c>
      <c r="E999" s="13" t="s">
        <v>29</v>
      </c>
      <c r="F999" s="13" t="s">
        <v>111</v>
      </c>
      <c r="G999" s="13" t="s">
        <v>76</v>
      </c>
      <c r="H999" s="13" t="s">
        <v>77</v>
      </c>
      <c r="I999" s="13" t="s">
        <v>52</v>
      </c>
      <c r="J999" s="13">
        <v>4</v>
      </c>
      <c r="K999" s="13">
        <v>98.27</v>
      </c>
      <c r="L999" s="13">
        <v>0.05</v>
      </c>
      <c r="M999" s="13">
        <v>373.43</v>
      </c>
      <c r="N999" s="13">
        <v>205.47</v>
      </c>
      <c r="O999" s="13">
        <v>167.96</v>
      </c>
      <c r="P999" s="13">
        <v>3.5</v>
      </c>
      <c r="Q999" s="13" t="s">
        <v>105</v>
      </c>
      <c r="R999" s="13">
        <v>2025</v>
      </c>
      <c r="S999" s="15" t="str">
        <f t="shared" si="90"/>
        <v>Low Profit</v>
      </c>
      <c r="T999" s="15" t="str">
        <f t="shared" si="91"/>
        <v>Low Sales</v>
      </c>
      <c r="U999" s="15" t="str">
        <f t="shared" si="92"/>
        <v>Needs Improvement</v>
      </c>
      <c r="V999" s="15" t="str">
        <f t="shared" si="93"/>
        <v>Normal Discount</v>
      </c>
      <c r="W999" s="15">
        <f>VLOOKUP(D999,Lookup_Table!$A:$C,2,FALSE)</f>
        <v>0.2</v>
      </c>
      <c r="X999" s="15">
        <f t="shared" si="94"/>
        <v>0.449776397182872</v>
      </c>
      <c r="Y999" s="15" t="str">
        <f>VLOOKUP(D999,Lookup_Table!A:C,3,0)</f>
        <v>Sneha</v>
      </c>
      <c r="Z999" s="15" t="str">
        <f t="shared" si="95"/>
        <v>Achived</v>
      </c>
    </row>
    <row r="1000" spans="1:26">
      <c r="A1000" s="13" t="s">
        <v>1091</v>
      </c>
      <c r="B1000" s="14">
        <v>45928</v>
      </c>
      <c r="C1000" s="13" t="s">
        <v>36</v>
      </c>
      <c r="D1000" s="13" t="s">
        <v>28</v>
      </c>
      <c r="E1000" s="13" t="s">
        <v>90</v>
      </c>
      <c r="F1000" s="13" t="s">
        <v>39</v>
      </c>
      <c r="G1000" s="13" t="s">
        <v>40</v>
      </c>
      <c r="H1000" s="13" t="s">
        <v>41</v>
      </c>
      <c r="I1000" s="13" t="s">
        <v>96</v>
      </c>
      <c r="J1000" s="13">
        <v>5</v>
      </c>
      <c r="K1000" s="13">
        <v>124.42</v>
      </c>
      <c r="L1000" s="13">
        <v>0.2</v>
      </c>
      <c r="M1000" s="13">
        <v>497.68</v>
      </c>
      <c r="N1000" s="13">
        <v>273.78</v>
      </c>
      <c r="O1000" s="13">
        <v>223.9</v>
      </c>
      <c r="P1000" s="13">
        <v>2.6</v>
      </c>
      <c r="Q1000" s="13" t="s">
        <v>53</v>
      </c>
      <c r="R1000" s="13">
        <v>2025</v>
      </c>
      <c r="S1000" s="15" t="str">
        <f t="shared" si="90"/>
        <v>Low Profit</v>
      </c>
      <c r="T1000" s="15" t="str">
        <f t="shared" si="91"/>
        <v>Low Sales</v>
      </c>
      <c r="U1000" s="15" t="str">
        <f t="shared" si="92"/>
        <v>Needs Improvement</v>
      </c>
      <c r="V1000" s="15" t="str">
        <f t="shared" si="93"/>
        <v>High Discount</v>
      </c>
      <c r="W1000" s="15">
        <f>VLOOKUP(D1000,Lookup_Table!$A:$C,2,FALSE)</f>
        <v>0.2</v>
      </c>
      <c r="X1000" s="15">
        <f t="shared" si="94"/>
        <v>0.449887477897444</v>
      </c>
      <c r="Y1000" s="15" t="str">
        <f>VLOOKUP(D1000,Lookup_Table!A:C,3,0)</f>
        <v>Sneha</v>
      </c>
      <c r="Z1000" s="15" t="str">
        <f t="shared" si="95"/>
        <v>Achived</v>
      </c>
    </row>
    <row r="1001" spans="1:26">
      <c r="A1001" s="13" t="s">
        <v>1092</v>
      </c>
      <c r="B1001" s="14">
        <v>45967</v>
      </c>
      <c r="C1001" s="13" t="s">
        <v>55</v>
      </c>
      <c r="D1001" s="13" t="s">
        <v>37</v>
      </c>
      <c r="E1001" s="13" t="s">
        <v>109</v>
      </c>
      <c r="F1001" s="13" t="s">
        <v>82</v>
      </c>
      <c r="G1001" s="13" t="s">
        <v>83</v>
      </c>
      <c r="H1001" s="13" t="s">
        <v>77</v>
      </c>
      <c r="I1001" s="13" t="s">
        <v>33</v>
      </c>
      <c r="J1001" s="13">
        <v>7</v>
      </c>
      <c r="K1001" s="13">
        <v>110.92</v>
      </c>
      <c r="L1001" s="13">
        <v>0</v>
      </c>
      <c r="M1001" s="13">
        <v>776.44</v>
      </c>
      <c r="N1001" s="13">
        <v>427.1</v>
      </c>
      <c r="O1001" s="13">
        <v>349.34</v>
      </c>
      <c r="P1001" s="13">
        <v>3.1</v>
      </c>
      <c r="Q1001" s="13" t="s">
        <v>71</v>
      </c>
      <c r="R1001" s="13">
        <v>2025</v>
      </c>
      <c r="S1001" s="15" t="str">
        <f t="shared" si="90"/>
        <v>Low Profit</v>
      </c>
      <c r="T1001" s="15" t="str">
        <f t="shared" si="91"/>
        <v>Low Sales</v>
      </c>
      <c r="U1001" s="15" t="str">
        <f t="shared" si="92"/>
        <v>Needs Improvement</v>
      </c>
      <c r="V1001" s="15" t="str">
        <f t="shared" si="93"/>
        <v>Normal Discount</v>
      </c>
      <c r="W1001" s="15">
        <f>VLOOKUP(D1001,Lookup_Table!$A:$C,2,FALSE)</f>
        <v>0.16</v>
      </c>
      <c r="X1001" s="15">
        <f t="shared" si="94"/>
        <v>0.449925300087579</v>
      </c>
      <c r="Y1001" s="15" t="str">
        <f>VLOOKUP(D1001,Lookup_Table!A:C,3,0)</f>
        <v>Vikram</v>
      </c>
      <c r="Z1001" s="15" t="str">
        <f t="shared" si="95"/>
        <v>Achived</v>
      </c>
    </row>
  </sheetData>
  <conditionalFormatting sqref="L2:L1001">
    <cfRule type="cellIs" dxfId="26" priority="5" operator="equal">
      <formula>0.2</formula>
    </cfRule>
  </conditionalFormatting>
  <conditionalFormatting sqref="M2:M1001">
    <cfRule type="cellIs" dxfId="27" priority="12" operator="greaterThan">
      <formula>1000</formula>
    </cfRule>
    <cfRule type="top10" dxfId="28" priority="9" rank="10"/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{7c46d678-a7ee-4abe-b08a-49b9723ad815}</x14:id>
        </ext>
      </extLst>
    </cfRule>
    <cfRule type="cellIs" dxfId="29" priority="4" operator="between">
      <formula>500</formula>
      <formula>1000</formula>
    </cfRule>
  </conditionalFormatting>
  <conditionalFormatting sqref="O2:O1001">
    <cfRule type="cellIs" dxfId="30" priority="11" operator="lessThan">
      <formula>100</formula>
    </cfRule>
    <cfRule type="colorScale" priority="6">
      <colorScale>
        <cfvo type="min"/>
        <cfvo type="max"/>
        <color rgb="FF63BE7B"/>
        <color rgb="FFFCFCFF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" priority="2" operator="lessThan">
      <formula>100</formula>
    </cfRule>
    <cfRule type="cellIs" dxfId="27" priority="1" operator="lessThan">
      <formula>100</formula>
    </cfRule>
  </conditionalFormatting>
  <conditionalFormatting sqref="P2:P1001">
    <cfRule type="cellIs" dxfId="32" priority="10" operator="lessThan">
      <formula>3</formula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46d678-a7ee-4abe-b08a-49b9723ad8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M2:M1001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2" sqref="C2"/>
    </sheetView>
  </sheetViews>
  <sheetFormatPr defaultColWidth="9" defaultRowHeight="14.4" outlineLevelRow="5" outlineLevelCol="2"/>
  <cols>
    <col min="1" max="1" width="15.1018518518519" customWidth="1"/>
    <col min="2" max="2" width="17.0462962962963" customWidth="1"/>
    <col min="3" max="3" width="19" customWidth="1"/>
  </cols>
  <sheetData>
    <row r="1" spans="1:3">
      <c r="A1" s="11" t="s">
        <v>3</v>
      </c>
      <c r="B1" s="11" t="s">
        <v>1093</v>
      </c>
      <c r="C1" s="11" t="s">
        <v>1094</v>
      </c>
    </row>
    <row r="2" spans="1:3">
      <c r="A2" s="6" t="s">
        <v>44</v>
      </c>
      <c r="B2" s="6">
        <v>0.18</v>
      </c>
      <c r="C2" s="6" t="s">
        <v>1095</v>
      </c>
    </row>
    <row r="3" spans="1:3">
      <c r="A3" s="6" t="s">
        <v>60</v>
      </c>
      <c r="B3" s="6">
        <v>0.15</v>
      </c>
      <c r="C3" s="6" t="s">
        <v>1096</v>
      </c>
    </row>
    <row r="4" spans="1:3">
      <c r="A4" s="6" t="s">
        <v>80</v>
      </c>
      <c r="B4" s="6">
        <v>0.12</v>
      </c>
      <c r="C4" s="6" t="s">
        <v>1097</v>
      </c>
    </row>
    <row r="5" spans="1:3">
      <c r="A5" s="6" t="s">
        <v>28</v>
      </c>
      <c r="B5" s="6">
        <v>0.2</v>
      </c>
      <c r="C5" s="6" t="s">
        <v>1098</v>
      </c>
    </row>
    <row r="6" spans="1:3">
      <c r="A6" s="6" t="s">
        <v>37</v>
      </c>
      <c r="B6" s="6">
        <v>0.16</v>
      </c>
      <c r="C6" s="6" t="s">
        <v>1099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3" sqref="B3"/>
    </sheetView>
  </sheetViews>
  <sheetFormatPr defaultColWidth="9" defaultRowHeight="14.4" outlineLevelCol="1"/>
  <cols>
    <col min="1" max="1" width="23.5740740740741" customWidth="1"/>
    <col min="2" max="2" width="10.2777777777778" customWidth="1"/>
    <col min="3" max="3" width="16.0092592592593" customWidth="1"/>
    <col min="4" max="4" width="11.8425925925926" customWidth="1"/>
    <col min="5" max="5" width="11.9722222222222" customWidth="1"/>
    <col min="6" max="6" width="16.1388888888889" customWidth="1"/>
    <col min="7" max="7" width="15.3611111111111" customWidth="1"/>
  </cols>
  <sheetData>
    <row r="1" spans="1:2">
      <c r="A1" s="10" t="s">
        <v>1100</v>
      </c>
      <c r="B1" t="s">
        <v>1101</v>
      </c>
    </row>
    <row r="2" spans="1:2">
      <c r="A2" s="9" t="s">
        <v>1102</v>
      </c>
      <c r="B2">
        <f>SUM(FEATURE_ENGINEERING!M2:M1001)</f>
        <v>1173617.65</v>
      </c>
    </row>
    <row r="3" spans="1:2">
      <c r="A3" s="9" t="s">
        <v>1103</v>
      </c>
      <c r="B3">
        <f>SUM(FEATURE_ENGINEERING!O2:O1001)</f>
        <v>357794</v>
      </c>
    </row>
    <row r="4" spans="1:2">
      <c r="A4" s="9" t="s">
        <v>1104</v>
      </c>
      <c r="B4">
        <f>SUM(FEATURE_ENGINEERING!J2:J1001)</f>
        <v>3952</v>
      </c>
    </row>
    <row r="5" spans="1:2">
      <c r="A5" s="9" t="s">
        <v>1105</v>
      </c>
      <c r="B5">
        <f>AVERAGE(FEATURE_ENGINEERING!M2:M1001)</f>
        <v>1173.61765</v>
      </c>
    </row>
    <row r="6" spans="1:2">
      <c r="A6" s="9" t="s">
        <v>1106</v>
      </c>
      <c r="B6">
        <f>AVERAGE(FEATURE_ENGINEERING!O2:O1001)</f>
        <v>357.794</v>
      </c>
    </row>
    <row r="7" spans="1:2">
      <c r="A7" s="9" t="s">
        <v>1107</v>
      </c>
      <c r="B7">
        <f>MAX(FEATURE_ENGINEERING!M2:M1001)</f>
        <v>9341.06</v>
      </c>
    </row>
    <row r="8" spans="1:2">
      <c r="A8" s="9" t="s">
        <v>1108</v>
      </c>
      <c r="B8">
        <f>MIN(FEATURE_ENGINEERING!M2:M1001)</f>
        <v>12.08</v>
      </c>
    </row>
    <row r="9" spans="1:2">
      <c r="A9" s="9" t="s">
        <v>1109</v>
      </c>
      <c r="B9">
        <f>MAX(FEATURE_ENGINEERING!O2:O1001)</f>
        <v>3638.56</v>
      </c>
    </row>
    <row r="10" spans="1:2">
      <c r="A10" s="9" t="s">
        <v>1110</v>
      </c>
      <c r="B10">
        <f>MIN(FEATURE_ENGINEERING!O2:O1001)</f>
        <v>2.19</v>
      </c>
    </row>
    <row r="11" spans="1:2">
      <c r="A11" s="9" t="s">
        <v>1111</v>
      </c>
      <c r="B11">
        <f>AVERAGE(FEATURE_ENGINEERING!P2:P1001)</f>
        <v>3.70809999999999</v>
      </c>
    </row>
    <row r="12" spans="1:2">
      <c r="A12" s="9" t="s">
        <v>1112</v>
      </c>
      <c r="B12">
        <f>COUNTA(FEATURE_ENGINEERING!B2:B1001)</f>
        <v>1000</v>
      </c>
    </row>
    <row r="13" spans="1:2">
      <c r="A13" s="9" t="s">
        <v>1113</v>
      </c>
      <c r="B13">
        <f>COUNTA(FEATURE_ENGINEERING!E2:E1001)</f>
        <v>1000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4" sqref="B4"/>
    </sheetView>
  </sheetViews>
  <sheetFormatPr defaultColWidth="9" defaultRowHeight="14.4" outlineLevelCol="1"/>
  <cols>
    <col min="1" max="1" width="27.4722222222222" customWidth="1"/>
    <col min="2" max="2" width="12.6851851851852"/>
  </cols>
  <sheetData>
    <row r="1" spans="1:2">
      <c r="A1" s="9" t="s">
        <v>1114</v>
      </c>
      <c r="B1">
        <f>SUMIF(FEATURE_ENGINEERING!D2:D1001,"electronics",FEATURE_ENGINEERING!M2:M1001)</f>
        <v>596940.330000001</v>
      </c>
    </row>
    <row r="2" spans="1:2">
      <c r="A2" s="9" t="s">
        <v>1115</v>
      </c>
      <c r="B2">
        <f>SUMIF(FEATURE_ENGINEERING!D2:D1001,"grocery",FEATURE_ENGINEERING!M2:M1001)</f>
        <v>32880.2</v>
      </c>
    </row>
    <row r="3" spans="1:2">
      <c r="A3" s="9" t="s">
        <v>1116</v>
      </c>
      <c r="B3">
        <f>SUMIF(FEATURE_ENGINEERING!D2:D1001,"furniture",FEATURE_ENGINEERING!O2:O1001)</f>
        <v>91297.7399999999</v>
      </c>
    </row>
    <row r="4" spans="1:2">
      <c r="A4" s="9" t="s">
        <v>1117</v>
      </c>
      <c r="B4">
        <f>SUMIF(FEATURE_ENGINEERING!D2:D1001,"clothing",FEATURE_ENGINEERING!J2:J1001)</f>
        <v>844</v>
      </c>
    </row>
    <row r="5" spans="1:2">
      <c r="A5" s="9" t="s">
        <v>1118</v>
      </c>
      <c r="B5">
        <f>COUNTIF(FEATURE_ENGINEERING!D2:D1001,"electronics")</f>
        <v>210</v>
      </c>
    </row>
    <row r="6" spans="1:2">
      <c r="A6" s="9" t="s">
        <v>1119</v>
      </c>
      <c r="B6">
        <f>COUNTIF(FEATURE_ENGINEERING!C2:C1001,"member")</f>
        <v>370</v>
      </c>
    </row>
    <row r="7" spans="1:2">
      <c r="A7" s="9" t="s">
        <v>1120</v>
      </c>
      <c r="B7">
        <f>AVERAGEIF(FEATURE_ENGINEERING!C2:C1001,"regular",FEATURE_ENGINEERING!M2:M1001)</f>
        <v>1226.42176744186</v>
      </c>
    </row>
    <row r="8" spans="1:2">
      <c r="A8" s="9" t="s">
        <v>1121</v>
      </c>
      <c r="B8">
        <f>AVERAGEIF(FEATURE_ENGINEERING!C2:C1001,"new",FEATURE_ENGINEERING!O2:O1001)</f>
        <v>376.04065</v>
      </c>
    </row>
    <row r="9" spans="1:2">
      <c r="A9" s="9" t="s">
        <v>1122</v>
      </c>
      <c r="B9">
        <f>SUMIF(FEATURE_ENGINEERING!H2:H1001,"west",FEATURE_ENGINEERING!M2:M1001)</f>
        <v>429024.57</v>
      </c>
    </row>
    <row r="10" spans="1:2">
      <c r="A10" s="9" t="s">
        <v>1123</v>
      </c>
      <c r="B10">
        <f>SUMIF(FEATURE_ENGINEERING!H2:H1001,"south",FEATURE_ENGINEERING!O2:O1001)</f>
        <v>158060.9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17" sqref="E17"/>
    </sheetView>
  </sheetViews>
  <sheetFormatPr defaultColWidth="9" defaultRowHeight="14.4" outlineLevelRow="7" outlineLevelCol="1"/>
  <cols>
    <col min="1" max="1" width="30.0740740740741" customWidth="1"/>
    <col min="2" max="2" width="22.1388888888889" customWidth="1"/>
  </cols>
  <sheetData>
    <row r="1" spans="1:2">
      <c r="A1" t="s">
        <v>1124</v>
      </c>
      <c r="B1">
        <f>SUMIFS(FEATURE_ENGINEERING!M2:M1001,FEATURE_ENGINEERING!D2:D1001,"electronics",FEATURE_ENGINEERING!C2:C1001,"member")</f>
        <v>221160.11</v>
      </c>
    </row>
    <row r="2" spans="1:2">
      <c r="A2" t="s">
        <v>1125</v>
      </c>
      <c r="B2">
        <f>SUMIFS(FEATURE_ENGINEERING!M2:M1001,FEATURE_ENGINEERING!D2:D1001,"grocery",FEATURE_ENGINEERING!C2:C1001,"regular")</f>
        <v>14090.48</v>
      </c>
    </row>
    <row r="3" spans="1:2">
      <c r="A3" t="s">
        <v>1126</v>
      </c>
      <c r="B3">
        <f>SUMIFS(FEATURE_ENGINEERING!O2:O1001,FEATURE_ENGINEERING!D2:D1001,"electronics",FEATURE_ENGINEERING!H2:H1001,"west")</f>
        <v>67613.77</v>
      </c>
    </row>
    <row r="4" spans="1:2">
      <c r="A4" t="s">
        <v>1127</v>
      </c>
      <c r="B4">
        <f>COUNTIFS(FEATURE_ENGINEERING!C2:C1001,"member",FEATURE_ENGINEERING!D2:D1001,"electronics")</f>
        <v>76</v>
      </c>
    </row>
    <row r="5" spans="1:2">
      <c r="A5" t="s">
        <v>1128</v>
      </c>
      <c r="B5">
        <f>AVERAGEIFS(FEATURE_ENGINEERING!M2:M1001,FEATURE_ENGINEERING!C2:C1001,"regular",FEATURE_ENGINEERING!H2:H1001,"south")</f>
        <v>1322.23016759777</v>
      </c>
    </row>
    <row r="6" spans="1:2">
      <c r="A6" t="s">
        <v>1129</v>
      </c>
      <c r="B6">
        <f>SUMIFS(FEATURE_ENGINEERING!M2:M1001,FEATURE_ENGINEERING!D2:D1001,"clothing",FEATURE_ENGINEERING!I2:I1001,"upi")</f>
        <v>14750.2</v>
      </c>
    </row>
    <row r="7" spans="1:2">
      <c r="A7" t="s">
        <v>1130</v>
      </c>
      <c r="B7">
        <f>SUMIFS(FEATURE_ENGINEERING!O2:O1001,FEATURE_ENGINEERING!D2:D1001,"electronics",FEATURE_ENGINEERING!L2:L1001,"10%")</f>
        <v>52991.11</v>
      </c>
    </row>
    <row r="8" spans="1:2">
      <c r="A8" t="s">
        <v>1131</v>
      </c>
      <c r="B8">
        <f>COUNTIFS(FEATURE_ENGINEERING!H2:H1001,"west",FEATURE_ENGINEERING!P2:P1001,"&gt;4")</f>
        <v>150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A11" sqref="A11"/>
    </sheetView>
  </sheetViews>
  <sheetFormatPr defaultColWidth="9" defaultRowHeight="14.4"/>
  <cols>
    <col min="1" max="1" width="11.6666666666667"/>
    <col min="2" max="2" width="12.6666666666667"/>
    <col min="3" max="3" width="9.5"/>
    <col min="4" max="5" width="10.5"/>
    <col min="6" max="7" width="9.5"/>
    <col min="8" max="8" width="10.5"/>
    <col min="9" max="9" width="9.5"/>
    <col min="10" max="10" width="9.37037037037037" customWidth="1"/>
    <col min="11" max="12" width="9.5"/>
    <col min="13" max="13" width="10.5"/>
  </cols>
  <sheetData>
    <row r="1" spans="1:13">
      <c r="B1" t="s">
        <v>64</v>
      </c>
      <c r="C1" t="s">
        <v>105</v>
      </c>
      <c r="D1" t="s">
        <v>94</v>
      </c>
      <c r="E1" t="s">
        <v>84</v>
      </c>
      <c r="F1" t="s">
        <v>42</v>
      </c>
      <c r="G1" t="s">
        <v>58</v>
      </c>
      <c r="H1" t="s">
        <v>56</v>
      </c>
      <c r="I1" t="s">
        <v>47</v>
      </c>
      <c r="J1" t="s">
        <v>53</v>
      </c>
      <c r="K1" t="s">
        <v>87</v>
      </c>
      <c r="L1" t="s">
        <v>71</v>
      </c>
      <c r="M1" t="s">
        <v>34</v>
      </c>
    </row>
    <row r="2" spans="1:13">
      <c r="A2" t="s">
        <v>1132</v>
      </c>
      <c r="B2">
        <f>SUMIF(FEATURE_ENGINEERING!Q2:Q1001,"january",FEATURE_ENGINEERING!M2:M1001)</f>
        <v>106769.23</v>
      </c>
      <c r="C2">
        <f>SUMIF(FEATURE_ENGINEERING!Q2:Q1001,"february",FEATURE_ENGINEERING!M2:M1001)</f>
        <v>79110.34</v>
      </c>
      <c r="D2">
        <f>SUMIF(FEATURE_ENGINEERING!Q2:Q1001,"march",FEATURE_ENGINEERING!M2:M1001)</f>
        <v>102691.33</v>
      </c>
      <c r="E2">
        <f>SUMIF(FEATURE_ENGINEERING!Q2:Q1001,"april",FEATURE_ENGINEERING!M2:M1001)</f>
        <v>108398.39</v>
      </c>
      <c r="F2">
        <f>SUMIF(FEATURE_ENGINEERING!Q2:Q1001,"may",FEATURE_ENGINEERING!M2:M1001)</f>
        <v>91163.96</v>
      </c>
      <c r="G2">
        <f>SUMIF(FEATURE_ENGINEERING!Q2:Q1001,"june",FEATURE_ENGINEERING!M2:M1001)</f>
        <v>78788</v>
      </c>
      <c r="H2">
        <f>SUMIF(FEATURE_ENGINEERING!Q2:Q1001,"july",FEATURE_ENGINEERING!M2:M1001)</f>
        <v>117925.88</v>
      </c>
      <c r="I2">
        <f>SUMIF(FEATURE_ENGINEERING!Q2:Q1001,"august",FEATURE_ENGINEERING!M2:M1001)</f>
        <v>83285</v>
      </c>
      <c r="J2">
        <f>SUMIF(FEATURE_ENGINEERING!Q2:Q1001,"september",FEATURE_ENGINEERING!M2:M1001)</f>
        <v>110666.82</v>
      </c>
      <c r="K2">
        <f>SUMIF(FEATURE_ENGINEERING!Q2:Q1001,"october",FEATURE_ENGINEERING!M2:M1001)</f>
        <v>96577.68</v>
      </c>
      <c r="L2">
        <f>SUMIF(FEATURE_ENGINEERING!Q2:Q1001,"november",FEATURE_ENGINEERING!M2:M1001)</f>
        <v>87381.16</v>
      </c>
      <c r="M2">
        <f>SUMIF(FEATURE_ENGINEERING!Q2:Q1001,"december",FEATURE_ENGINEERING!M2:M1001)</f>
        <v>110859.86</v>
      </c>
    </row>
    <row r="3" spans="1:13">
      <c r="A3" t="s">
        <v>1133</v>
      </c>
      <c r="B3">
        <f>SUMIF(FEATURE_ENGINEERING!Q2:Q1001,"january",FEATURE_ENGINEERING!O2:O1001)</f>
        <v>32181.69</v>
      </c>
      <c r="C3">
        <f>SUMIF(FEATURE_ENGINEERING!Q2:Q1001,"february",FEATURE_ENGINEERING!O2:O1001)</f>
        <v>22396.77</v>
      </c>
      <c r="D3">
        <f>SUMIF(FEATURE_ENGINEERING!Q2:Q1001,"march",FEATURE_ENGINEERING!O2:O1001)</f>
        <v>29837.56</v>
      </c>
      <c r="E3">
        <f>SUMIF(FEATURE_ENGINEERING!Q2:Q1001,"april",FEATURE_ENGINEERING!O2:O1001)</f>
        <v>34546.68</v>
      </c>
      <c r="F3">
        <f>SUMIF(FEATURE_ENGINEERING!Q2:Q1001,"may",FEATURE_ENGINEERING!O2:O1001)</f>
        <v>27198.06</v>
      </c>
      <c r="G3">
        <f>SUMIF(FEATURE_ENGINEERING!Q2:Q1001,"june",FEATURE_ENGINEERING!O2:O1001)</f>
        <v>24575.24</v>
      </c>
      <c r="H3">
        <f>SUMIF(FEATURE_ENGINEERING!Q2:Q1001,"july",FEATURE_ENGINEERING!O2:O1001)</f>
        <v>36718.76</v>
      </c>
      <c r="I3">
        <f>SUMIF(FEATURE_ENGINEERING!Q2:Q1001,"august",FEATURE_ENGINEERING!O2:O1001)</f>
        <v>25143.68</v>
      </c>
      <c r="J3">
        <f>SUMIF(FEATURE_ENGINEERING!Q2:Q1001,"september",FEATURE_ENGINEERING!O2:O1001)</f>
        <v>36629.42</v>
      </c>
      <c r="K3">
        <f>SUMIF(FEATURE_ENGINEERING!Q2:Q1001,"october",FEATURE_ENGINEERING!O2:O1001)</f>
        <v>29583.23</v>
      </c>
      <c r="L3">
        <f>SUMIF(FEATURE_ENGINEERING!Q2:Q1001,"november",FEATURE_ENGINEERING!O2:O1001)</f>
        <v>26123.42</v>
      </c>
      <c r="M3">
        <f>SUMIF(FEATURE_ENGINEERING!Q2:Q1001,"december",FEATURE_ENGINEERING!O2:O1001)</f>
        <v>32859.49</v>
      </c>
    </row>
    <row r="4" spans="1:13">
      <c r="A4" t="s">
        <v>1134</v>
      </c>
      <c r="B4">
        <f>MAX(FEATURE_ENGINEERING!M2:M1001)</f>
        <v>9341.06</v>
      </c>
    </row>
    <row r="5" spans="1:13">
      <c r="A5" t="s">
        <v>1135</v>
      </c>
      <c r="B5">
        <f>MIN(FEATURE_ENGINEERING!M2:M1001)</f>
        <v>12.08</v>
      </c>
    </row>
    <row r="6" spans="1:13">
      <c r="A6" t="s">
        <v>1136</v>
      </c>
      <c r="B6">
        <f>MAX(FEATURE_ENGINEERING!O2:O1001)</f>
        <v>3638.56</v>
      </c>
    </row>
    <row r="11" spans="1:13">
      <c r="A11" t="s">
        <v>16</v>
      </c>
      <c r="B11" t="s">
        <v>1137</v>
      </c>
    </row>
    <row r="12" spans="1:13">
      <c r="A12" t="s">
        <v>64</v>
      </c>
      <c r="B12">
        <v>106769.23</v>
      </c>
    </row>
    <row r="13" spans="1:13">
      <c r="A13" t="s">
        <v>105</v>
      </c>
      <c r="B13">
        <v>79110.34</v>
      </c>
    </row>
    <row r="14" spans="1:13">
      <c r="A14" t="s">
        <v>94</v>
      </c>
      <c r="B14">
        <v>102691.33</v>
      </c>
    </row>
    <row r="15" spans="1:13">
      <c r="A15" t="s">
        <v>84</v>
      </c>
      <c r="B15">
        <v>108398.39</v>
      </c>
    </row>
    <row r="16" spans="1:13">
      <c r="A16" t="s">
        <v>42</v>
      </c>
      <c r="B16">
        <v>91163.96</v>
      </c>
    </row>
    <row r="17" spans="1:2">
      <c r="A17" t="s">
        <v>58</v>
      </c>
      <c r="B17">
        <v>78788</v>
      </c>
    </row>
    <row r="18" spans="1:2">
      <c r="A18" t="s">
        <v>56</v>
      </c>
      <c r="B18">
        <v>117925.88</v>
      </c>
    </row>
    <row r="19" spans="1:2">
      <c r="A19" t="s">
        <v>47</v>
      </c>
      <c r="B19">
        <v>83285</v>
      </c>
    </row>
    <row r="20" spans="1:2">
      <c r="A20" t="s">
        <v>53</v>
      </c>
      <c r="B20">
        <v>110666.82</v>
      </c>
    </row>
    <row r="21" spans="1:2">
      <c r="A21" t="s">
        <v>87</v>
      </c>
      <c r="B21">
        <v>96577.68</v>
      </c>
    </row>
    <row r="22" spans="1:2">
      <c r="A22" t="s">
        <v>71</v>
      </c>
      <c r="B22">
        <v>87381.16</v>
      </c>
    </row>
    <row r="23" spans="1:2">
      <c r="A23" t="s">
        <v>34</v>
      </c>
      <c r="B23">
        <v>110859.86</v>
      </c>
    </row>
    <row r="24" spans="1:2">
      <c r="A24" t="s">
        <v>1138</v>
      </c>
      <c r="B24">
        <v>1173617.65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opLeftCell="A19" workbookViewId="0">
      <selection activeCell="H33" sqref="H33"/>
    </sheetView>
  </sheetViews>
  <sheetFormatPr defaultColWidth="9" defaultRowHeight="14.4"/>
  <cols>
    <col min="1" max="1" width="17.5555555555556"/>
    <col min="2" max="4" width="15.4444444444444"/>
    <col min="6" max="6" width="11.4351851851852"/>
    <col min="7" max="7" width="51.2222222222222" customWidth="1"/>
    <col min="8" max="9" width="14.6851851851852"/>
    <col min="11" max="11" width="16.9351851851852"/>
    <col min="12" max="14" width="14.6851851851852"/>
  </cols>
  <sheetData>
    <row r="1" ht="15.6" spans="1:13">
      <c r="B1" s="3" t="s">
        <v>1139</v>
      </c>
      <c r="C1" s="4"/>
    </row>
    <row r="2" spans="1:13">
      <c r="B2" s="5" t="s">
        <v>1140</v>
      </c>
      <c r="C2" s="6"/>
      <c r="G2" s="5"/>
      <c r="H2" s="6"/>
      <c r="L2" s="5"/>
      <c r="M2" s="6"/>
    </row>
    <row r="3" spans="1:13">
      <c r="A3" t="s">
        <v>3</v>
      </c>
      <c r="B3" t="s">
        <v>1137</v>
      </c>
      <c r="C3" t="s">
        <v>1141</v>
      </c>
      <c r="D3" t="s">
        <v>1142</v>
      </c>
      <c r="G3" s="7" t="s">
        <v>1143</v>
      </c>
      <c r="H3" t="s">
        <v>44</v>
      </c>
    </row>
    <row r="4" spans="1:13">
      <c r="A4" t="s">
        <v>44</v>
      </c>
      <c r="B4">
        <v>596940.330000001</v>
      </c>
      <c r="C4">
        <v>178257.06</v>
      </c>
      <c r="D4">
        <v>799</v>
      </c>
      <c r="G4" s="7" t="s">
        <v>1144</v>
      </c>
      <c r="H4" t="s">
        <v>44</v>
      </c>
    </row>
    <row r="5" spans="1:13">
      <c r="A5" t="s">
        <v>60</v>
      </c>
      <c r="B5">
        <v>291062.77</v>
      </c>
      <c r="C5">
        <v>91297.7399999999</v>
      </c>
      <c r="D5">
        <v>753</v>
      </c>
      <c r="G5" s="7" t="s">
        <v>1145</v>
      </c>
      <c r="H5" t="s">
        <v>28</v>
      </c>
    </row>
    <row r="6" spans="1:13">
      <c r="A6" t="s">
        <v>37</v>
      </c>
      <c r="B6">
        <v>182449.21</v>
      </c>
      <c r="C6">
        <v>57075.17</v>
      </c>
      <c r="D6">
        <v>782</v>
      </c>
    </row>
    <row r="7" spans="1:13">
      <c r="A7" t="s">
        <v>28</v>
      </c>
      <c r="B7">
        <v>70285.14</v>
      </c>
      <c r="C7">
        <v>21084.96</v>
      </c>
      <c r="D7">
        <v>844</v>
      </c>
    </row>
    <row r="8" spans="1:13">
      <c r="A8" t="s">
        <v>80</v>
      </c>
      <c r="B8">
        <v>32880.2</v>
      </c>
      <c r="C8">
        <v>10079.07</v>
      </c>
      <c r="D8">
        <v>774</v>
      </c>
    </row>
    <row r="9" spans="1:13">
      <c r="A9" t="s">
        <v>1138</v>
      </c>
      <c r="B9">
        <v>1173617.65</v>
      </c>
      <c r="C9">
        <v>357794</v>
      </c>
      <c r="D9">
        <v>3952</v>
      </c>
    </row>
    <row r="12" ht="15.6" spans="1:13">
      <c r="B12" s="8" t="s">
        <v>1146</v>
      </c>
      <c r="C12" s="6"/>
      <c r="D12" s="6"/>
    </row>
    <row r="13" spans="1:13">
      <c r="A13" t="s">
        <v>7</v>
      </c>
      <c r="B13" t="s">
        <v>1137</v>
      </c>
      <c r="C13" t="s">
        <v>1141</v>
      </c>
      <c r="D13" t="s">
        <v>1142</v>
      </c>
      <c r="G13" s="7" t="s">
        <v>1147</v>
      </c>
      <c r="H13" t="s">
        <v>77</v>
      </c>
    </row>
    <row r="14" spans="1:13">
      <c r="A14" t="s">
        <v>77</v>
      </c>
      <c r="B14">
        <v>507412.82</v>
      </c>
      <c r="C14">
        <v>158060.9</v>
      </c>
      <c r="D14">
        <v>1754</v>
      </c>
      <c r="G14" s="7" t="s">
        <v>1148</v>
      </c>
      <c r="H14" t="s">
        <v>77</v>
      </c>
    </row>
    <row r="15" spans="1:13">
      <c r="A15" t="s">
        <v>32</v>
      </c>
      <c r="B15">
        <v>429024.57</v>
      </c>
      <c r="C15">
        <v>129205.92</v>
      </c>
      <c r="D15">
        <v>1469</v>
      </c>
      <c r="G15" s="7" t="s">
        <v>1149</v>
      </c>
      <c r="H15" t="s">
        <v>77</v>
      </c>
    </row>
    <row r="16" spans="1:13">
      <c r="A16" t="s">
        <v>41</v>
      </c>
      <c r="B16">
        <v>132698.01</v>
      </c>
      <c r="C16">
        <v>39390.72</v>
      </c>
      <c r="D16">
        <v>399</v>
      </c>
    </row>
    <row r="17" spans="1:8">
      <c r="A17" t="s">
        <v>69</v>
      </c>
      <c r="B17">
        <v>104482.25</v>
      </c>
      <c r="C17">
        <v>31136.46</v>
      </c>
      <c r="D17">
        <v>330</v>
      </c>
    </row>
    <row r="18" spans="1:8">
      <c r="A18" t="s">
        <v>1138</v>
      </c>
      <c r="B18">
        <v>1173617.65</v>
      </c>
      <c r="C18">
        <v>357794</v>
      </c>
      <c r="D18">
        <v>3952</v>
      </c>
    </row>
    <row r="21" ht="15.6" spans="1:8">
      <c r="B21" s="8" t="s">
        <v>1150</v>
      </c>
      <c r="C21" s="6"/>
      <c r="D21" s="6"/>
    </row>
    <row r="22" spans="1:8">
      <c r="A22" t="s">
        <v>2</v>
      </c>
      <c r="B22" t="s">
        <v>1137</v>
      </c>
      <c r="C22" t="s">
        <v>1141</v>
      </c>
      <c r="D22" t="s">
        <v>1142</v>
      </c>
      <c r="G22" s="7" t="s">
        <v>1151</v>
      </c>
      <c r="H22" t="s">
        <v>55</v>
      </c>
    </row>
    <row r="23" spans="1:8">
      <c r="A23" t="s">
        <v>55</v>
      </c>
      <c r="B23">
        <v>527361.360000001</v>
      </c>
      <c r="C23">
        <v>158907.14</v>
      </c>
      <c r="D23">
        <v>1725</v>
      </c>
      <c r="G23" t="s">
        <v>1152</v>
      </c>
      <c r="H23" t="s">
        <v>55</v>
      </c>
    </row>
    <row r="24" spans="1:8">
      <c r="A24" t="s">
        <v>27</v>
      </c>
      <c r="B24">
        <v>407381.55</v>
      </c>
      <c r="C24">
        <v>123678.73</v>
      </c>
      <c r="D24">
        <v>1444</v>
      </c>
      <c r="G24" s="7" t="s">
        <v>1153</v>
      </c>
      <c r="H24" t="s">
        <v>55</v>
      </c>
    </row>
    <row r="25" spans="1:8">
      <c r="A25" t="s">
        <v>36</v>
      </c>
      <c r="B25">
        <v>238874.74</v>
      </c>
      <c r="C25">
        <v>75208.13</v>
      </c>
      <c r="D25">
        <v>783</v>
      </c>
    </row>
    <row r="26" spans="1:8">
      <c r="A26" t="s">
        <v>1138</v>
      </c>
      <c r="B26">
        <v>1173617.65</v>
      </c>
      <c r="C26">
        <v>357794</v>
      </c>
      <c r="D26">
        <v>3952</v>
      </c>
      <c r="G26" s="7"/>
    </row>
    <row r="29" ht="15.6" spans="1:8">
      <c r="B29" s="8" t="s">
        <v>1154</v>
      </c>
      <c r="C29" s="6"/>
      <c r="D29" s="6"/>
    </row>
    <row r="30" spans="1:8">
      <c r="A30" t="s">
        <v>8</v>
      </c>
      <c r="B30" t="s">
        <v>1137</v>
      </c>
      <c r="C30" t="s">
        <v>1141</v>
      </c>
      <c r="D30" t="s">
        <v>1142</v>
      </c>
    </row>
    <row r="31" spans="1:8">
      <c r="A31" t="s">
        <v>46</v>
      </c>
      <c r="B31">
        <v>311103.89</v>
      </c>
      <c r="C31">
        <v>92907.77</v>
      </c>
      <c r="D31">
        <v>977</v>
      </c>
      <c r="G31" s="7" t="s">
        <v>1155</v>
      </c>
      <c r="H31" t="s">
        <v>46</v>
      </c>
    </row>
    <row r="32" spans="1:8">
      <c r="A32" t="s">
        <v>33</v>
      </c>
      <c r="B32">
        <v>296225.21</v>
      </c>
      <c r="C32">
        <v>89992.32</v>
      </c>
      <c r="D32">
        <v>1026</v>
      </c>
      <c r="G32" t="s">
        <v>1156</v>
      </c>
      <c r="H32" t="s">
        <v>46</v>
      </c>
    </row>
    <row r="33" spans="1:8">
      <c r="A33" t="s">
        <v>96</v>
      </c>
      <c r="B33">
        <v>291569.12</v>
      </c>
      <c r="C33">
        <v>88391.44</v>
      </c>
      <c r="D33">
        <v>914</v>
      </c>
      <c r="G33" s="7" t="s">
        <v>1157</v>
      </c>
      <c r="H33" t="s">
        <v>52</v>
      </c>
    </row>
    <row r="34" spans="1:8">
      <c r="A34" t="s">
        <v>52</v>
      </c>
      <c r="B34">
        <v>274719.43</v>
      </c>
      <c r="C34">
        <v>86502.47</v>
      </c>
      <c r="D34">
        <v>1035</v>
      </c>
    </row>
    <row r="35" spans="1:8">
      <c r="A35" t="s">
        <v>1138</v>
      </c>
      <c r="B35">
        <v>1173617.65</v>
      </c>
      <c r="C35">
        <v>357794</v>
      </c>
      <c r="D35">
        <v>3952</v>
      </c>
      <c r="G35" s="7"/>
    </row>
  </sheetData>
  <mergeCells count="6">
    <mergeCell ref="B2:C2"/>
    <mergeCell ref="G2:H2"/>
    <mergeCell ref="L2:M2"/>
    <mergeCell ref="B12:D12"/>
    <mergeCell ref="B21:D21"/>
    <mergeCell ref="B29:D2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3"/>
  <sheetViews>
    <sheetView topLeftCell="A57" workbookViewId="0">
      <selection activeCell="L73" sqref="L73"/>
    </sheetView>
  </sheetViews>
  <sheetFormatPr defaultColWidth="9" defaultRowHeight="14.4" outlineLevelCol="1"/>
  <cols>
    <col min="1" max="1" width="17.8888888888889"/>
    <col min="2" max="2" width="12.6666666666667"/>
  </cols>
  <sheetData>
    <row r="2" spans="1:2">
      <c r="A2" t="s">
        <v>3</v>
      </c>
      <c r="B2" t="s">
        <v>1137</v>
      </c>
    </row>
    <row r="3" spans="1:2">
      <c r="A3" t="s">
        <v>28</v>
      </c>
      <c r="B3">
        <v>70285.14</v>
      </c>
    </row>
    <row r="4" spans="1:2">
      <c r="A4" t="s">
        <v>44</v>
      </c>
      <c r="B4">
        <v>596940.330000001</v>
      </c>
    </row>
    <row r="5" spans="1:2">
      <c r="A5" t="s">
        <v>60</v>
      </c>
      <c r="B5">
        <v>291062.77</v>
      </c>
    </row>
    <row r="6" spans="1:2">
      <c r="A6" t="s">
        <v>80</v>
      </c>
      <c r="B6">
        <v>32880.2</v>
      </c>
    </row>
    <row r="7" spans="1:2">
      <c r="A7" t="s">
        <v>37</v>
      </c>
      <c r="B7">
        <v>182449.21</v>
      </c>
    </row>
    <row r="8" spans="1:2">
      <c r="A8" t="s">
        <v>1138</v>
      </c>
      <c r="B8">
        <v>1173617.65</v>
      </c>
    </row>
    <row r="19" spans="1:2">
      <c r="A19" t="s">
        <v>7</v>
      </c>
      <c r="B19" t="s">
        <v>1141</v>
      </c>
    </row>
    <row r="20" spans="1:2">
      <c r="A20" t="s">
        <v>69</v>
      </c>
      <c r="B20">
        <v>31136.46</v>
      </c>
    </row>
    <row r="21" spans="1:2">
      <c r="A21" t="s">
        <v>41</v>
      </c>
      <c r="B21">
        <v>39390.72</v>
      </c>
    </row>
    <row r="22" spans="1:2">
      <c r="A22" t="s">
        <v>77</v>
      </c>
      <c r="B22">
        <v>158060.9</v>
      </c>
    </row>
    <row r="23" spans="1:2">
      <c r="A23" t="s">
        <v>32</v>
      </c>
      <c r="B23">
        <v>129205.92</v>
      </c>
    </row>
    <row r="24" spans="1:2">
      <c r="A24" t="s">
        <v>1138</v>
      </c>
      <c r="B24">
        <v>357794</v>
      </c>
    </row>
    <row r="36" spans="1:2">
      <c r="A36" t="s">
        <v>2</v>
      </c>
      <c r="B36" t="s">
        <v>1137</v>
      </c>
    </row>
    <row r="37" spans="1:2">
      <c r="A37" t="s">
        <v>27</v>
      </c>
      <c r="B37">
        <v>407381.55</v>
      </c>
    </row>
    <row r="38" spans="1:2">
      <c r="A38" t="s">
        <v>36</v>
      </c>
      <c r="B38">
        <v>238874.74</v>
      </c>
    </row>
    <row r="39" spans="1:2">
      <c r="A39" t="s">
        <v>55</v>
      </c>
      <c r="B39">
        <v>527361.360000001</v>
      </c>
    </row>
    <row r="40" spans="1:2">
      <c r="A40" t="s">
        <v>1138</v>
      </c>
      <c r="B40">
        <v>1173617.65</v>
      </c>
    </row>
    <row r="53" spans="1:2">
      <c r="A53" t="s">
        <v>8</v>
      </c>
      <c r="B53" t="s">
        <v>1137</v>
      </c>
    </row>
    <row r="54" spans="1:2">
      <c r="A54" t="s">
        <v>52</v>
      </c>
      <c r="B54">
        <v>274719.43</v>
      </c>
    </row>
    <row r="55" spans="1:2">
      <c r="A55" t="s">
        <v>96</v>
      </c>
      <c r="B55">
        <v>291569.12</v>
      </c>
    </row>
    <row r="56" spans="1:2">
      <c r="A56" t="s">
        <v>33</v>
      </c>
      <c r="B56">
        <v>296225.21</v>
      </c>
    </row>
    <row r="57" spans="1:2">
      <c r="A57" t="s">
        <v>46</v>
      </c>
      <c r="B57">
        <v>311103.89</v>
      </c>
    </row>
    <row r="58" spans="1:2">
      <c r="A58" t="s">
        <v>1138</v>
      </c>
      <c r="B58">
        <v>1173617.65</v>
      </c>
    </row>
    <row r="70" spans="1:2">
      <c r="A70" t="s">
        <v>16</v>
      </c>
      <c r="B70" t="s">
        <v>1137</v>
      </c>
    </row>
    <row r="71" spans="1:2">
      <c r="A71" t="s">
        <v>64</v>
      </c>
      <c r="B71">
        <v>106769.23</v>
      </c>
    </row>
    <row r="72" spans="1:2">
      <c r="A72" t="s">
        <v>105</v>
      </c>
      <c r="B72">
        <v>79110.34</v>
      </c>
    </row>
    <row r="73" spans="1:2">
      <c r="A73" t="s">
        <v>94</v>
      </c>
      <c r="B73">
        <v>102691.33</v>
      </c>
    </row>
    <row r="74" spans="1:2">
      <c r="A74" t="s">
        <v>84</v>
      </c>
      <c r="B74">
        <v>108398.39</v>
      </c>
    </row>
    <row r="75" spans="1:2">
      <c r="A75" t="s">
        <v>42</v>
      </c>
      <c r="B75">
        <v>91163.96</v>
      </c>
    </row>
    <row r="76" spans="1:2">
      <c r="A76" t="s">
        <v>58</v>
      </c>
      <c r="B76">
        <v>78788</v>
      </c>
    </row>
    <row r="77" spans="1:2">
      <c r="A77" t="s">
        <v>56</v>
      </c>
      <c r="B77">
        <v>117925.88</v>
      </c>
    </row>
    <row r="78" spans="1:2">
      <c r="A78" t="s">
        <v>47</v>
      </c>
      <c r="B78">
        <v>83285</v>
      </c>
    </row>
    <row r="79" spans="1:2">
      <c r="A79" t="s">
        <v>53</v>
      </c>
      <c r="B79">
        <v>110666.82</v>
      </c>
    </row>
    <row r="80" spans="1:2">
      <c r="A80" t="s">
        <v>87</v>
      </c>
      <c r="B80">
        <v>96577.68</v>
      </c>
    </row>
    <row r="81" spans="1:2">
      <c r="A81" t="s">
        <v>71</v>
      </c>
      <c r="B81">
        <v>87381.16</v>
      </c>
    </row>
    <row r="82" spans="1:2">
      <c r="A82" t="s">
        <v>34</v>
      </c>
      <c r="B82">
        <v>110859.86</v>
      </c>
    </row>
    <row r="83" spans="1:2">
      <c r="A83" t="s">
        <v>1138</v>
      </c>
      <c r="B83">
        <v>1173617.65</v>
      </c>
    </row>
  </sheetData>
  <pageMargins left="0.75" right="0.75" top="1" bottom="1" header="0.5" footer="0.5"/>
  <headerFooter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75" zoomScaleNormal="75" workbookViewId="0">
      <selection activeCell="H32" sqref="H32"/>
    </sheetView>
  </sheetViews>
  <sheetFormatPr defaultColWidth="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showGridLines="0" workbookViewId="0">
      <selection activeCell="H6" sqref="H6"/>
    </sheetView>
  </sheetViews>
  <sheetFormatPr defaultColWidth="9" defaultRowHeight="14.4" outlineLevelCol="4"/>
  <cols>
    <col min="1" max="1" width="36.462962962963" customWidth="1"/>
    <col min="5" max="5" width="31.6296296296296" customWidth="1"/>
  </cols>
  <sheetData>
    <row r="1" ht="16" customHeight="1"/>
    <row r="2" ht="28.8" spans="1:5">
      <c r="A2" s="1" t="s">
        <v>1158</v>
      </c>
      <c r="E2" s="1" t="s">
        <v>1159</v>
      </c>
    </row>
    <row r="3" spans="1:5">
      <c r="A3" s="16" t="s">
        <v>1160</v>
      </c>
      <c r="E3" s="16" t="s">
        <v>1161</v>
      </c>
    </row>
    <row r="6" ht="43.2" spans="1:5">
      <c r="A6" s="1" t="s">
        <v>1162</v>
      </c>
      <c r="E6" s="1" t="s">
        <v>1163</v>
      </c>
    </row>
    <row r="7" spans="1:5">
      <c r="A7" s="16" t="s">
        <v>1164</v>
      </c>
      <c r="E7" s="16" t="s">
        <v>1165</v>
      </c>
    </row>
    <row r="10" ht="43.2" spans="1:5">
      <c r="A10" s="1" t="s">
        <v>1166</v>
      </c>
      <c r="E10" s="1" t="s">
        <v>1167</v>
      </c>
    </row>
    <row r="11" spans="1:5">
      <c r="A11" s="16" t="s">
        <v>1168</v>
      </c>
      <c r="E11" s="16" t="s">
        <v>1169</v>
      </c>
    </row>
    <row r="13" ht="28.8" spans="1:5">
      <c r="A13" s="1" t="s">
        <v>1170</v>
      </c>
      <c r="E13" s="2" t="s">
        <v>1171</v>
      </c>
    </row>
    <row r="14" spans="1:5">
      <c r="A14" s="16" t="s">
        <v>1172</v>
      </c>
      <c r="E14" s="16" t="s">
        <v>1173</v>
      </c>
    </row>
    <row r="16" ht="43.2" spans="1:5">
      <c r="A16" s="1" t="s">
        <v>1174</v>
      </c>
      <c r="E16" s="1" t="s">
        <v>1175</v>
      </c>
    </row>
    <row r="17" ht="43.2" spans="1:5">
      <c r="A17" s="16" t="s">
        <v>1176</v>
      </c>
      <c r="E17" s="17" t="s">
        <v>1177</v>
      </c>
    </row>
    <row r="19" ht="57.6" spans="1:5">
      <c r="A19" s="1" t="s">
        <v>1178</v>
      </c>
      <c r="E19" s="1" t="s">
        <v>1179</v>
      </c>
    </row>
    <row r="20" spans="1:5">
      <c r="A20" s="16" t="s">
        <v>1180</v>
      </c>
      <c r="E20" s="16" t="s">
        <v>1181</v>
      </c>
    </row>
    <row r="22" ht="57.6" spans="1:5">
      <c r="A22" s="1" t="s">
        <v>1182</v>
      </c>
      <c r="E22" s="1" t="s">
        <v>1183</v>
      </c>
    </row>
    <row r="23" spans="1:5">
      <c r="A23" s="16" t="s">
        <v>1184</v>
      </c>
      <c r="E23" s="16" t="s">
        <v>1185</v>
      </c>
    </row>
    <row r="25" ht="57.6" spans="1:5">
      <c r="E25" s="1" t="s">
        <v>1186</v>
      </c>
    </row>
    <row r="26" ht="115.2" spans="1:5">
      <c r="E26" s="17" t="s">
        <v>1187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FEATURE_ENGINEERING</vt:lpstr>
      <vt:lpstr>Lookup_Table</vt:lpstr>
      <vt:lpstr>KPI </vt:lpstr>
      <vt:lpstr>Functions </vt:lpstr>
      <vt:lpstr>conditions</vt:lpstr>
      <vt:lpstr>Date_Analysis</vt:lpstr>
      <vt:lpstr>Pivot Table analysis</vt:lpstr>
      <vt:lpstr>Charts</vt:lpstr>
      <vt:lpstr>Walmart Sales Dashboard</vt:lpstr>
      <vt:lpstr>Question &amp; 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Disha</cp:lastModifiedBy>
  <dcterms:created xsi:type="dcterms:W3CDTF">2026-09-05T20:28:00Z</dcterms:created>
  <dcterms:modified xsi:type="dcterms:W3CDTF">2026-10-27T13:50:37Z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FC1DA8C7F8A6411BB6B17C2967CA44FE_13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